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kuvacb.sharepoint.com/sites/FacultyofVeterinaryMedicine/Shared Documents/General/Zebrafish LIMS/"/>
    </mc:Choice>
  </mc:AlternateContent>
  <xr:revisionPtr revIDLastSave="7289" documentId="8_{6B053446-5C8D-402E-BAE3-4CDFF3677FB0}" xr6:coauthVersionLast="47" xr6:coauthVersionMax="47" xr10:uidLastSave="{1FE04A3E-9716-4577-B999-FD4EE7212497}"/>
  <bookViews>
    <workbookView xWindow="-120" yWindow="-120" windowWidth="29040" windowHeight="15720" tabRatio="601" firstSheet="8" activeTab="11" xr2:uid="{B27FEF44-BBD2-44F1-9734-DD05BD681EF3}"/>
  </bookViews>
  <sheets>
    <sheet name="2026-04-24_June" sheetId="7" state="hidden" r:id="rId1"/>
    <sheet name="Templat_work sheet" sheetId="4" state="hidden" r:id="rId2"/>
    <sheet name="Template_Raw data" sheetId="5" state="hidden" r:id="rId3"/>
    <sheet name="Template_Raw data V.2" sheetId="8" state="hidden" r:id="rId4"/>
    <sheet name="Stage" sheetId="41" r:id="rId5"/>
    <sheet name="Control1" sheetId="6" r:id="rId6"/>
    <sheet name="Matadata1" sheetId="43" r:id="rId7"/>
    <sheet name="RawData1" sheetId="42" r:id="rId8"/>
    <sheet name="QControl_1" sheetId="40" r:id="rId9"/>
    <sheet name="RawData2" sheetId="44" r:id="rId10"/>
    <sheet name="1)2026-04-24_June(Control)" sheetId="13" r:id="rId11"/>
    <sheet name="Clone_small molecule" sheetId="29" r:id="rId12"/>
    <sheet name="2) 2026-04-29_Jan(RK701)" sheetId="9" r:id="rId13"/>
    <sheet name="2)2026-04-29_June(RK-701)" sheetId="14" r:id="rId14"/>
  </sheets>
  <definedNames>
    <definedName name="ExternalData_1" localSheetId="8" hidden="1">QControl_1!$A$1:$AL$29</definedName>
    <definedName name="ExternalData_1" localSheetId="9" hidden="1">'RawData2'!$A$1:$BZ$146</definedName>
    <definedName name="ExternalData_2" localSheetId="7" hidden="1">'RawData1'!$A$1:$GM$29</definedName>
    <definedName name="ExternalData_3" localSheetId="6" hidden="1">Matadata1!$A$1:$FC$29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41" l="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2" i="41"/>
  <c r="D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1" i="41"/>
  <c r="E3" i="6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D2" i="6"/>
  <c r="N2" i="6" s="1"/>
  <c r="D3" i="6"/>
  <c r="N3" i="6" s="1"/>
  <c r="D4" i="6"/>
  <c r="N4" i="6" s="1"/>
  <c r="D5" i="6"/>
  <c r="N5" i="6" s="1"/>
  <c r="D6" i="6"/>
  <c r="N6" i="6" s="1"/>
  <c r="D7" i="6"/>
  <c r="N7" i="6" s="1"/>
  <c r="D8" i="6"/>
  <c r="N8" i="6" s="1"/>
  <c r="D9" i="6"/>
  <c r="N9" i="6" s="1"/>
  <c r="D10" i="6"/>
  <c r="N10" i="6" s="1"/>
  <c r="D11" i="6"/>
  <c r="N11" i="6" s="1"/>
  <c r="D12" i="6"/>
  <c r="N12" i="6" s="1"/>
  <c r="D13" i="6"/>
  <c r="N13" i="6" s="1"/>
  <c r="D14" i="6"/>
  <c r="N14" i="6" s="1"/>
  <c r="D15" i="6"/>
  <c r="N15" i="6" s="1"/>
  <c r="D16" i="6"/>
  <c r="N16" i="6" s="1"/>
  <c r="D17" i="6"/>
  <c r="N17" i="6" s="1"/>
  <c r="D18" i="6"/>
  <c r="N18" i="6" s="1"/>
  <c r="D19" i="6"/>
  <c r="N19" i="6" s="1"/>
  <c r="D20" i="6"/>
  <c r="N20" i="6" s="1"/>
  <c r="D21" i="6"/>
  <c r="N21" i="6" s="1"/>
  <c r="D22" i="6"/>
  <c r="N22" i="6" s="1"/>
  <c r="D23" i="6"/>
  <c r="N23" i="6" s="1"/>
  <c r="D24" i="6"/>
  <c r="N24" i="6" s="1"/>
  <c r="D25" i="6"/>
  <c r="N25" i="6" s="1"/>
  <c r="D26" i="6"/>
  <c r="N26" i="6" s="1"/>
  <c r="D27" i="6"/>
  <c r="N27" i="6" s="1"/>
  <c r="D28" i="6"/>
  <c r="N28" i="6" s="1"/>
  <c r="D29" i="6"/>
  <c r="N29" i="6" s="1"/>
  <c r="K16" i="29"/>
  <c r="K15" i="29"/>
  <c r="K14" i="29"/>
  <c r="K13" i="29"/>
  <c r="K12" i="29"/>
  <c r="K11" i="29"/>
  <c r="K10" i="29"/>
  <c r="K9" i="29"/>
  <c r="K8" i="29"/>
  <c r="K7" i="29"/>
  <c r="K6" i="29"/>
  <c r="K5" i="29"/>
  <c r="K4" i="29"/>
  <c r="K3" i="29"/>
  <c r="K2" i="29"/>
  <c r="AE154" i="14" l="1"/>
  <c r="AE153" i="9"/>
  <c r="AE15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tc={659B3E8C-63F9-48C2-89AA-2995C24F7FE8}</author>
  </authors>
  <commentList>
    <comment ref="C1" authorId="0" shapeId="0" xr:uid="{659B3E8C-63F9-48C2-89AA-2995C24F7F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of %NBD  @ sheet NBD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tc={A34D431F-FEA8-4C9F-B1BE-F8F4C4D6F1AF}</author>
  </authors>
  <commentList>
    <comment ref="C1" authorId="0" shapeId="0" xr:uid="{A34D431F-FEA8-4C9F-B1BE-F8F4C4D6F1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of %NBD  @ sheet NBD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tc={5D5C8C1A-6AE4-44C0-BC3B-9CD9E46CDE23}</author>
    <author>DELL</author>
  </authors>
  <commentList>
    <comment ref="C1" authorId="0" shapeId="0" xr:uid="{5D5C8C1A-6AE4-44C0-BC3B-9CD9E46CDE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of %NBD  @ sheet NBD</t>
      </text>
    </comment>
    <comment ref="AJ4" authorId="1" shapeId="0" xr:uid="{DED01A43-8FDA-4233-AFBD-2A21525A98B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กรอกเวลาที่ observed embryo</t>
        </r>
      </text>
    </comment>
    <comment ref="AJ5" authorId="1" shapeId="0" xr:uid="{CA861B2F-8795-49B0-B936-E88C94A7367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บันทึกเมื่อตัวอ่อนสลาย</t>
        </r>
      </text>
    </comment>
    <comment ref="AJ6" authorId="1" shapeId="0" xr:uid="{57E44ECF-E9D2-4A4B-B6B5-E86F86748AC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บันทึกเมื่อตัวอ่อนตาย ณ stage นั้นๆ</t>
        </r>
      </text>
    </comment>
    <comment ref="AJ7" authorId="1" shapeId="0" xr:uid="{925259FE-F892-40FA-B26D-E52A0AE31E0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บันทีก Nor ถ้าตัวอย่าง ปกติ/บันทึก Ab เมื่อตัวอย่างผิดปกติ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tc={62B08312-6B00-4ECA-98C2-33B3E667D0EA}</author>
    <author>DELL</author>
  </authors>
  <commentList>
    <comment ref="G1" authorId="0" shapeId="0" xr:uid="{62B08312-6B00-4ECA-98C2-33B3E667D0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of %NBD  @ sheet NBD</t>
      </text>
    </comment>
    <comment ref="AH11" authorId="1" shapeId="0" xr:uid="{92B6F56B-FCAB-4CF6-A3F9-BAAAB9790DFE}">
      <text>
        <r>
          <rPr>
            <b/>
            <sz val="9"/>
            <color indexed="81"/>
            <rFont val="Tahoma"/>
            <family val="2"/>
          </rPr>
          <t>DELL:ทรงสวยมาก ตายเฉย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tc={624F61DE-7925-43BE-9DA6-316862C68719}</author>
    <author>DELL</author>
  </authors>
  <commentList>
    <comment ref="C2" authorId="0" shapeId="0" xr:uid="{624F61DE-7925-43BE-9DA6-316862C687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of %NBD  @ sheet NBD</t>
      </text>
    </comment>
    <comment ref="AY24" authorId="1" shapeId="0" xr:uid="{2CA8FC1F-C9AB-4B24-99C0-E83E07BC92B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ใกล้สลาย 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D5" authorId="0" shapeId="0" xr:uid="{ADD5357A-1896-4299-81A2-6A3A51CD8C85}">
      <text>
        <r>
          <rPr>
            <sz val="9"/>
            <color indexed="81"/>
            <rFont val="Tahoma"/>
            <family val="2"/>
          </rPr>
          <t>ข้างหลอด Label
"RK701_01"</t>
        </r>
      </text>
    </comment>
    <comment ref="D6" authorId="0" shapeId="0" xr:uid="{F70025BE-5A80-4824-946C-56556F6C5B21}">
      <text>
        <r>
          <rPr>
            <sz val="9"/>
            <color indexed="81"/>
            <rFont val="Tahoma"/>
            <family val="2"/>
          </rPr>
          <t>ข้างหลอด Label
"RK701_01"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tc={ADDB7048-5E83-4659-B08E-BCA3A44E003C}</author>
    <author>DELL</author>
  </authors>
  <commentList>
    <comment ref="C1" authorId="0" shapeId="0" xr:uid="{ADDB7048-5E83-4659-B08E-BCA3A44E00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of %NBD  @ sheet NBD</t>
      </text>
    </comment>
    <comment ref="AJ4" authorId="1" shapeId="0" xr:uid="{ADD2D134-A4CA-4AC6-98DA-C68CB631866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กรอกเวลาที่ observed embryo</t>
        </r>
      </text>
    </comment>
    <comment ref="AJ5" authorId="1" shapeId="0" xr:uid="{B6675FCF-7B58-4420-AA7F-12DCF67ED2E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บันทึกเมื่อตัวอ่อนสลาย</t>
        </r>
      </text>
    </comment>
    <comment ref="AJ6" authorId="1" shapeId="0" xr:uid="{097BE108-29BD-48BA-B0A8-B071505C904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บันทึกเมื่อตัวอ่อนตาย ณ stage นั้นๆ</t>
        </r>
      </text>
    </comment>
    <comment ref="AJ7" authorId="1" shapeId="0" xr:uid="{87E9494A-9BA0-49B2-AC71-1DB635266C6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บันทีก Nor ถ้าตัวอย่าง ปกติ/บันทึก Ab เมื่อตัวอย่างผิดปกติ</t>
        </r>
      </text>
    </comment>
    <comment ref="AW37" authorId="1" shapeId="0" xr:uid="{D54FD447-CA82-4157-B73A-329AD78D6C5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แต่เซลล์ดูไม่ได้แน่นมาก </t>
        </r>
      </text>
    </comment>
    <comment ref="BG37" authorId="1" shapeId="0" xr:uid="{49E3840C-B77E-4D64-BDC8-28A80A6A9B7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short tail และคดงอ</t>
        </r>
      </text>
    </comment>
    <comment ref="BK37" authorId="1" shapeId="0" xr:uid="{E8E6D0FD-4580-45E8-A16D-89D9559E1DE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หัวใจโต โป่งพอง freeze 
No.1 Clone_3
AB240426_e48h
RK701_01</t>
        </r>
      </text>
    </comment>
    <comment ref="AR87" authorId="1" shapeId="0" xr:uid="{62B79AFF-A6CE-45E6-ACCD-56DE15A10B4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เซลล์แบ่งตัวแค่ครึ่งเดียว</t>
        </r>
      </text>
    </comment>
    <comment ref="AI113" authorId="1" shapeId="0" xr:uid="{7BF6B383-85C4-4DB2-9B84-F00B88D411E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ทำหายระหว่างล้าง small molecule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tc={60A9C55C-C1CF-49B4-BB0B-9A13677D90DD}</author>
  </authors>
  <commentList>
    <comment ref="C1" authorId="0" shapeId="0" xr:uid="{60A9C55C-C1CF-49B4-BB0B-9A13677D9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of %NBD  @ sheet NBD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BDD42C-051A-4032-8B8E-76EACEFAC786}" keepAlive="1" name="Query - MainQuery1" description="Connection to the 'MainQuery1' query in the workbook." type="5" refreshedVersion="8" background="1" saveData="1">
    <dbPr connection="Provider=Microsoft.Mashup.OleDb.1;Data Source=$Workbook$;Location=MainQuery1;Extended Properties=&quot;&quot;" command="SELECT * FROM [MainQuery1]"/>
  </connection>
  <connection id="2" xr16:uid="{4F74A32D-32A0-444B-B2CB-372599B89E97}" keepAlive="1" name="Query - Matadata1" description="Connection to the 'Matadata1' query in the workbook." type="5" refreshedVersion="8" background="1" saveData="1">
    <dbPr connection="Provider=Microsoft.Mashup.OleDb.1;Data Source=$Workbook$;Location=Matadata1;Extended Properties=&quot;&quot;" command="SELECT * FROM [Matadata1]"/>
  </connection>
  <connection id="3" xr16:uid="{D80C6227-A4E5-4ECB-AF33-BEC036340AA3}" keepAlive="1" name="Query - RawData1" description="Connection to the 'RawData1' query in the workbook." type="5" refreshedVersion="8" background="1" saveData="1">
    <dbPr connection="Provider=Microsoft.Mashup.OleDb.1;Data Source=$Workbook$;Location=RawData1;Extended Properties=&quot;&quot;" command="SELECT * FROM [RawData1]"/>
  </connection>
  <connection id="4" xr16:uid="{30464C80-5F95-4154-A513-858A1BB45819}" keepAlive="1" name="Query - RawData2" description="Connection to the 'RawData2' query in the workbook." type="5" refreshedVersion="8" background="1" saveData="1">
    <dbPr connection="Provider=Microsoft.Mashup.OleDb.1;Data Source=$Workbook$;Location=RawData2;Extended Properties=&quot;&quot;" command="SELECT * FROM [RawData2]"/>
  </connection>
</connections>
</file>

<file path=xl/sharedStrings.xml><?xml version="1.0" encoding="utf-8"?>
<sst xmlns="http://schemas.openxmlformats.org/spreadsheetml/2006/main" count="5996" uniqueCount="1086">
  <si>
    <t>Date</t>
  </si>
  <si>
    <t xml:space="preserve">LOT </t>
  </si>
  <si>
    <t xml:space="preserve">N in lot </t>
  </si>
  <si>
    <t>Activated
Time</t>
  </si>
  <si>
    <t>well
(96-well)</t>
  </si>
  <si>
    <t>Running
number</t>
  </si>
  <si>
    <t>Activated</t>
  </si>
  <si>
    <t>2-cell
(0.75 h)</t>
  </si>
  <si>
    <t>4-cell
(1 h)</t>
  </si>
  <si>
    <t>8-cell
(1.25 h)</t>
  </si>
  <si>
    <t>16-cell
(1.5 h)</t>
  </si>
  <si>
    <t>32-cell
(1.75 h)</t>
  </si>
  <si>
    <t>64-cell
(2 h)</t>
  </si>
  <si>
    <t>128-cell
(2.25 h)</t>
  </si>
  <si>
    <t>256-cell
(2.5 h)</t>
  </si>
  <si>
    <t>512-cell
(2.75 h)</t>
  </si>
  <si>
    <t>1k-cell
(3 h)</t>
  </si>
  <si>
    <t>High
(3.3 h)</t>
  </si>
  <si>
    <t>Oblong
(3.7 h)</t>
  </si>
  <si>
    <t>Sphere
(4 h)</t>
  </si>
  <si>
    <t>Dome
(4.3 h)</t>
  </si>
  <si>
    <t>30%epi
(4.7 h)</t>
  </si>
  <si>
    <t>50%epi
(5.3 h)</t>
  </si>
  <si>
    <t>Germ ring
(5.7 h)</t>
  </si>
  <si>
    <t>Shield
(6 h)</t>
  </si>
  <si>
    <t>75%epi
(8 h)</t>
  </si>
  <si>
    <t>90%epi
(9 h)</t>
  </si>
  <si>
    <t>Day 1</t>
  </si>
  <si>
    <t>Day 2</t>
  </si>
  <si>
    <t>Day 3</t>
  </si>
  <si>
    <t>กรอกเวลาที่ observed embryo</t>
  </si>
  <si>
    <t>Observation time</t>
  </si>
  <si>
    <t>บันทึกเมื่อตัวอ่อนสลาย</t>
  </si>
  <si>
    <t>Degenerated</t>
  </si>
  <si>
    <t>บันทึกเมื่อตัวอ่อนตาย ณ stage นั้นๆ</t>
  </si>
  <si>
    <t>Observed Dead</t>
  </si>
  <si>
    <t>บันทีก Nor ถ้าตัวอย่าง ปกติ/บันทึก Ab เมื่อตัวอย่างผิดปกติ</t>
  </si>
  <si>
    <t>Nor/Ab</t>
  </si>
  <si>
    <t>No</t>
  </si>
  <si>
    <t>DATE</t>
  </si>
  <si>
    <t>Recipient 
egg</t>
  </si>
  <si>
    <t xml:space="preserve">Natural breeding </t>
  </si>
  <si>
    <t>IVF</t>
  </si>
  <si>
    <t>Lot of 
CSOF</t>
  </si>
  <si>
    <t xml:space="preserve">Code
of Egg </t>
  </si>
  <si>
    <t>Group</t>
  </si>
  <si>
    <t>Injection</t>
  </si>
  <si>
    <t>Lot
No.</t>
  </si>
  <si>
    <t>Name</t>
  </si>
  <si>
    <t>N in Lot</t>
  </si>
  <si>
    <t>Activated time</t>
  </si>
  <si>
    <t>Running number</t>
  </si>
  <si>
    <t>Time</t>
  </si>
  <si>
    <t>2-cell
(1 h)</t>
  </si>
  <si>
    <t>Age of clone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</si>
  <si>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</si>
  <si>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</si>
  <si>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</si>
  <si>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</si>
  <si>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</si>
  <si>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</si>
  <si>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</si>
  <si>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</si>
  <si>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</si>
  <si>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</si>
  <si>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</si>
  <si>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</si>
  <si>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</si>
  <si>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</si>
  <si>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</si>
  <si>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</si>
  <si>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</si>
  <si>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</si>
  <si>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</si>
  <si>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</si>
  <si>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</si>
  <si>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</si>
  <si>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</si>
  <si>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</si>
  <si>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</si>
  <si>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</si>
  <si>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</si>
  <si>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</si>
  <si>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</si>
  <si>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</si>
  <si>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</si>
  <si>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</si>
  <si>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</si>
  <si>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</si>
  <si>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</si>
  <si>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</si>
  <si>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</si>
  <si>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</si>
  <si>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</si>
  <si>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</si>
  <si>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</si>
  <si>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</si>
  <si>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</si>
  <si>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</si>
  <si>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</si>
  <si>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</si>
  <si>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</si>
  <si>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Day48</t>
  </si>
  <si>
    <t>Day49</t>
  </si>
  <si>
    <t>Day50</t>
  </si>
  <si>
    <t>Day51</t>
  </si>
  <si>
    <t>Day52</t>
  </si>
  <si>
    <t>Day53</t>
  </si>
  <si>
    <t>Day54</t>
  </si>
  <si>
    <t>Day55</t>
  </si>
  <si>
    <t>Day56</t>
  </si>
  <si>
    <t>Day57</t>
  </si>
  <si>
    <t>Day58</t>
  </si>
  <si>
    <t>Day59</t>
  </si>
  <si>
    <t>Day60</t>
  </si>
  <si>
    <t>Day61</t>
  </si>
  <si>
    <t>Day62</t>
  </si>
  <si>
    <t>Day63</t>
  </si>
  <si>
    <t>Day64</t>
  </si>
  <si>
    <t>Day65</t>
  </si>
  <si>
    <t>Day66</t>
  </si>
  <si>
    <t>Day67</t>
  </si>
  <si>
    <t>Day68</t>
  </si>
  <si>
    <t>Day69</t>
  </si>
  <si>
    <t>Day70</t>
  </si>
  <si>
    <t>Day71</t>
  </si>
  <si>
    <t>Day72</t>
  </si>
  <si>
    <t>Day73</t>
  </si>
  <si>
    <t>Day74</t>
  </si>
  <si>
    <t>Day75</t>
  </si>
  <si>
    <t>Day76</t>
  </si>
  <si>
    <t>Day77</t>
  </si>
  <si>
    <t>Day78</t>
  </si>
  <si>
    <t>Day79</t>
  </si>
  <si>
    <t>Day80</t>
  </si>
  <si>
    <t>Day81</t>
  </si>
  <si>
    <t>Day82</t>
  </si>
  <si>
    <t>Day83</t>
  </si>
  <si>
    <t>Day84</t>
  </si>
  <si>
    <t>Day85</t>
  </si>
  <si>
    <t>Day86</t>
  </si>
  <si>
    <t>Day87</t>
  </si>
  <si>
    <t>Day88</t>
  </si>
  <si>
    <t>Day89</t>
  </si>
  <si>
    <t>Day90</t>
  </si>
  <si>
    <t>Day91</t>
  </si>
  <si>
    <t>Day92</t>
  </si>
  <si>
    <t>Day93</t>
  </si>
  <si>
    <t>Day94</t>
  </si>
  <si>
    <t>Day95</t>
  </si>
  <si>
    <t>Day96</t>
  </si>
  <si>
    <t>Day97</t>
  </si>
  <si>
    <t>Day98</t>
  </si>
  <si>
    <t>Day99</t>
  </si>
  <si>
    <t>Day100</t>
  </si>
  <si>
    <t>Day101</t>
  </si>
  <si>
    <t>Day102</t>
  </si>
  <si>
    <t>Day103</t>
  </si>
  <si>
    <t>Day104</t>
  </si>
  <si>
    <t>Day105</t>
  </si>
  <si>
    <t>Day106</t>
  </si>
  <si>
    <t>Day107</t>
  </si>
  <si>
    <t>Day108</t>
  </si>
  <si>
    <t>Day109</t>
  </si>
  <si>
    <t>Day110</t>
  </si>
  <si>
    <t>Day111</t>
  </si>
  <si>
    <t>Day112</t>
  </si>
  <si>
    <t>Day113</t>
  </si>
  <si>
    <t>Day114</t>
  </si>
  <si>
    <t>Day115</t>
  </si>
  <si>
    <t>Day116</t>
  </si>
  <si>
    <t>Day117</t>
  </si>
  <si>
    <t>Day118</t>
  </si>
  <si>
    <t>Day119</t>
  </si>
  <si>
    <t>Day120</t>
  </si>
  <si>
    <t>Day121</t>
  </si>
  <si>
    <t>Day122</t>
  </si>
  <si>
    <t>Day123</t>
  </si>
  <si>
    <t>Day124</t>
  </si>
  <si>
    <t>Day125</t>
  </si>
  <si>
    <t>Day126</t>
  </si>
  <si>
    <t>Day127</t>
  </si>
  <si>
    <t>Day128</t>
  </si>
  <si>
    <t>Day129</t>
  </si>
  <si>
    <t>Day130</t>
  </si>
  <si>
    <t>Day131</t>
  </si>
  <si>
    <t>Day132</t>
  </si>
  <si>
    <t>Day133</t>
  </si>
  <si>
    <t>Day134</t>
  </si>
  <si>
    <t>Day135</t>
  </si>
  <si>
    <t>Day136</t>
  </si>
  <si>
    <t>Day137</t>
  </si>
  <si>
    <t>Day138</t>
  </si>
  <si>
    <t>Day139</t>
  </si>
  <si>
    <t>Day140</t>
  </si>
  <si>
    <t>Day141</t>
  </si>
  <si>
    <t>Day142</t>
  </si>
  <si>
    <t>Day143</t>
  </si>
  <si>
    <t>Day144</t>
  </si>
  <si>
    <t>Day145</t>
  </si>
  <si>
    <t>Day146</t>
  </si>
  <si>
    <t>Day147</t>
  </si>
  <si>
    <t>Day148</t>
  </si>
  <si>
    <t>Day149</t>
  </si>
  <si>
    <t>Day150</t>
  </si>
  <si>
    <t>4-cell</t>
  </si>
  <si>
    <t>Shield Stage-
75% Epiboly</t>
  </si>
  <si>
    <t>Day-1</t>
  </si>
  <si>
    <t>Day-2</t>
  </si>
  <si>
    <t>Day-3</t>
  </si>
  <si>
    <t>Name 
of cell</t>
  </si>
  <si>
    <t>Enulceation</t>
  </si>
  <si>
    <t>Start</t>
  </si>
  <si>
    <t>Finish</t>
  </si>
  <si>
    <t>Normal</t>
  </si>
  <si>
    <t>Abnormal</t>
  </si>
  <si>
    <t>Power (%)</t>
  </si>
  <si>
    <t>Pulse (us)</t>
  </si>
  <si>
    <t>LED</t>
  </si>
  <si>
    <t>TAB taiwan</t>
  </si>
  <si>
    <t>Donor cell</t>
  </si>
  <si>
    <t>Jan1</t>
  </si>
  <si>
    <t>TAB Taiwan 29-04-2025</t>
  </si>
  <si>
    <t>E6</t>
  </si>
  <si>
    <t>AB240426_e48h_control</t>
  </si>
  <si>
    <t>✓</t>
  </si>
  <si>
    <t>N</t>
  </si>
  <si>
    <t>1-cell</t>
  </si>
  <si>
    <t>Jan2</t>
  </si>
  <si>
    <t>Ab</t>
  </si>
  <si>
    <t>Jan3</t>
  </si>
  <si>
    <t>Jan4</t>
  </si>
  <si>
    <t>Jan5</t>
  </si>
  <si>
    <t>Jan6</t>
  </si>
  <si>
    <t>Jan7</t>
  </si>
  <si>
    <t>Jan8</t>
  </si>
  <si>
    <t>Jan9</t>
  </si>
  <si>
    <t>Jan10</t>
  </si>
  <si>
    <t>June1</t>
  </si>
  <si>
    <t>B3</t>
  </si>
  <si>
    <t>B4</t>
  </si>
  <si>
    <t>B5</t>
  </si>
  <si>
    <t>June2</t>
  </si>
  <si>
    <t>C3</t>
  </si>
  <si>
    <t>C4</t>
  </si>
  <si>
    <t>C5</t>
  </si>
  <si>
    <t>June3</t>
  </si>
  <si>
    <t>D3</t>
  </si>
  <si>
    <t>D4</t>
  </si>
  <si>
    <t>D5</t>
  </si>
  <si>
    <t>17..08</t>
  </si>
  <si>
    <t>June4</t>
  </si>
  <si>
    <t>E3</t>
  </si>
  <si>
    <t>E4</t>
  </si>
  <si>
    <t>June5</t>
  </si>
  <si>
    <t>F3</t>
  </si>
  <si>
    <t>F4</t>
  </si>
  <si>
    <t>F5</t>
  </si>
  <si>
    <t>June6</t>
  </si>
  <si>
    <t>G3</t>
  </si>
  <si>
    <t>G4</t>
  </si>
  <si>
    <t>G5</t>
  </si>
  <si>
    <t>June7</t>
  </si>
  <si>
    <t>B8</t>
  </si>
  <si>
    <t>B9</t>
  </si>
  <si>
    <t>B10</t>
  </si>
  <si>
    <t>June8</t>
  </si>
  <si>
    <t>C8</t>
  </si>
  <si>
    <t>C9</t>
  </si>
  <si>
    <t>June9</t>
  </si>
  <si>
    <t>D8</t>
  </si>
  <si>
    <t>D9</t>
  </si>
  <si>
    <t>D10</t>
  </si>
  <si>
    <t>June10</t>
  </si>
  <si>
    <t>E8</t>
  </si>
  <si>
    <t>E9</t>
  </si>
  <si>
    <t>June11</t>
  </si>
  <si>
    <t>F8</t>
  </si>
  <si>
    <t>F9</t>
  </si>
  <si>
    <t>TAB Taiwan29-04-2025</t>
  </si>
  <si>
    <t>AB240426_e48h_RK701_01</t>
  </si>
  <si>
    <t>Freeze</t>
  </si>
  <si>
    <t xml:space="preserve">Ab </t>
  </si>
  <si>
    <t>A2</t>
  </si>
  <si>
    <t>A3</t>
  </si>
  <si>
    <t>A4</t>
  </si>
  <si>
    <t>B2</t>
  </si>
  <si>
    <t>C2</t>
  </si>
  <si>
    <t>D2</t>
  </si>
  <si>
    <t>E2</t>
  </si>
  <si>
    <t>A8</t>
  </si>
  <si>
    <t>A9</t>
  </si>
  <si>
    <t>A10</t>
  </si>
  <si>
    <t>A11</t>
  </si>
  <si>
    <t>C10</t>
  </si>
  <si>
    <t>E10</t>
  </si>
  <si>
    <t>E1</t>
  </si>
  <si>
    <t>No.</t>
  </si>
  <si>
    <t>Small molecule</t>
  </si>
  <si>
    <t>Control</t>
  </si>
  <si>
    <t>Total(n)</t>
  </si>
  <si>
    <t>By</t>
  </si>
  <si>
    <t>Jan</t>
  </si>
  <si>
    <t>June</t>
  </si>
  <si>
    <t>DOB</t>
  </si>
  <si>
    <t>Lot of NT</t>
  </si>
  <si>
    <t>Number of egg</t>
  </si>
  <si>
    <t>Date of freeze</t>
  </si>
  <si>
    <t>Normal /Abnormal</t>
  </si>
  <si>
    <t>Remarks</t>
  </si>
  <si>
    <t>Age of embryo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</si>
  <si>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</si>
  <si>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</si>
  <si>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</si>
  <si>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</si>
  <si>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</si>
  <si>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</si>
  <si>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</si>
  <si>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</si>
  <si>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</si>
  <si>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</si>
  <si>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</si>
  <si>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</si>
  <si>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</si>
  <si>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</si>
  <si>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</si>
  <si>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</si>
  <si>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</si>
  <si>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</si>
  <si>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</si>
  <si>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</si>
  <si>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</si>
  <si>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</si>
  <si>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</si>
  <si>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</si>
  <si>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</si>
  <si>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</si>
  <si>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</si>
  <si>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</si>
  <si>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</si>
  <si>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</si>
  <si>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</si>
  <si>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</si>
  <si>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</si>
  <si>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</si>
  <si>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</si>
  <si>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</si>
  <si>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</si>
  <si>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</si>
  <si>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</si>
  <si>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</si>
  <si>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</si>
  <si>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</si>
  <si>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</si>
  <si>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</si>
  <si>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</si>
  <si>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</si>
  <si>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</si>
  <si>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</si>
  <si>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</si>
  <si>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</si>
  <si>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</si>
  <si>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</si>
  <si>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</si>
  <si>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</si>
  <si>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</si>
  <si>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</si>
  <si>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</si>
  <si>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</si>
  <si>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</si>
  <si>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</si>
  <si>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</si>
  <si>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</si>
  <si>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</si>
  <si>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</si>
  <si>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</si>
  <si>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</si>
  <si>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</si>
  <si>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</si>
  <si>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</si>
  <si>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</si>
  <si>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</si>
  <si>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</si>
  <si>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</si>
  <si>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</si>
  <si>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</si>
  <si>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</si>
  <si>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</si>
  <si>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</si>
  <si>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</si>
  <si>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</si>
  <si>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</si>
  <si>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</si>
  <si>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</si>
  <si>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</si>
  <si>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</si>
  <si>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</si>
  <si>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</si>
  <si>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</si>
  <si>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</si>
  <si>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</si>
  <si>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</si>
  <si>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</si>
  <si>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</si>
  <si>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</si>
  <si>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</si>
  <si>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</si>
  <si>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</si>
  <si>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</si>
  <si>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</si>
  <si>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</si>
  <si>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</si>
  <si>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</si>
  <si>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</si>
  <si>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</si>
  <si>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</si>
  <si>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</si>
  <si>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</si>
  <si>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</si>
  <si>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</si>
  <si>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</si>
  <si>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</si>
  <si>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</si>
  <si>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</si>
  <si>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</si>
  <si>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</si>
  <si>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</si>
  <si>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</si>
  <si>
    <t>Day 121</t>
  </si>
  <si>
    <t>Day 122</t>
  </si>
  <si>
    <t>Day 123</t>
  </si>
  <si>
    <t>Day 124</t>
  </si>
  <si>
    <t>Day 125</t>
  </si>
  <si>
    <t>Day 126</t>
  </si>
  <si>
    <t>Day 127</t>
  </si>
  <si>
    <t>Day 128</t>
  </si>
  <si>
    <t>Day 129</t>
  </si>
  <si>
    <t>Day 130</t>
  </si>
  <si>
    <t>Day 131</t>
  </si>
  <si>
    <t>Day 132</t>
  </si>
  <si>
    <t>Day 133</t>
  </si>
  <si>
    <t>Day 134</t>
  </si>
  <si>
    <t>Day 135</t>
  </si>
  <si>
    <t>Day 136</t>
  </si>
  <si>
    <t>Day 137</t>
  </si>
  <si>
    <t>Day 138</t>
  </si>
  <si>
    <t>Day 139</t>
  </si>
  <si>
    <t>Day 140</t>
  </si>
  <si>
    <t>Day 141</t>
  </si>
  <si>
    <t>Day 142</t>
  </si>
  <si>
    <t>Day 143</t>
  </si>
  <si>
    <t>Day 144</t>
  </si>
  <si>
    <t>Day 145</t>
  </si>
  <si>
    <t>Day 146</t>
  </si>
  <si>
    <t>Day 147</t>
  </si>
  <si>
    <t>Day 148</t>
  </si>
  <si>
    <t>Day 149</t>
  </si>
  <si>
    <t>Day 150</t>
  </si>
  <si>
    <t>Day 151</t>
  </si>
  <si>
    <t>Day 152</t>
  </si>
  <si>
    <t>Day 153</t>
  </si>
  <si>
    <t>Day 154</t>
  </si>
  <si>
    <t>Day 155</t>
  </si>
  <si>
    <t>Day 156</t>
  </si>
  <si>
    <t>Day 157</t>
  </si>
  <si>
    <t>Day 158</t>
  </si>
  <si>
    <t>Day 159</t>
  </si>
  <si>
    <t>Day 160</t>
  </si>
  <si>
    <t>Day 161</t>
  </si>
  <si>
    <t>Day 162</t>
  </si>
  <si>
    <t>Day 163</t>
  </si>
  <si>
    <t>Day 164</t>
  </si>
  <si>
    <t>Day 165</t>
  </si>
  <si>
    <t>Day 166</t>
  </si>
  <si>
    <t>Day 167</t>
  </si>
  <si>
    <t>Day 168</t>
  </si>
  <si>
    <t>Day 169</t>
  </si>
  <si>
    <t>Day 170</t>
  </si>
  <si>
    <t>Day 171</t>
  </si>
  <si>
    <t>Day 172</t>
  </si>
  <si>
    <t>Day 173</t>
  </si>
  <si>
    <t>Day 174</t>
  </si>
  <si>
    <t>Day 175</t>
  </si>
  <si>
    <t>Day 176</t>
  </si>
  <si>
    <t>Day 177</t>
  </si>
  <si>
    <t>Day 178</t>
  </si>
  <si>
    <t>Day 179</t>
  </si>
  <si>
    <t>Day 180</t>
  </si>
  <si>
    <t>Day 181</t>
  </si>
  <si>
    <t>Day 182</t>
  </si>
  <si>
    <t>Day 183</t>
  </si>
  <si>
    <t>Day 184</t>
  </si>
  <si>
    <t>Day 185</t>
  </si>
  <si>
    <t>Day 186</t>
  </si>
  <si>
    <t>Day 187</t>
  </si>
  <si>
    <t>Day 188</t>
  </si>
  <si>
    <t>Day 189</t>
  </si>
  <si>
    <t>Day 190</t>
  </si>
  <si>
    <t>Day 191</t>
  </si>
  <si>
    <t>Day 192</t>
  </si>
  <si>
    <t>AB240426_e48h</t>
  </si>
  <si>
    <t>RK701_01</t>
  </si>
  <si>
    <t>Freeze -80</t>
  </si>
  <si>
    <t>Control_01</t>
  </si>
  <si>
    <t>RK701_02</t>
  </si>
  <si>
    <t>ลง system, Freeze -80</t>
  </si>
  <si>
    <t>Control_04</t>
  </si>
  <si>
    <t>Bee</t>
  </si>
  <si>
    <t>Control_05</t>
  </si>
  <si>
    <t>RK701</t>
  </si>
  <si>
    <t xml:space="preserve"> </t>
  </si>
  <si>
    <t>AB160726_e48h</t>
  </si>
  <si>
    <t>Control_02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</si>
  <si>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</si>
  <si>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</si>
  <si>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</si>
  <si>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</si>
  <si>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</si>
  <si>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</si>
  <si>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</si>
  <si>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</si>
  <si>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</si>
  <si>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</si>
  <si>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</si>
  <si>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</si>
  <si>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</si>
  <si>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</si>
  <si>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</si>
  <si>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</si>
  <si>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</si>
  <si>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</si>
  <si>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</si>
  <si>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</si>
  <si>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</si>
  <si>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</si>
  <si>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</si>
  <si>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</si>
  <si>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</si>
  <si>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</si>
  <si>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</si>
  <si>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</si>
  <si>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</si>
  <si>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</si>
  <si>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</si>
  <si>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</si>
  <si>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</si>
  <si>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</si>
  <si>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</si>
  <si>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</si>
  <si>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</si>
  <si>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</si>
  <si>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</si>
  <si>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</si>
  <si>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</si>
  <si>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</si>
  <si>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</si>
  <si>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</si>
  <si>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</si>
  <si>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</si>
  <si>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</si>
  <si>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</si>
  <si>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</si>
  <si>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</si>
  <si>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</si>
  <si>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</si>
  <si>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</si>
  <si>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</si>
  <si>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</si>
  <si>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</si>
  <si>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</si>
  <si>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</si>
  <si>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</si>
  <si>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</si>
  <si>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</si>
  <si>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</si>
  <si>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</si>
  <si>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</si>
  <si>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</si>
  <si>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</si>
  <si>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</si>
  <si>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</si>
  <si>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</si>
  <si>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</si>
  <si>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</si>
  <si>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</si>
  <si>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</si>
  <si>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</si>
  <si>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</si>
  <si>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</si>
  <si>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</si>
  <si>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</si>
  <si>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</si>
  <si>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</si>
  <si>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</si>
  <si>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</si>
  <si>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</si>
  <si>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</si>
  <si>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</si>
  <si>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</si>
  <si>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</si>
  <si>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</si>
  <si>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</si>
  <si>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</si>
  <si>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</si>
  <si>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</si>
  <si>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</si>
  <si>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</si>
  <si>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</si>
  <si>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</si>
  <si>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</si>
  <si>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</si>
  <si>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</si>
  <si>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</si>
  <si>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</si>
  <si>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</si>
  <si>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</si>
  <si>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</si>
  <si>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</si>
  <si>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</si>
  <si>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</si>
  <si>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</si>
  <si>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</si>
  <si>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</si>
  <si>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</si>
  <si>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</si>
  <si>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</si>
  <si>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</si>
  <si>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</si>
  <si>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</si>
  <si>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</si>
  <si>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</si>
  <si>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</si>
  <si>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</si>
  <si>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</si>
  <si>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</si>
  <si>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</si>
  <si>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</si>
  <si>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</si>
  <si>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</si>
  <si>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</si>
  <si>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</si>
  <si>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</si>
  <si>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</si>
  <si>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</si>
  <si>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</si>
  <si>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</si>
  <si>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</si>
  <si>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</si>
  <si>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</si>
  <si>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</si>
  <si>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</si>
  <si>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</si>
  <si>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</si>
  <si>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</si>
  <si>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</si>
  <si>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</si>
  <si>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</si>
  <si>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</si>
  <si>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</si>
  <si>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</si>
  <si>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</si>
  <si>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</si>
  <si>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</si>
  <si>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</si>
  <si>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</si>
  <si>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</si>
  <si>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</si>
  <si>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</si>
  <si>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</si>
  <si>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</si>
  <si>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</si>
  <si>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</si>
  <si>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</si>
  <si>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</si>
  <si>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</si>
  <si>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</si>
  <si>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</si>
  <si>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</si>
  <si>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</si>
  <si>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</si>
  <si>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</si>
  <si>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</si>
  <si>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</si>
  <si>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</si>
  <si>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</si>
  <si>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</si>
  <si>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</si>
  <si>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</si>
  <si>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</si>
  <si>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</si>
  <si>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</si>
  <si>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</si>
  <si>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</si>
  <si>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</si>
  <si>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</si>
  <si>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</si>
  <si>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</si>
  <si>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</si>
  <si>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</si>
  <si>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</si>
  <si>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</si>
  <si>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</si>
  <si>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</si>
  <si>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</si>
  <si>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</si>
  <si>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</si>
  <si>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</si>
  <si>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</si>
  <si>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</si>
  <si>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</si>
  <si>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</si>
  <si>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</si>
  <si>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</si>
  <si>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</si>
  <si>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</si>
  <si>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</si>
  <si>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</si>
  <si>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</si>
  <si>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</si>
  <si>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</si>
  <si>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</si>
  <si>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</si>
  <si>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</si>
  <si>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</si>
  <si>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NBD_4cell</t>
  </si>
  <si>
    <t>NBD_4cell2</t>
  </si>
  <si>
    <t>NBD_Shield</t>
  </si>
  <si>
    <t>NBD_Shield2</t>
  </si>
  <si>
    <t>NBD_1D</t>
  </si>
  <si>
    <t>NBD_1D2</t>
  </si>
  <si>
    <t>NBD_2D</t>
  </si>
  <si>
    <t>NBD_2D2</t>
  </si>
  <si>
    <t>NBD_3D</t>
  </si>
  <si>
    <t>NBD_3D2</t>
  </si>
  <si>
    <t>IVF_Shield75Epi</t>
  </si>
  <si>
    <t>IVF_Shield75Epi2</t>
  </si>
  <si>
    <t>IVF_1D</t>
  </si>
  <si>
    <t>IVF_1D2</t>
  </si>
  <si>
    <t>IVF_2D</t>
  </si>
  <si>
    <t>IVF_2D2</t>
  </si>
  <si>
    <t>IVF_3D</t>
  </si>
  <si>
    <t>IVF_3D2</t>
  </si>
  <si>
    <t>INJ_CSOF</t>
  </si>
  <si>
    <t xml:space="preserve">INJ_EggCode
of Egg </t>
  </si>
  <si>
    <t>INJ_Gr</t>
  </si>
  <si>
    <t>INJ_Donor</t>
  </si>
  <si>
    <t>INJ_Epower</t>
  </si>
  <si>
    <t>INJ_Epulse</t>
  </si>
  <si>
    <t>INJ_Led</t>
  </si>
  <si>
    <t>Ex_lot</t>
  </si>
  <si>
    <t>Ex_lot2</t>
  </si>
  <si>
    <t>Ex_start</t>
  </si>
  <si>
    <t>Ex_fin</t>
  </si>
  <si>
    <t>1C</t>
  </si>
  <si>
    <t>1C2</t>
  </si>
  <si>
    <t>1C3</t>
  </si>
  <si>
    <t>1C4</t>
  </si>
  <si>
    <t>2C</t>
  </si>
  <si>
    <t>2C2</t>
  </si>
  <si>
    <t>2C3</t>
  </si>
  <si>
    <t>2C4</t>
  </si>
  <si>
    <t>1C5</t>
  </si>
  <si>
    <t>2C5</t>
  </si>
  <si>
    <t>4C</t>
  </si>
  <si>
    <t>4C2</t>
  </si>
  <si>
    <t>4C3</t>
  </si>
  <si>
    <t>4C4</t>
  </si>
  <si>
    <t>4C5</t>
  </si>
  <si>
    <t>8C</t>
  </si>
  <si>
    <t>8C2</t>
  </si>
  <si>
    <t>8C3</t>
  </si>
  <si>
    <t>8C4</t>
  </si>
  <si>
    <t>8C5</t>
  </si>
  <si>
    <t>16C</t>
  </si>
  <si>
    <t>16C2</t>
  </si>
  <si>
    <t>16C3</t>
  </si>
  <si>
    <t>16C4</t>
  </si>
  <si>
    <t>16C5</t>
  </si>
  <si>
    <t>32C</t>
  </si>
  <si>
    <t>32C2</t>
  </si>
  <si>
    <t>32C3</t>
  </si>
  <si>
    <t>32C4</t>
  </si>
  <si>
    <t>32C5</t>
  </si>
  <si>
    <t>64C</t>
  </si>
  <si>
    <t>64C2</t>
  </si>
  <si>
    <t>64C3</t>
  </si>
  <si>
    <t>64C4</t>
  </si>
  <si>
    <t>64C5</t>
  </si>
  <si>
    <t>128C</t>
  </si>
  <si>
    <t>128C2</t>
  </si>
  <si>
    <t>128C3</t>
  </si>
  <si>
    <t>128C4</t>
  </si>
  <si>
    <t>128C5</t>
  </si>
  <si>
    <t>256C</t>
  </si>
  <si>
    <t>256C2</t>
  </si>
  <si>
    <t>256C3</t>
  </si>
  <si>
    <t>256C4</t>
  </si>
  <si>
    <t>256C5</t>
  </si>
  <si>
    <t>512C</t>
  </si>
  <si>
    <t>512C2</t>
  </si>
  <si>
    <t>512C3</t>
  </si>
  <si>
    <t>512C4</t>
  </si>
  <si>
    <t>512C5</t>
  </si>
  <si>
    <t>1K</t>
  </si>
  <si>
    <t>1K2</t>
  </si>
  <si>
    <t>1K3</t>
  </si>
  <si>
    <t>1K4</t>
  </si>
  <si>
    <t>1K5</t>
  </si>
  <si>
    <t>HI</t>
  </si>
  <si>
    <t>HI2</t>
  </si>
  <si>
    <t>HI3</t>
  </si>
  <si>
    <t>HI4</t>
  </si>
  <si>
    <t>HI5</t>
  </si>
  <si>
    <t>OB</t>
  </si>
  <si>
    <t>OB2</t>
  </si>
  <si>
    <t>OB3</t>
  </si>
  <si>
    <t>OB4</t>
  </si>
  <si>
    <t>OB5</t>
  </si>
  <si>
    <t>SPH</t>
  </si>
  <si>
    <t>SPH2</t>
  </si>
  <si>
    <t>SPH3</t>
  </si>
  <si>
    <t>SPH4</t>
  </si>
  <si>
    <t>SPH5</t>
  </si>
  <si>
    <t>DO</t>
  </si>
  <si>
    <t>DO2</t>
  </si>
  <si>
    <t>DO3</t>
  </si>
  <si>
    <t>DO4</t>
  </si>
  <si>
    <t>DO5</t>
  </si>
  <si>
    <t>30EPI</t>
  </si>
  <si>
    <t>30EPI2</t>
  </si>
  <si>
    <t>30EPI3</t>
  </si>
  <si>
    <t>30EPI4</t>
  </si>
  <si>
    <t>30EPI5</t>
  </si>
  <si>
    <t>50EPI</t>
  </si>
  <si>
    <t>50EPI2</t>
  </si>
  <si>
    <t>50EPI3</t>
  </si>
  <si>
    <t>50EPI4</t>
  </si>
  <si>
    <t>50EPI5</t>
  </si>
  <si>
    <t>GR</t>
  </si>
  <si>
    <t>GR2</t>
  </si>
  <si>
    <t>GR3</t>
  </si>
  <si>
    <t>GR4</t>
  </si>
  <si>
    <t>GR5</t>
  </si>
  <si>
    <t>SH</t>
  </si>
  <si>
    <t>SH2</t>
  </si>
  <si>
    <t>SH3</t>
  </si>
  <si>
    <t>SH4</t>
  </si>
  <si>
    <t>SH5</t>
  </si>
  <si>
    <t>75EPI</t>
  </si>
  <si>
    <t>75EPI2</t>
  </si>
  <si>
    <t>75EPI3</t>
  </si>
  <si>
    <t>75EPI4</t>
  </si>
  <si>
    <t>75EPI5</t>
  </si>
  <si>
    <t>90EPI</t>
  </si>
  <si>
    <t>90EPI2</t>
  </si>
  <si>
    <t>90EPI3</t>
  </si>
  <si>
    <t>90EPI4</t>
  </si>
  <si>
    <t>90EPI5</t>
  </si>
  <si>
    <t>Y</t>
  </si>
  <si>
    <t>1D</t>
  </si>
  <si>
    <t>1D2</t>
  </si>
  <si>
    <t>1D3</t>
  </si>
  <si>
    <t>1D4</t>
  </si>
  <si>
    <t>1D5</t>
  </si>
  <si>
    <t>2D</t>
  </si>
  <si>
    <t>2D2</t>
  </si>
  <si>
    <t>2D3</t>
  </si>
  <si>
    <t>2D4</t>
  </si>
  <si>
    <t>2D5</t>
  </si>
  <si>
    <t>3D</t>
  </si>
  <si>
    <t>3D2</t>
  </si>
  <si>
    <t>3D3</t>
  </si>
  <si>
    <t>3D4</t>
  </si>
  <si>
    <t>3D5</t>
  </si>
  <si>
    <t>4D</t>
  </si>
  <si>
    <t>4D2</t>
  </si>
  <si>
    <t>4D3</t>
  </si>
  <si>
    <t>4D4</t>
  </si>
  <si>
    <t>4D5</t>
  </si>
  <si>
    <t>5D</t>
  </si>
  <si>
    <t>5D2</t>
  </si>
  <si>
    <t>5D3</t>
  </si>
  <si>
    <t>5D4</t>
  </si>
  <si>
    <t>5D5</t>
  </si>
  <si>
    <t>6D</t>
  </si>
  <si>
    <t>6D2</t>
  </si>
  <si>
    <t>6D3</t>
  </si>
  <si>
    <t>6D4</t>
  </si>
  <si>
    <t>6D5</t>
  </si>
  <si>
    <t>7D</t>
  </si>
  <si>
    <t>7D2</t>
  </si>
  <si>
    <t>7D3</t>
  </si>
  <si>
    <t>7D4</t>
  </si>
  <si>
    <t>7D5</t>
  </si>
  <si>
    <t>8D</t>
  </si>
  <si>
    <t>8D2</t>
  </si>
  <si>
    <t>8D3</t>
  </si>
  <si>
    <t>8D4</t>
  </si>
  <si>
    <t>8D5</t>
  </si>
  <si>
    <t>9D</t>
  </si>
  <si>
    <t>9D2</t>
  </si>
  <si>
    <t>9D3</t>
  </si>
  <si>
    <t>9D4</t>
  </si>
  <si>
    <t>9D5</t>
  </si>
  <si>
    <t>10D</t>
  </si>
  <si>
    <t>10D2</t>
  </si>
  <si>
    <t>10D3</t>
  </si>
  <si>
    <t>10D4</t>
  </si>
  <si>
    <t>10D5</t>
  </si>
  <si>
    <t>11D</t>
  </si>
  <si>
    <t>11D2</t>
  </si>
  <si>
    <t>11D3</t>
  </si>
  <si>
    <t>11D4</t>
  </si>
  <si>
    <t>11D5</t>
  </si>
  <si>
    <t>12D</t>
  </si>
  <si>
    <t>12D2</t>
  </si>
  <si>
    <t>12D3</t>
  </si>
  <si>
    <t>12D4</t>
  </si>
  <si>
    <t>12D5</t>
  </si>
  <si>
    <t>13D</t>
  </si>
  <si>
    <t>13D2</t>
  </si>
  <si>
    <t>13D3</t>
  </si>
  <si>
    <t>13D4</t>
  </si>
  <si>
    <t>13D5</t>
  </si>
  <si>
    <t>14D</t>
  </si>
  <si>
    <t>14D2</t>
  </si>
  <si>
    <t>14D3</t>
  </si>
  <si>
    <t>14D4</t>
  </si>
  <si>
    <t>14D5</t>
  </si>
  <si>
    <t>15D</t>
  </si>
  <si>
    <t>15D2</t>
  </si>
  <si>
    <t>15D3</t>
  </si>
  <si>
    <t>15D4</t>
  </si>
  <si>
    <t>15D5</t>
  </si>
  <si>
    <t>NA</t>
  </si>
  <si>
    <t>Running</t>
  </si>
  <si>
    <t>Day</t>
  </si>
  <si>
    <t>Operator</t>
  </si>
  <si>
    <t>Batch_ID</t>
  </si>
  <si>
    <t>Ex_activated</t>
  </si>
  <si>
    <t>Clutch_ID</t>
  </si>
  <si>
    <t>Embryo_ID</t>
  </si>
  <si>
    <t>RecBreed</t>
  </si>
  <si>
    <t>0:836805555555556</t>
  </si>
  <si>
    <t>stage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</si>
  <si>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</si>
  <si>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</si>
  <si>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</si>
  <si>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</si>
  <si>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</si>
  <si>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</si>
  <si>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</si>
  <si>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</si>
  <si>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</si>
  <si>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</si>
  <si>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</si>
  <si>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</si>
  <si>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</si>
  <si>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</si>
  <si>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</si>
  <si>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</si>
  <si>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</si>
  <si>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</si>
  <si>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</si>
  <si>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</si>
  <si>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</si>
  <si>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</si>
  <si>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</si>
  <si>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</si>
  <si>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</si>
  <si>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</si>
  <si>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</si>
  <si>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</si>
  <si>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</si>
  <si>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</si>
  <si>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</si>
  <si>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</si>
  <si>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</si>
  <si>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</si>
  <si>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</si>
  <si>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</si>
  <si>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stage_01_1C</t>
  </si>
  <si>
    <t>stage_02_2C</t>
  </si>
  <si>
    <t>stage_03_4C</t>
  </si>
  <si>
    <t>stage_04_8C</t>
  </si>
  <si>
    <t>stage_05_16C</t>
  </si>
  <si>
    <t>stage_06_32C</t>
  </si>
  <si>
    <t>stage_07_64C</t>
  </si>
  <si>
    <t>stage_08_128C</t>
  </si>
  <si>
    <t>stage_09_256C</t>
  </si>
  <si>
    <t>stage_10_512C</t>
  </si>
  <si>
    <t>stage_11_1K</t>
  </si>
  <si>
    <t>stage_12_HI</t>
  </si>
  <si>
    <t>stage_13_OB</t>
  </si>
  <si>
    <t>stage_14_SPH</t>
  </si>
  <si>
    <t>stage_15_DO</t>
  </si>
  <si>
    <t>stage_16_30EPI</t>
  </si>
  <si>
    <t>stage_17_50EPI</t>
  </si>
  <si>
    <t>stage_18_GR</t>
  </si>
  <si>
    <t>stage_19_SH</t>
  </si>
  <si>
    <t>stage_20_75EPI</t>
  </si>
  <si>
    <t>stage_21_90EPI</t>
  </si>
  <si>
    <t>stage_22_1D</t>
  </si>
  <si>
    <t>stage_23_2D</t>
  </si>
  <si>
    <t>stage_24_3D</t>
  </si>
  <si>
    <t>stage_25_4D</t>
  </si>
  <si>
    <t>stage_26_5D</t>
  </si>
  <si>
    <t>stage_27_6D</t>
  </si>
  <si>
    <t>stage_28_7D</t>
  </si>
  <si>
    <t>stage_29_8D</t>
  </si>
  <si>
    <t>stage_30_9D</t>
  </si>
  <si>
    <t>stage_31_10D</t>
  </si>
  <si>
    <t>stage_32_11D</t>
  </si>
  <si>
    <t>stage_33_12D</t>
  </si>
  <si>
    <t>stage_34_13D</t>
  </si>
  <si>
    <t>stage_35_14D</t>
  </si>
  <si>
    <t>stage_36_15D</t>
  </si>
  <si>
    <t>AuditStatus</t>
  </si>
  <si>
    <t>1_Jan_Control</t>
  </si>
  <si>
    <t>1_Jan_Control_1_1</t>
  </si>
  <si>
    <t>OK</t>
  </si>
  <si>
    <t>1_Jan_Control_1_2</t>
  </si>
  <si>
    <t>1_Jan_Control_1_3</t>
  </si>
  <si>
    <t>1_Jan_Control_2_1</t>
  </si>
  <si>
    <t>1_Jan_Control_2_2</t>
  </si>
  <si>
    <t>1_Jan_Control_3_1</t>
  </si>
  <si>
    <t>1_Jan_Control_3_2</t>
  </si>
  <si>
    <t>1_Jan_Control_4_1</t>
  </si>
  <si>
    <t>1_Jan_Control_4_2</t>
  </si>
  <si>
    <t>1_Jan_Control_4_3</t>
  </si>
  <si>
    <t>1_Jan_Control_5_1</t>
  </si>
  <si>
    <t>1_Jan_Control_5_2</t>
  </si>
  <si>
    <t>1_Jan_Control_5_3</t>
  </si>
  <si>
    <t>1_Jan_Control_6_1</t>
  </si>
  <si>
    <t>1_Jan_Control_6_2</t>
  </si>
  <si>
    <t>1_Jan_Control_6_3</t>
  </si>
  <si>
    <t>1_Jan_Control_7_1</t>
  </si>
  <si>
    <t>1_Jan_Control_7_2</t>
  </si>
  <si>
    <t>1_Jan_Control_7_3</t>
  </si>
  <si>
    <t>1_Jan_Control_8_1</t>
  </si>
  <si>
    <t>1_Jan_Control_8_2</t>
  </si>
  <si>
    <t>1_Jan_Control_8_3</t>
  </si>
  <si>
    <t>1_Jan_Control_9_1</t>
  </si>
  <si>
    <t>1_Jan_Control_9_2</t>
  </si>
  <si>
    <t>1_Jan_Control_9_3</t>
  </si>
  <si>
    <t>1_Jan_Control_10_1</t>
  </si>
  <si>
    <t>1_Jan_Control_10_2</t>
  </si>
  <si>
    <t>1_Jan_Control_10_3</t>
  </si>
  <si>
    <t>Prefill_Audit</t>
  </si>
  <si>
    <t>Postfill_Audit</t>
  </si>
  <si>
    <t>M_CSOF_Lot</t>
  </si>
  <si>
    <t>M_Donor</t>
  </si>
  <si>
    <t>M_Enu_Power</t>
  </si>
  <si>
    <t>M_Enu_Pulse</t>
  </si>
  <si>
    <t>M_Enu_Led</t>
  </si>
  <si>
    <t>M_Ex_Lot</t>
  </si>
  <si>
    <t>QC1_NBD_stage_01_4C_Sur</t>
  </si>
  <si>
    <t>QC1_NBD_stage_01_4C_Mor</t>
  </si>
  <si>
    <t>QC1_NBD_stage_02_SH75EPI_Sur</t>
  </si>
  <si>
    <t>QC1_NBD_stage_02_SH75EPI_Mor</t>
  </si>
  <si>
    <t>QC1_NBD_stage_03_1D_Sur</t>
  </si>
  <si>
    <t>QC1_NBD_stage_03_1D_Mor</t>
  </si>
  <si>
    <t>QC1_NBD_stage_04_2D_Sur</t>
  </si>
  <si>
    <t>QC1_NBD_stage_04_2D_Mor</t>
  </si>
  <si>
    <t>QC1_NBD_stage_05_3D_Sur</t>
  </si>
  <si>
    <t>QC1_NBD_stage_05_3D_Mor</t>
  </si>
  <si>
    <t>QC2_IVF_stage_01_SH75EPI_Sur</t>
  </si>
  <si>
    <t>QC2_IVF_stage_01_SH75EPI_Mor</t>
  </si>
  <si>
    <t>QC2_IVF_stage_02_1D_Sur</t>
  </si>
  <si>
    <t>QC2_IVF_stage_02_1D_Mor</t>
  </si>
  <si>
    <t>QC2_IVF_stage_03_2D_Sur</t>
  </si>
  <si>
    <t>QC2_IVF_stage_03_2D_Mor</t>
  </si>
  <si>
    <t>QC2_IVF_stage_04_2D_Sur</t>
  </si>
  <si>
    <t>QC2_IVF_stage_04_2D_Mor</t>
  </si>
  <si>
    <t>DateTime_01_Start</t>
  </si>
  <si>
    <t>DateTime_02_Fin</t>
  </si>
  <si>
    <t>DateTime_03_Activated</t>
  </si>
  <si>
    <t>Index</t>
  </si>
  <si>
    <t>Modulo</t>
  </si>
  <si>
    <t>MetricType</t>
  </si>
  <si>
    <t>1_June_Control</t>
  </si>
  <si>
    <t>Survival</t>
  </si>
  <si>
    <t>ObservedTime</t>
  </si>
  <si>
    <t>Degeneration</t>
  </si>
  <si>
    <t>ObservedDead</t>
  </si>
  <si>
    <t>Morpho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</si>
</sst>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\-mmm\-yyyy;@"/>
    <numFmt numFmtId="165" formatCode="yyyy\-mm\-dd;@"/>
    <numFmt numFmtId="166" formatCode="h:mm;@"/>
    <numFmt numFmtId="167" formatCode="[$-F400]h:mm:ss\ AM/PM"/>
  </numFmts>
  <fonts count="17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rgb="FF3F3F3F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b/>
      <sz val="8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</font>
    <font>
      <sz val="8"/>
      <color theme="1"/>
      <name val="Times New Roman"/>
      <family val="1"/>
    </font>
    <font>
      <sz val="11"/>
      <color rgb="FF3F3F3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E6A6A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DDC63"/>
        <bgColor indexed="64"/>
      </patternFill>
    </fill>
  </fills>
  <borders count="3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theme="2" tint="-9.9978637043366805E-2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24">
    <xf numFmtId="0" fontId="0" fillId="0" borderId="0" xfId="0"/>
    <xf numFmtId="0" fontId="3" fillId="0" borderId="10" xfId="0" applyFont="1" applyBorder="1" applyAlignment="1">
      <alignment horizontal="center" vertical="center"/>
    </xf>
    <xf numFmtId="0" fontId="6" fillId="0" borderId="0" xfId="0" applyFont="1"/>
    <xf numFmtId="0" fontId="7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9" fillId="0" borderId="5" xfId="0" applyFont="1" applyBorder="1"/>
    <xf numFmtId="164" fontId="7" fillId="0" borderId="10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8" xfId="0" applyFont="1" applyBorder="1"/>
    <xf numFmtId="0" fontId="8" fillId="0" borderId="4" xfId="0" applyFont="1" applyBorder="1" applyAlignment="1">
      <alignment horizontal="left" vertical="center"/>
    </xf>
    <xf numFmtId="0" fontId="9" fillId="0" borderId="6" xfId="0" applyFont="1" applyBorder="1"/>
    <xf numFmtId="0" fontId="8" fillId="0" borderId="23" xfId="0" applyFont="1" applyBorder="1" applyAlignment="1">
      <alignment horizontal="left" vertical="center"/>
    </xf>
    <xf numFmtId="0" fontId="7" fillId="0" borderId="14" xfId="0" applyFont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11" fillId="7" borderId="5" xfId="0" applyFont="1" applyFill="1" applyBorder="1" applyAlignment="1">
      <alignment vertical="center"/>
    </xf>
    <xf numFmtId="0" fontId="1" fillId="2" borderId="5" xfId="1" applyBorder="1" applyAlignment="1">
      <alignment horizontal="center" vertical="center"/>
    </xf>
    <xf numFmtId="0" fontId="1" fillId="2" borderId="5" xfId="1" applyBorder="1" applyAlignment="1">
      <alignment horizontal="center" vertical="center" wrapText="1"/>
    </xf>
    <xf numFmtId="0" fontId="11" fillId="7" borderId="5" xfId="0" applyFont="1" applyFill="1" applyBorder="1"/>
    <xf numFmtId="0" fontId="0" fillId="0" borderId="5" xfId="0" applyBorder="1"/>
    <xf numFmtId="0" fontId="8" fillId="0" borderId="22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/>
    </xf>
    <xf numFmtId="0" fontId="7" fillId="7" borderId="28" xfId="0" applyFont="1" applyFill="1" applyBorder="1" applyAlignment="1">
      <alignment vertical="center"/>
    </xf>
    <xf numFmtId="0" fontId="7" fillId="7" borderId="29" xfId="0" applyFont="1" applyFill="1" applyBorder="1" applyAlignment="1">
      <alignment vertical="center"/>
    </xf>
    <xf numFmtId="0" fontId="7" fillId="7" borderId="30" xfId="0" applyFont="1" applyFill="1" applyBorder="1" applyAlignment="1">
      <alignment vertical="center"/>
    </xf>
    <xf numFmtId="0" fontId="6" fillId="0" borderId="31" xfId="0" applyFont="1" applyBorder="1" applyAlignment="1">
      <alignment horizontal="center"/>
    </xf>
    <xf numFmtId="0" fontId="7" fillId="7" borderId="25" xfId="0" applyFont="1" applyFill="1" applyBorder="1"/>
    <xf numFmtId="0" fontId="7" fillId="7" borderId="26" xfId="0" applyFont="1" applyFill="1" applyBorder="1"/>
    <xf numFmtId="0" fontId="7" fillId="7" borderId="27" xfId="0" applyFont="1" applyFill="1" applyBorder="1"/>
    <xf numFmtId="0" fontId="0" fillId="0" borderId="5" xfId="0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64" fontId="0" fillId="0" borderId="5" xfId="0" applyNumberFormat="1" applyBorder="1" applyAlignment="1">
      <alignment horizontal="center"/>
    </xf>
    <xf numFmtId="0" fontId="1" fillId="2" borderId="0" xfId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1" applyBorder="1" applyAlignment="1">
      <alignment horizontal="center" vertical="center" wrapText="1"/>
    </xf>
    <xf numFmtId="0" fontId="1" fillId="2" borderId="0" xfId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1" fillId="7" borderId="0" xfId="0" applyFont="1" applyFill="1" applyAlignment="1">
      <alignment horizontal="left" vertical="center"/>
    </xf>
    <xf numFmtId="49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9" xfId="0" applyBorder="1" applyAlignment="1">
      <alignment horizontal="left"/>
    </xf>
    <xf numFmtId="0" fontId="11" fillId="7" borderId="9" xfId="0" applyFont="1" applyFill="1" applyBorder="1" applyAlignment="1">
      <alignment horizontal="left"/>
    </xf>
    <xf numFmtId="49" fontId="11" fillId="7" borderId="9" xfId="0" applyNumberFormat="1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9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left"/>
    </xf>
    <xf numFmtId="0" fontId="11" fillId="7" borderId="32" xfId="0" applyFont="1" applyFill="1" applyBorder="1" applyAlignment="1">
      <alignment horizontal="left"/>
    </xf>
    <xf numFmtId="49" fontId="11" fillId="7" borderId="32" xfId="0" applyNumberFormat="1" applyFont="1" applyFill="1" applyBorder="1" applyAlignment="1">
      <alignment horizontal="center"/>
    </xf>
    <xf numFmtId="0" fontId="11" fillId="7" borderId="32" xfId="0" applyFont="1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11" fillId="0" borderId="32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8" borderId="9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33" xfId="0" applyBorder="1" applyAlignment="1">
      <alignment horizontal="left"/>
    </xf>
    <xf numFmtId="49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33" xfId="0" applyFont="1" applyBorder="1" applyAlignment="1">
      <alignment horizontal="left"/>
    </xf>
    <xf numFmtId="0" fontId="15" fillId="0" borderId="0" xfId="0" applyFont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11" fillId="7" borderId="9" xfId="0" applyFont="1" applyFill="1" applyBorder="1" applyAlignment="1">
      <alignment horizontal="center" vertical="center"/>
    </xf>
    <xf numFmtId="49" fontId="11" fillId="7" borderId="9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5" xfId="0" applyBorder="1" applyAlignment="1">
      <alignment horizontal="left"/>
    </xf>
    <xf numFmtId="0" fontId="11" fillId="7" borderId="35" xfId="0" applyFont="1" applyFill="1" applyBorder="1" applyAlignment="1">
      <alignment horizontal="center"/>
    </xf>
    <xf numFmtId="49" fontId="11" fillId="7" borderId="35" xfId="0" applyNumberFormat="1" applyFont="1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11" fillId="0" borderId="35" xfId="0" applyFont="1" applyBorder="1" applyAlignment="1">
      <alignment horizontal="center" vertical="center"/>
    </xf>
    <xf numFmtId="0" fontId="0" fillId="8" borderId="35" xfId="0" applyFill="1" applyBorder="1" applyAlignment="1">
      <alignment horizontal="center"/>
    </xf>
    <xf numFmtId="0" fontId="11" fillId="7" borderId="35" xfId="0" applyFont="1" applyFill="1" applyBorder="1" applyAlignment="1">
      <alignment horizontal="center" vertical="center"/>
    </xf>
    <xf numFmtId="49" fontId="11" fillId="7" borderId="35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horizontal="center"/>
    </xf>
    <xf numFmtId="0" fontId="0" fillId="0" borderId="36" xfId="0" applyBorder="1" applyAlignment="1">
      <alignment horizontal="center"/>
    </xf>
    <xf numFmtId="165" fontId="1" fillId="2" borderId="0" xfId="1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" fillId="2" borderId="5" xfId="1" applyBorder="1" applyAlignment="1">
      <alignment horizontal="left" vertical="center" wrapText="1"/>
    </xf>
    <xf numFmtId="165" fontId="1" fillId="2" borderId="0" xfId="1" applyNumberFormat="1" applyBorder="1" applyAlignment="1">
      <alignment horizontal="center" vertical="center" wrapText="1"/>
    </xf>
    <xf numFmtId="49" fontId="1" fillId="2" borderId="0" xfId="1" applyNumberFormat="1" applyBorder="1" applyAlignment="1">
      <alignment horizontal="center" vertical="center" wrapText="1"/>
    </xf>
    <xf numFmtId="0" fontId="1" fillId="0" borderId="0" xfId="1" applyFill="1" applyBorder="1" applyAlignment="1">
      <alignment horizontal="center" vertical="center"/>
    </xf>
    <xf numFmtId="0" fontId="1" fillId="2" borderId="0" xfId="1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1" fillId="2" borderId="5" xfId="1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" fillId="2" borderId="5" xfId="1" applyNumberFormat="1" applyBorder="1" applyAlignment="1">
      <alignment horizontal="center" vertical="center" wrapText="1"/>
    </xf>
    <xf numFmtId="0" fontId="1" fillId="8" borderId="0" xfId="1" applyFill="1" applyBorder="1" applyAlignment="1">
      <alignment horizontal="center" vertical="center" wrapText="1"/>
    </xf>
    <xf numFmtId="49" fontId="1" fillId="2" borderId="5" xfId="1" applyNumberFormat="1" applyBorder="1" applyAlignment="1">
      <alignment horizontal="center" vertical="center" wrapText="1"/>
    </xf>
    <xf numFmtId="0" fontId="1" fillId="2" borderId="0" xfId="1" applyBorder="1" applyAlignment="1">
      <alignment horizontal="left" vertical="top" wrapText="1"/>
    </xf>
    <xf numFmtId="165" fontId="1" fillId="2" borderId="0" xfId="1" applyNumberFormat="1" applyBorder="1" applyAlignment="1">
      <alignment horizontal="left" vertical="top" wrapText="1"/>
    </xf>
    <xf numFmtId="49" fontId="1" fillId="2" borderId="0" xfId="1" applyNumberFormat="1" applyBorder="1" applyAlignment="1">
      <alignment horizontal="left" vertical="top" wrapText="1"/>
    </xf>
    <xf numFmtId="0" fontId="1" fillId="2" borderId="0" xfId="1" applyNumberFormat="1" applyBorder="1" applyAlignment="1">
      <alignment horizontal="left" vertical="top" wrapText="1"/>
    </xf>
    <xf numFmtId="0" fontId="1" fillId="8" borderId="0" xfId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11" fillId="7" borderId="0" xfId="0" applyFont="1" applyFill="1" applyAlignment="1">
      <alignment horizontal="left" vertical="top" wrapText="1"/>
    </xf>
    <xf numFmtId="49" fontId="11" fillId="7" borderId="0" xfId="0" applyNumberFormat="1" applyFont="1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1" fillId="7" borderId="32" xfId="0" applyFont="1" applyFill="1" applyBorder="1" applyAlignment="1">
      <alignment horizontal="left" vertical="top" wrapText="1"/>
    </xf>
    <xf numFmtId="49" fontId="11" fillId="7" borderId="32" xfId="0" applyNumberFormat="1" applyFont="1" applyFill="1" applyBorder="1" applyAlignment="1">
      <alignment horizontal="left" vertical="top" wrapText="1"/>
    </xf>
    <xf numFmtId="0" fontId="0" fillId="7" borderId="32" xfId="0" applyFill="1" applyBorder="1" applyAlignment="1">
      <alignment horizontal="left" vertical="top" wrapText="1"/>
    </xf>
    <xf numFmtId="0" fontId="11" fillId="0" borderId="32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1" fillId="7" borderId="9" xfId="0" applyFont="1" applyFill="1" applyBorder="1" applyAlignment="1">
      <alignment horizontal="left" vertical="top" wrapText="1"/>
    </xf>
    <xf numFmtId="49" fontId="11" fillId="7" borderId="9" xfId="0" applyNumberFormat="1" applyFont="1" applyFill="1" applyBorder="1" applyAlignment="1">
      <alignment horizontal="left" vertical="top" wrapText="1"/>
    </xf>
    <xf numFmtId="0" fontId="0" fillId="7" borderId="9" xfId="0" applyFill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0" fillId="8" borderId="9" xfId="0" applyFill="1" applyBorder="1" applyAlignment="1">
      <alignment horizontal="left" vertical="top" wrapText="1"/>
    </xf>
    <xf numFmtId="0" fontId="16" fillId="2" borderId="0" xfId="1" applyFont="1" applyBorder="1" applyAlignment="1">
      <alignment horizontal="left" vertical="top"/>
    </xf>
    <xf numFmtId="165" fontId="16" fillId="2" borderId="0" xfId="1" applyNumberFormat="1" applyFont="1" applyBorder="1" applyAlignment="1">
      <alignment horizontal="left" vertical="top"/>
    </xf>
    <xf numFmtId="165" fontId="16" fillId="2" borderId="0" xfId="1" applyNumberFormat="1" applyFont="1" applyBorder="1" applyAlignment="1">
      <alignment horizontal="left" vertical="top" wrapText="1"/>
    </xf>
    <xf numFmtId="0" fontId="16" fillId="13" borderId="0" xfId="1" applyFont="1" applyFill="1" applyBorder="1" applyAlignment="1">
      <alignment horizontal="left" vertical="top"/>
    </xf>
    <xf numFmtId="0" fontId="16" fillId="12" borderId="0" xfId="1" applyFont="1" applyFill="1" applyBorder="1" applyAlignment="1">
      <alignment horizontal="left" vertical="top"/>
    </xf>
    <xf numFmtId="0" fontId="16" fillId="2" borderId="0" xfId="1" applyNumberFormat="1" applyFont="1" applyBorder="1" applyAlignment="1">
      <alignment horizontal="left" vertical="top"/>
    </xf>
    <xf numFmtId="0" fontId="16" fillId="12" borderId="0" xfId="1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5" fontId="16" fillId="10" borderId="0" xfId="1" applyNumberFormat="1" applyFont="1" applyFill="1" applyBorder="1" applyAlignment="1">
      <alignment horizontal="left" vertical="top"/>
    </xf>
    <xf numFmtId="165" fontId="16" fillId="11" borderId="0" xfId="1" applyNumberFormat="1" applyFont="1" applyFill="1" applyBorder="1" applyAlignment="1">
      <alignment horizontal="left" vertical="top"/>
    </xf>
    <xf numFmtId="0" fontId="16" fillId="11" borderId="0" xfId="1" applyFont="1" applyFill="1" applyBorder="1" applyAlignment="1">
      <alignment horizontal="left" vertical="top"/>
    </xf>
    <xf numFmtId="0" fontId="16" fillId="0" borderId="0" xfId="1" applyFont="1" applyFill="1" applyBorder="1" applyAlignment="1">
      <alignment horizontal="left" vertical="top"/>
    </xf>
    <xf numFmtId="0" fontId="16" fillId="0" borderId="0" xfId="1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2" fontId="0" fillId="0" borderId="0" xfId="0" applyNumberFormat="1" applyAlignment="1">
      <alignment horizontal="left" vertical="top"/>
    </xf>
    <xf numFmtId="165" fontId="0" fillId="0" borderId="32" xfId="0" applyNumberFormat="1" applyBorder="1" applyAlignment="1">
      <alignment horizontal="left" vertical="top"/>
    </xf>
    <xf numFmtId="165" fontId="0" fillId="0" borderId="9" xfId="0" applyNumberFormat="1" applyBorder="1" applyAlignment="1">
      <alignment horizontal="left" vertical="top"/>
    </xf>
    <xf numFmtId="49" fontId="0" fillId="0" borderId="32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0" fontId="0" fillId="8" borderId="32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20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left" vertical="top"/>
    </xf>
    <xf numFmtId="166" fontId="16" fillId="2" borderId="0" xfId="1" applyNumberFormat="1" applyFont="1" applyBorder="1" applyAlignment="1">
      <alignment horizontal="left" vertical="top"/>
    </xf>
    <xf numFmtId="166" fontId="0" fillId="0" borderId="32" xfId="0" applyNumberFormat="1" applyBorder="1" applyAlignment="1">
      <alignment horizontal="left" vertical="top"/>
    </xf>
    <xf numFmtId="166" fontId="0" fillId="0" borderId="9" xfId="0" applyNumberFormat="1" applyBorder="1" applyAlignment="1">
      <alignment horizontal="left" vertical="top"/>
    </xf>
    <xf numFmtId="0" fontId="16" fillId="2" borderId="37" xfId="1" applyFont="1" applyBorder="1" applyAlignment="1">
      <alignment horizontal="left" vertical="top"/>
    </xf>
    <xf numFmtId="0" fontId="16" fillId="12" borderId="37" xfId="1" applyFont="1" applyFill="1" applyBorder="1" applyAlignment="1">
      <alignment horizontal="left" vertical="top"/>
    </xf>
    <xf numFmtId="0" fontId="16" fillId="2" borderId="37" xfId="1" applyNumberFormat="1" applyFont="1" applyBorder="1" applyAlignment="1">
      <alignment horizontal="left" vertical="top"/>
    </xf>
    <xf numFmtId="0" fontId="16" fillId="12" borderId="37" xfId="1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left"/>
    </xf>
    <xf numFmtId="14" fontId="0" fillId="0" borderId="0" xfId="0" applyNumberFormat="1"/>
    <xf numFmtId="167" fontId="0" fillId="0" borderId="0" xfId="0" applyNumberFormat="1"/>
    <xf numFmtId="22" fontId="0" fillId="0" borderId="0" xfId="0" applyNumberFormat="1"/>
    <xf numFmtId="0" fontId="1" fillId="2" borderId="5" xfId="1" applyBorder="1" applyAlignment="1">
      <alignment horizontal="center" vertical="center" wrapText="1"/>
    </xf>
    <xf numFmtId="165" fontId="1" fillId="2" borderId="5" xfId="1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2" borderId="5" xfId="1" applyBorder="1" applyAlignment="1">
      <alignment horizontal="center" vertical="center"/>
    </xf>
    <xf numFmtId="0" fontId="1" fillId="0" borderId="5" xfId="1" applyFill="1" applyBorder="1" applyAlignment="1">
      <alignment horizontal="center" vertical="center"/>
    </xf>
    <xf numFmtId="164" fontId="1" fillId="2" borderId="5" xfId="1" applyNumberFormat="1" applyBorder="1" applyAlignment="1">
      <alignment horizontal="center" vertical="center"/>
    </xf>
    <xf numFmtId="165" fontId="1" fillId="2" borderId="5" xfId="1" applyNumberForma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5" fillId="4" borderId="10" xfId="1" applyNumberFormat="1" applyFont="1" applyFill="1" applyBorder="1" applyAlignment="1">
      <alignment horizontal="center" vertical="center" wrapText="1"/>
    </xf>
    <xf numFmtId="0" fontId="5" fillId="4" borderId="12" xfId="1" applyNumberFormat="1" applyFont="1" applyFill="1" applyBorder="1" applyAlignment="1">
      <alignment horizontal="center" vertical="center" wrapText="1"/>
    </xf>
    <xf numFmtId="0" fontId="5" fillId="5" borderId="10" xfId="1" applyNumberFormat="1" applyFont="1" applyFill="1" applyBorder="1" applyAlignment="1">
      <alignment horizontal="center" vertical="center" wrapText="1"/>
    </xf>
    <xf numFmtId="0" fontId="5" fillId="5" borderId="12" xfId="1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2" borderId="7" xfId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4" borderId="20" xfId="1" applyNumberFormat="1" applyFont="1" applyFill="1" applyBorder="1" applyAlignment="1">
      <alignment horizontal="center" vertical="center" wrapText="1"/>
    </xf>
    <xf numFmtId="0" fontId="5" fillId="4" borderId="21" xfId="1" applyNumberFormat="1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5" fillId="3" borderId="20" xfId="1" applyNumberFormat="1" applyFont="1" applyFill="1" applyBorder="1" applyAlignment="1">
      <alignment horizontal="center" vertical="center" wrapText="1"/>
    </xf>
    <xf numFmtId="0" fontId="5" fillId="3" borderId="21" xfId="1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5" borderId="20" xfId="1" applyNumberFormat="1" applyFont="1" applyFill="1" applyBorder="1" applyAlignment="1">
      <alignment horizontal="center" vertical="center" wrapText="1"/>
    </xf>
    <xf numFmtId="0" fontId="5" fillId="5" borderId="21" xfId="1" applyNumberFormat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3" borderId="21" xfId="1" applyNumberFormat="1" applyFont="1" applyFill="1" applyBorder="1" applyAlignment="1">
      <alignment horizontal="center" wrapText="1"/>
    </xf>
    <xf numFmtId="0" fontId="5" fillId="3" borderId="10" xfId="1" applyNumberFormat="1" applyFont="1" applyFill="1" applyBorder="1" applyAlignment="1">
      <alignment horizontal="center" vertical="center" wrapText="1"/>
    </xf>
    <xf numFmtId="0" fontId="5" fillId="3" borderId="12" xfId="1" applyNumberFormat="1" applyFont="1" applyFill="1" applyBorder="1" applyAlignment="1">
      <alignment horizontal="center" vertical="center" wrapText="1"/>
    </xf>
    <xf numFmtId="0" fontId="1" fillId="2" borderId="5" xfId="1" applyNumberFormat="1" applyBorder="1" applyAlignment="1">
      <alignment horizontal="center" vertical="center" wrapText="1"/>
    </xf>
    <xf numFmtId="0" fontId="1" fillId="2" borderId="0" xfId="1" applyBorder="1" applyAlignment="1">
      <alignment horizontal="center" vertical="center" wrapText="1"/>
    </xf>
    <xf numFmtId="165" fontId="1" fillId="2" borderId="0" xfId="1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1" applyNumberFormat="1" applyBorder="1" applyAlignment="1">
      <alignment horizontal="center" vertical="center" wrapText="1"/>
    </xf>
    <xf numFmtId="0" fontId="1" fillId="2" borderId="0" xfId="1" applyBorder="1" applyAlignment="1">
      <alignment horizontal="center" vertical="center"/>
    </xf>
    <xf numFmtId="0" fontId="1" fillId="2" borderId="0" xfId="1" applyBorder="1" applyAlignment="1">
      <alignment horizontal="left" vertical="center" wrapText="1"/>
    </xf>
    <xf numFmtId="49" fontId="1" fillId="2" borderId="0" xfId="1" applyNumberFormat="1" applyBorder="1" applyAlignment="1">
      <alignment horizontal="center" vertical="center" wrapText="1"/>
    </xf>
    <xf numFmtId="0" fontId="1" fillId="0" borderId="0" xfId="1" applyFill="1" applyBorder="1" applyAlignment="1">
      <alignment horizontal="center" vertical="center"/>
    </xf>
    <xf numFmtId="165" fontId="1" fillId="2" borderId="0" xfId="1" applyNumberForma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Output" xfId="1" builtinId="21"/>
  </cellStyles>
  <dxfs count="894">
    <dxf>
      <font>
        <b/>
        <i val="0"/>
        <u val="double"/>
      </font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6" formatCode="h:mm;@"/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6" formatCode="h:mm;@"/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6" formatCode="h:mm;@"/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h:mm;@"/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5" formatCode="yyyy\-mm\-dd;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167" formatCode="[$-F400]h:mm:ss\ AM/PM"/>
    </dxf>
    <dxf>
      <numFmt numFmtId="167" formatCode="[$-F400]h:mm:ss\ AM/PM"/>
    </dxf>
    <dxf>
      <numFmt numFmtId="167" formatCode="[$-F400]h:mm:ss\ AM/PM"/>
    </dxf>
    <dxf>
      <numFmt numFmtId="19" formatCode="m/d/yyyy"/>
    </dxf>
    <dxf>
      <numFmt numFmtId="167" formatCode="[$-F400]h:mm:ss\ AM/PM"/>
    </dxf>
    <dxf>
      <numFmt numFmtId="167" formatCode="[$-F400]h:mm:ss\ AM/PM"/>
    </dxf>
    <dxf>
      <numFmt numFmtId="167" formatCode="[$-F400]h:mm:ss\ AM/PM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E24E692E-1609-4D08-8C99-8D3D1BE41B66}"/>
  </tableStyles>
  <colors>
    <mruColors>
      <color rgb="FFFDDC63"/>
      <color rgb="FFFE6A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nika PIYASANTI" id="{225171EE-44CF-4013-B2DB-53FC08B45FC1}" userId="S::yanika.p@kuvacb.com::4ab95fee-2da3-48a3-9912-6b701b45d797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333844F-C3A2-415B-9832-037939CB126F}" autoFormatId="16" applyNumberFormats="0" applyBorderFormats="0" applyFontFormats="0" applyPatternFormats="0" applyAlignmentFormats="0" applyWidthHeightFormats="0">
  <queryTableRefresh nextId="160">
    <queryTableFields count="159">
      <queryTableField id="1" name="Day" tableColumnId="1"/>
      <queryTableField id="2" name="Operator" tableColumnId="2"/>
      <queryTableField id="3" name="Group" tableColumnId="3"/>
      <queryTableField id="4" name="Batch_ID" tableColumnId="4"/>
      <queryTableField id="5" name="Clutch_ID" tableColumnId="5"/>
      <queryTableField id="6" name="Date" tableColumnId="6"/>
      <queryTableField id="7" name="RecBreed" tableColumnId="7"/>
      <queryTableField id="8" name="Running" tableColumnId="8"/>
      <queryTableField id="9" name="Ex_lot" tableColumnId="9"/>
      <queryTableField id="10" name="Ex_activated" tableColumnId="10"/>
      <queryTableField id="11" name="Ex_start" tableColumnId="11"/>
      <queryTableField id="12" name="Ex_fin" tableColumnId="12"/>
      <queryTableField id="13" name="Ex_lot2" tableColumnId="13"/>
      <queryTableField id="14" name="Embryo_ID" tableColumnId="14"/>
      <queryTableField id="15" name="Prefill_Audit" tableColumnId="15"/>
      <queryTableField id="16" name="15D5" tableColumnId="16"/>
      <queryTableField id="17" name="15D4" tableColumnId="17"/>
      <queryTableField id="18" name="15D3" tableColumnId="18"/>
      <queryTableField id="19" name="15D2" tableColumnId="19"/>
      <queryTableField id="20" name="14D5" tableColumnId="20"/>
      <queryTableField id="21" name="14D4" tableColumnId="21"/>
      <queryTableField id="22" name="14D3" tableColumnId="22"/>
      <queryTableField id="23" name="14D2" tableColumnId="23"/>
      <queryTableField id="24" name="13D5" tableColumnId="24"/>
      <queryTableField id="25" name="13D4" tableColumnId="25"/>
      <queryTableField id="26" name="13D3" tableColumnId="26"/>
      <queryTableField id="27" name="13D2" tableColumnId="27"/>
      <queryTableField id="28" name="12D5" tableColumnId="28"/>
      <queryTableField id="29" name="12D4" tableColumnId="29"/>
      <queryTableField id="30" name="12D3" tableColumnId="30"/>
      <queryTableField id="31" name="12D2" tableColumnId="31"/>
      <queryTableField id="32" name="11D5" tableColumnId="32"/>
      <queryTableField id="33" name="11D4" tableColumnId="33"/>
      <queryTableField id="34" name="11D3" tableColumnId="34"/>
      <queryTableField id="35" name="11D2" tableColumnId="35"/>
      <queryTableField id="36" name="10D5" tableColumnId="36"/>
      <queryTableField id="37" name="10D4" tableColumnId="37"/>
      <queryTableField id="38" name="10D3" tableColumnId="38"/>
      <queryTableField id="39" name="10D2" tableColumnId="39"/>
      <queryTableField id="40" name="9D5" tableColumnId="40"/>
      <queryTableField id="41" name="9D4" tableColumnId="41"/>
      <queryTableField id="42" name="9D3" tableColumnId="42"/>
      <queryTableField id="43" name="9D2" tableColumnId="43"/>
      <queryTableField id="44" name="8D5" tableColumnId="44"/>
      <queryTableField id="45" name="8D4" tableColumnId="45"/>
      <queryTableField id="46" name="8D3" tableColumnId="46"/>
      <queryTableField id="47" name="8D2" tableColumnId="47"/>
      <queryTableField id="48" name="7D5" tableColumnId="48"/>
      <queryTableField id="49" name="7D4" tableColumnId="49"/>
      <queryTableField id="50" name="7D3" tableColumnId="50"/>
      <queryTableField id="51" name="7D2" tableColumnId="51"/>
      <queryTableField id="52" name="6D5" tableColumnId="52"/>
      <queryTableField id="53" name="6D4" tableColumnId="53"/>
      <queryTableField id="54" name="6D3" tableColumnId="54"/>
      <queryTableField id="55" name="6D2" tableColumnId="55"/>
      <queryTableField id="56" name="5D5" tableColumnId="56"/>
      <queryTableField id="57" name="5D4" tableColumnId="57"/>
      <queryTableField id="58" name="5D3" tableColumnId="58"/>
      <queryTableField id="59" name="5D2" tableColumnId="59"/>
      <queryTableField id="60" name="4D5" tableColumnId="60"/>
      <queryTableField id="61" name="4D4" tableColumnId="61"/>
      <queryTableField id="62" name="4D3" tableColumnId="62"/>
      <queryTableField id="63" name="4D2" tableColumnId="63"/>
      <queryTableField id="64" name="3D5" tableColumnId="64"/>
      <queryTableField id="65" name="3D4" tableColumnId="65"/>
      <queryTableField id="66" name="3D3" tableColumnId="66"/>
      <queryTableField id="67" name="3D2" tableColumnId="67"/>
      <queryTableField id="68" name="2D5" tableColumnId="68"/>
      <queryTableField id="69" name="2D4" tableColumnId="69"/>
      <queryTableField id="70" name="2D3" tableColumnId="70"/>
      <queryTableField id="71" name="2D2" tableColumnId="71"/>
      <queryTableField id="72" name="1D5" tableColumnId="72"/>
      <queryTableField id="73" name="1D4" tableColumnId="73"/>
      <queryTableField id="74" name="1D3" tableColumnId="74"/>
      <queryTableField id="75" name="1D2" tableColumnId="75"/>
      <queryTableField id="76" name="90EPI5" tableColumnId="76"/>
      <queryTableField id="77" name="90EPI4" tableColumnId="77"/>
      <queryTableField id="78" name="90EPI3" tableColumnId="78"/>
      <queryTableField id="79" name="90EPI2" tableColumnId="79"/>
      <queryTableField id="80" name="75EPI5" tableColumnId="80"/>
      <queryTableField id="81" name="75EPI4" tableColumnId="81"/>
      <queryTableField id="82" name="75EPI3" tableColumnId="82"/>
      <queryTableField id="83" name="75EPI2" tableColumnId="83"/>
      <queryTableField id="84" name="SH5" tableColumnId="84"/>
      <queryTableField id="85" name="SH4" tableColumnId="85"/>
      <queryTableField id="86" name="SH3" tableColumnId="86"/>
      <queryTableField id="87" name="SH2" tableColumnId="87"/>
      <queryTableField id="88" name="GR5" tableColumnId="88"/>
      <queryTableField id="89" name="GR4" tableColumnId="89"/>
      <queryTableField id="90" name="GR3" tableColumnId="90"/>
      <queryTableField id="91" name="GR2" tableColumnId="91"/>
      <queryTableField id="92" name="50EPI5" tableColumnId="92"/>
      <queryTableField id="93" name="50EPI4" tableColumnId="93"/>
      <queryTableField id="94" name="50EPI3" tableColumnId="94"/>
      <queryTableField id="95" name="50EPI2" tableColumnId="95"/>
      <queryTableField id="96" name="30EPI5" tableColumnId="96"/>
      <queryTableField id="97" name="30EPI4" tableColumnId="97"/>
      <queryTableField id="98" name="30EPI3" tableColumnId="98"/>
      <queryTableField id="99" name="30EPI2" tableColumnId="99"/>
      <queryTableField id="100" name="DO5" tableColumnId="100"/>
      <queryTableField id="101" name="DO4" tableColumnId="101"/>
      <queryTableField id="102" name="DO3" tableColumnId="102"/>
      <queryTableField id="103" name="DO2" tableColumnId="103"/>
      <queryTableField id="104" name="SPH5" tableColumnId="104"/>
      <queryTableField id="105" name="SPH4" tableColumnId="105"/>
      <queryTableField id="106" name="SPH3" tableColumnId="106"/>
      <queryTableField id="107" name="SPH2" tableColumnId="107"/>
      <queryTableField id="108" name="OB5" tableColumnId="108"/>
      <queryTableField id="109" name="OB4" tableColumnId="109"/>
      <queryTableField id="110" name="OB3" tableColumnId="110"/>
      <queryTableField id="111" name="OB2" tableColumnId="111"/>
      <queryTableField id="112" name="HI5" tableColumnId="112"/>
      <queryTableField id="113" name="HI4" tableColumnId="113"/>
      <queryTableField id="114" name="HI3" tableColumnId="114"/>
      <queryTableField id="115" name="HI2" tableColumnId="115"/>
      <queryTableField id="116" name="1K5" tableColumnId="116"/>
      <queryTableField id="117" name="1K4" tableColumnId="117"/>
      <queryTableField id="118" name="1K3" tableColumnId="118"/>
      <queryTableField id="119" name="1K2" tableColumnId="119"/>
      <queryTableField id="120" name="512C5" tableColumnId="120"/>
      <queryTableField id="121" name="512C4" tableColumnId="121"/>
      <queryTableField id="122" name="512C3" tableColumnId="122"/>
      <queryTableField id="123" name="512C2" tableColumnId="123"/>
      <queryTableField id="124" name="256C5" tableColumnId="124"/>
      <queryTableField id="125" name="256C4" tableColumnId="125"/>
      <queryTableField id="126" name="256C3" tableColumnId="126"/>
      <queryTableField id="127" name="256C2" tableColumnId="127"/>
      <queryTableField id="128" name="128C5" tableColumnId="128"/>
      <queryTableField id="129" name="128C4" tableColumnId="129"/>
      <queryTableField id="130" name="128C3" tableColumnId="130"/>
      <queryTableField id="131" name="128C2" tableColumnId="131"/>
      <queryTableField id="132" name="64C5" tableColumnId="132"/>
      <queryTableField id="133" name="64C4" tableColumnId="133"/>
      <queryTableField id="134" name="64C3" tableColumnId="134"/>
      <queryTableField id="135" name="64C2" tableColumnId="135"/>
      <queryTableField id="136" name="32C5" tableColumnId="136"/>
      <queryTableField id="137" name="32C4" tableColumnId="137"/>
      <queryTableField id="138" name="32C3" tableColumnId="138"/>
      <queryTableField id="139" name="32C2" tableColumnId="139"/>
      <queryTableField id="140" name="16C5" tableColumnId="140"/>
      <queryTableField id="141" name="16C4" tableColumnId="141"/>
      <queryTableField id="142" name="16C3" tableColumnId="142"/>
      <queryTableField id="143" name="16C2" tableColumnId="143"/>
      <queryTableField id="144" name="8C5" tableColumnId="144"/>
      <queryTableField id="145" name="8C4" tableColumnId="145"/>
      <queryTableField id="146" name="8C3" tableColumnId="146"/>
      <queryTableField id="147" name="8C2" tableColumnId="147"/>
      <queryTableField id="148" name="4C5" tableColumnId="148"/>
      <queryTableField id="149" name="4C4" tableColumnId="149"/>
      <queryTableField id="150" name="4C3" tableColumnId="150"/>
      <queryTableField id="151" name="4C2" tableColumnId="151"/>
      <queryTableField id="152" name="2C5" tableColumnId="152"/>
      <queryTableField id="153" name="2C4" tableColumnId="153"/>
      <queryTableField id="154" name="2C3" tableColumnId="154"/>
      <queryTableField id="155" name="2C2" tableColumnId="155"/>
      <queryTableField id="156" name="1C5" tableColumnId="156"/>
      <queryTableField id="157" name="1C4" tableColumnId="157"/>
      <queryTableField id="158" name="1C3" tableColumnId="158"/>
      <queryTableField id="159" name="1C2" tableColumnId="15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697F822-FCAD-480C-9323-636BECF8AC7B}" autoFormatId="16" applyNumberFormats="0" applyBorderFormats="0" applyFontFormats="0" applyPatternFormats="0" applyAlignmentFormats="0" applyWidthHeightFormats="0">
  <queryTableRefresh nextId="196">
    <queryTableFields count="195">
      <queryTableField id="1" name="Day" tableColumnId="1"/>
      <queryTableField id="2" name="Operator" tableColumnId="2"/>
      <queryTableField id="3" name="Group" tableColumnId="3"/>
      <queryTableField id="4" name="Batch_ID" tableColumnId="4"/>
      <queryTableField id="5" name="Clutch_ID" tableColumnId="5"/>
      <queryTableField id="6" name="Date" tableColumnId="6"/>
      <queryTableField id="7" name="RecBreed" tableColumnId="7"/>
      <queryTableField id="8" name="Running" tableColumnId="8"/>
      <queryTableField id="9" name="Ex_lot" tableColumnId="9"/>
      <queryTableField id="10" name="Ex_activated" tableColumnId="10"/>
      <queryTableField id="11" name="Ex_start" tableColumnId="11"/>
      <queryTableField id="12" name="Ex_fin" tableColumnId="12"/>
      <queryTableField id="13" name="Ex_lot2" tableColumnId="13"/>
      <queryTableField id="14" name="Embryo_ID" tableColumnId="14"/>
      <queryTableField id="15" name="stage_01_1C" tableColumnId="15"/>
      <queryTableField id="16" name="stage_02_2C" tableColumnId="16"/>
      <queryTableField id="17" name="stage_03_4C" tableColumnId="17"/>
      <queryTableField id="18" name="stage_04_8C" tableColumnId="18"/>
      <queryTableField id="19" name="stage_05_16C" tableColumnId="19"/>
      <queryTableField id="20" name="stage_06_32C" tableColumnId="20"/>
      <queryTableField id="21" name="stage_07_64C" tableColumnId="21"/>
      <queryTableField id="22" name="stage_08_128C" tableColumnId="22"/>
      <queryTableField id="23" name="stage_09_256C" tableColumnId="23"/>
      <queryTableField id="24" name="stage_10_512C" tableColumnId="24"/>
      <queryTableField id="25" name="stage_11_1K" tableColumnId="25"/>
      <queryTableField id="26" name="stage_12_HI" tableColumnId="26"/>
      <queryTableField id="27" name="stage_13_OB" tableColumnId="27"/>
      <queryTableField id="28" name="stage_14_SPH" tableColumnId="28"/>
      <queryTableField id="29" name="stage_15_DO" tableColumnId="29"/>
      <queryTableField id="30" name="stage_16_30EPI" tableColumnId="30"/>
      <queryTableField id="31" name="stage_17_50EPI" tableColumnId="31"/>
      <queryTableField id="32" name="stage_18_GR" tableColumnId="32"/>
      <queryTableField id="33" name="stage_19_SH" tableColumnId="33"/>
      <queryTableField id="34" name="stage_20_75EPI" tableColumnId="34"/>
      <queryTableField id="35" name="stage_21_90EPI" tableColumnId="35"/>
      <queryTableField id="36" name="stage_22_1D" tableColumnId="36"/>
      <queryTableField id="37" name="stage_23_2D" tableColumnId="37"/>
      <queryTableField id="38" name="stage_24_3D" tableColumnId="38"/>
      <queryTableField id="39" name="stage_25_4D" tableColumnId="39"/>
      <queryTableField id="40" name="stage_26_5D" tableColumnId="40"/>
      <queryTableField id="41" name="stage_27_6D" tableColumnId="41"/>
      <queryTableField id="42" name="stage_28_7D" tableColumnId="42"/>
      <queryTableField id="43" name="stage_29_8D" tableColumnId="43"/>
      <queryTableField id="44" name="stage_30_9D" tableColumnId="44"/>
      <queryTableField id="45" name="stage_31_10D" tableColumnId="45"/>
      <queryTableField id="46" name="stage_32_11D" tableColumnId="46"/>
      <queryTableField id="47" name="stage_33_12D" tableColumnId="47"/>
      <queryTableField id="48" name="stage_34_13D" tableColumnId="48"/>
      <queryTableField id="49" name="stage_35_14D" tableColumnId="49"/>
      <queryTableField id="50" name="stage_36_15D" tableColumnId="50"/>
      <queryTableField id="51" name="1C2" tableColumnId="51"/>
      <queryTableField id="52" name="1C3" tableColumnId="52"/>
      <queryTableField id="53" name="1C4" tableColumnId="53"/>
      <queryTableField id="54" name="1C5" tableColumnId="54"/>
      <queryTableField id="55" name="2C2" tableColumnId="55"/>
      <queryTableField id="56" name="2C3" tableColumnId="56"/>
      <queryTableField id="57" name="2C4" tableColumnId="57"/>
      <queryTableField id="58" name="2C5" tableColumnId="58"/>
      <queryTableField id="59" name="4C2" tableColumnId="59"/>
      <queryTableField id="60" name="4C3" tableColumnId="60"/>
      <queryTableField id="61" name="4C4" tableColumnId="61"/>
      <queryTableField id="62" name="4C5" tableColumnId="62"/>
      <queryTableField id="63" name="8C2" tableColumnId="63"/>
      <queryTableField id="64" name="8C3" tableColumnId="64"/>
      <queryTableField id="65" name="8C4" tableColumnId="65"/>
      <queryTableField id="66" name="8C5" tableColumnId="66"/>
      <queryTableField id="67" name="16C2" tableColumnId="67"/>
      <queryTableField id="68" name="16C3" tableColumnId="68"/>
      <queryTableField id="69" name="16C4" tableColumnId="69"/>
      <queryTableField id="70" name="16C5" tableColumnId="70"/>
      <queryTableField id="71" name="32C2" tableColumnId="71"/>
      <queryTableField id="72" name="32C3" tableColumnId="72"/>
      <queryTableField id="73" name="32C4" tableColumnId="73"/>
      <queryTableField id="74" name="32C5" tableColumnId="74"/>
      <queryTableField id="75" name="64C2" tableColumnId="75"/>
      <queryTableField id="76" name="64C3" tableColumnId="76"/>
      <queryTableField id="77" name="64C4" tableColumnId="77"/>
      <queryTableField id="78" name="64C5" tableColumnId="78"/>
      <queryTableField id="79" name="128C2" tableColumnId="79"/>
      <queryTableField id="80" name="128C3" tableColumnId="80"/>
      <queryTableField id="81" name="128C4" tableColumnId="81"/>
      <queryTableField id="82" name="128C5" tableColumnId="82"/>
      <queryTableField id="83" name="256C2" tableColumnId="83"/>
      <queryTableField id="84" name="256C3" tableColumnId="84"/>
      <queryTableField id="85" name="256C4" tableColumnId="85"/>
      <queryTableField id="86" name="256C5" tableColumnId="86"/>
      <queryTableField id="87" name="512C2" tableColumnId="87"/>
      <queryTableField id="88" name="512C3" tableColumnId="88"/>
      <queryTableField id="89" name="512C4" tableColumnId="89"/>
      <queryTableField id="90" name="512C5" tableColumnId="90"/>
      <queryTableField id="91" name="1K2" tableColumnId="91"/>
      <queryTableField id="92" name="1K3" tableColumnId="92"/>
      <queryTableField id="93" name="1K4" tableColumnId="93"/>
      <queryTableField id="94" name="1K5" tableColumnId="94"/>
      <queryTableField id="95" name="HI2" tableColumnId="95"/>
      <queryTableField id="96" name="HI3" tableColumnId="96"/>
      <queryTableField id="97" name="HI4" tableColumnId="97"/>
      <queryTableField id="98" name="HI5" tableColumnId="98"/>
      <queryTableField id="99" name="OB2" tableColumnId="99"/>
      <queryTableField id="100" name="OB3" tableColumnId="100"/>
      <queryTableField id="101" name="OB4" tableColumnId="101"/>
      <queryTableField id="102" name="OB5" tableColumnId="102"/>
      <queryTableField id="103" name="SPH2" tableColumnId="103"/>
      <queryTableField id="104" name="SPH3" tableColumnId="104"/>
      <queryTableField id="105" name="SPH4" tableColumnId="105"/>
      <queryTableField id="106" name="SPH5" tableColumnId="106"/>
      <queryTableField id="107" name="DO2" tableColumnId="107"/>
      <queryTableField id="108" name="DO3" tableColumnId="108"/>
      <queryTableField id="109" name="DO4" tableColumnId="109"/>
      <queryTableField id="110" name="DO5" tableColumnId="110"/>
      <queryTableField id="111" name="30EPI2" tableColumnId="111"/>
      <queryTableField id="112" name="30EPI3" tableColumnId="112"/>
      <queryTableField id="113" name="30EPI4" tableColumnId="113"/>
      <queryTableField id="114" name="30EPI5" tableColumnId="114"/>
      <queryTableField id="115" name="50EPI2" tableColumnId="115"/>
      <queryTableField id="116" name="50EPI3" tableColumnId="116"/>
      <queryTableField id="117" name="50EPI4" tableColumnId="117"/>
      <queryTableField id="118" name="50EPI5" tableColumnId="118"/>
      <queryTableField id="119" name="GR2" tableColumnId="119"/>
      <queryTableField id="120" name="GR3" tableColumnId="120"/>
      <queryTableField id="121" name="GR4" tableColumnId="121"/>
      <queryTableField id="122" name="GR5" tableColumnId="122"/>
      <queryTableField id="123" name="SH2" tableColumnId="123"/>
      <queryTableField id="124" name="SH3" tableColumnId="124"/>
      <queryTableField id="125" name="SH4" tableColumnId="125"/>
      <queryTableField id="126" name="SH5" tableColumnId="126"/>
      <queryTableField id="127" name="75EPI2" tableColumnId="127"/>
      <queryTableField id="128" name="75EPI3" tableColumnId="128"/>
      <queryTableField id="129" name="75EPI4" tableColumnId="129"/>
      <queryTableField id="130" name="75EPI5" tableColumnId="130"/>
      <queryTableField id="131" name="90EPI2" tableColumnId="131"/>
      <queryTableField id="132" name="90EPI3" tableColumnId="132"/>
      <queryTableField id="133" name="90EPI4" tableColumnId="133"/>
      <queryTableField id="134" name="90EPI5" tableColumnId="134"/>
      <queryTableField id="135" name="1D2" tableColumnId="135"/>
      <queryTableField id="136" name="1D3" tableColumnId="136"/>
      <queryTableField id="137" name="1D4" tableColumnId="137"/>
      <queryTableField id="138" name="1D5" tableColumnId="138"/>
      <queryTableField id="139" name="2D2" tableColumnId="139"/>
      <queryTableField id="140" name="2D3" tableColumnId="140"/>
      <queryTableField id="141" name="2D4" tableColumnId="141"/>
      <queryTableField id="142" name="2D5" tableColumnId="142"/>
      <queryTableField id="143" name="3D2" tableColumnId="143"/>
      <queryTableField id="144" name="3D3" tableColumnId="144"/>
      <queryTableField id="145" name="3D4" tableColumnId="145"/>
      <queryTableField id="146" name="3D5" tableColumnId="146"/>
      <queryTableField id="147" name="4D2" tableColumnId="147"/>
      <queryTableField id="148" name="4D3" tableColumnId="148"/>
      <queryTableField id="149" name="4D4" tableColumnId="149"/>
      <queryTableField id="150" name="4D5" tableColumnId="150"/>
      <queryTableField id="151" name="5D2" tableColumnId="151"/>
      <queryTableField id="152" name="5D3" tableColumnId="152"/>
      <queryTableField id="153" name="5D4" tableColumnId="153"/>
      <queryTableField id="154" name="5D5" tableColumnId="154"/>
      <queryTableField id="155" name="6D2" tableColumnId="155"/>
      <queryTableField id="156" name="6D3" tableColumnId="156"/>
      <queryTableField id="157" name="6D4" tableColumnId="157"/>
      <queryTableField id="158" name="6D5" tableColumnId="158"/>
      <queryTableField id="159" name="7D2" tableColumnId="159"/>
      <queryTableField id="160" name="7D3" tableColumnId="160"/>
      <queryTableField id="161" name="7D4" tableColumnId="161"/>
      <queryTableField id="162" name="7D5" tableColumnId="162"/>
      <queryTableField id="163" name="8D2" tableColumnId="163"/>
      <queryTableField id="164" name="8D3" tableColumnId="164"/>
      <queryTableField id="165" name="8D4" tableColumnId="165"/>
      <queryTableField id="166" name="8D5" tableColumnId="166"/>
      <queryTableField id="167" name="9D2" tableColumnId="167"/>
      <queryTableField id="168" name="9D3" tableColumnId="168"/>
      <queryTableField id="169" name="9D4" tableColumnId="169"/>
      <queryTableField id="170" name="9D5" tableColumnId="170"/>
      <queryTableField id="171" name="10D2" tableColumnId="171"/>
      <queryTableField id="172" name="10D3" tableColumnId="172"/>
      <queryTableField id="173" name="10D4" tableColumnId="173"/>
      <queryTableField id="174" name="10D5" tableColumnId="174"/>
      <queryTableField id="175" name="11D2" tableColumnId="175"/>
      <queryTableField id="176" name="11D3" tableColumnId="176"/>
      <queryTableField id="177" name="11D4" tableColumnId="177"/>
      <queryTableField id="178" name="11D5" tableColumnId="178"/>
      <queryTableField id="179" name="12D2" tableColumnId="179"/>
      <queryTableField id="180" name="12D3" tableColumnId="180"/>
      <queryTableField id="181" name="12D4" tableColumnId="181"/>
      <queryTableField id="182" name="12D5" tableColumnId="182"/>
      <queryTableField id="183" name="13D2" tableColumnId="183"/>
      <queryTableField id="184" name="13D3" tableColumnId="184"/>
      <queryTableField id="185" name="13D4" tableColumnId="185"/>
      <queryTableField id="186" name="13D5" tableColumnId="186"/>
      <queryTableField id="187" name="14D2" tableColumnId="187"/>
      <queryTableField id="188" name="14D3" tableColumnId="188"/>
      <queryTableField id="189" name="14D4" tableColumnId="189"/>
      <queryTableField id="190" name="14D5" tableColumnId="190"/>
      <queryTableField id="191" name="15D2" tableColumnId="191"/>
      <queryTableField id="192" name="15D3" tableColumnId="192"/>
      <queryTableField id="193" name="15D4" tableColumnId="193"/>
      <queryTableField id="194" name="15D5" tableColumnId="194"/>
      <queryTableField id="195" name="AuditStatus" tableColumnId="19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1A280D-384A-4475-8311-94817E54F700}" autoFormatId="16" applyNumberFormats="0" applyBorderFormats="0" applyFontFormats="0" applyPatternFormats="0" applyAlignmentFormats="0" applyWidthHeightFormats="0">
  <queryTableRefresh nextId="299">
    <queryTableFields count="38">
      <queryTableField id="261" name="Embryo_ID" tableColumnId="1"/>
      <queryTableField id="262" name="Postfill_Audit" tableColumnId="2"/>
      <queryTableField id="263" name="stage_01_1C" tableColumnId="3"/>
      <queryTableField id="264" name="stage_02_2C" tableColumnId="4"/>
      <queryTableField id="265" name="stage_03_4C" tableColumnId="5"/>
      <queryTableField id="266" name="stage_04_8C" tableColumnId="6"/>
      <queryTableField id="267" name="stage_05_16C" tableColumnId="7"/>
      <queryTableField id="268" name="stage_06_32C" tableColumnId="8"/>
      <queryTableField id="269" name="stage_07_64C" tableColumnId="9"/>
      <queryTableField id="270" name="stage_08_128C" tableColumnId="10"/>
      <queryTableField id="271" name="stage_09_256C" tableColumnId="11"/>
      <queryTableField id="272" name="stage_10_512C" tableColumnId="12"/>
      <queryTableField id="273" name="stage_11_1K" tableColumnId="13"/>
      <queryTableField id="274" name="stage_12_HI" tableColumnId="14"/>
      <queryTableField id="275" name="stage_13_OB" tableColumnId="15"/>
      <queryTableField id="276" name="stage_14_SPH" tableColumnId="16"/>
      <queryTableField id="277" name="stage_15_DO" tableColumnId="17"/>
      <queryTableField id="278" name="stage_16_30EPI" tableColumnId="18"/>
      <queryTableField id="279" name="stage_17_50EPI" tableColumnId="19"/>
      <queryTableField id="280" name="stage_18_GR" tableColumnId="20"/>
      <queryTableField id="281" name="stage_19_SH" tableColumnId="21"/>
      <queryTableField id="282" name="stage_20_75EPI" tableColumnId="22"/>
      <queryTableField id="283" name="stage_21_90EPI" tableColumnId="23"/>
      <queryTableField id="284" name="stage_22_1D" tableColumnId="24"/>
      <queryTableField id="285" name="stage_23_2D" tableColumnId="25"/>
      <queryTableField id="286" name="stage_24_3D" tableColumnId="26"/>
      <queryTableField id="287" name="stage_25_4D" tableColumnId="27"/>
      <queryTableField id="288" name="stage_26_5D" tableColumnId="28"/>
      <queryTableField id="289" name="stage_27_6D" tableColumnId="29"/>
      <queryTableField id="290" name="stage_28_7D" tableColumnId="30"/>
      <queryTableField id="291" name="stage_29_8D" tableColumnId="31"/>
      <queryTableField id="292" name="stage_30_9D" tableColumnId="32"/>
      <queryTableField id="293" name="stage_31_10D" tableColumnId="33"/>
      <queryTableField id="294" name="stage_32_11D" tableColumnId="34"/>
      <queryTableField id="295" name="stage_33_12D" tableColumnId="35"/>
      <queryTableField id="296" name="stage_34_13D" tableColumnId="36"/>
      <queryTableField id="297" name="stage_35_14D" tableColumnId="37"/>
      <queryTableField id="298" name="stage_36_15D" tableColumnId="3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F3E3D59-3F04-4D16-A9D0-21AB9B6AE227}" autoFormatId="16" applyNumberFormats="0" applyBorderFormats="0" applyFontFormats="0" applyPatternFormats="0" applyAlignmentFormats="0" applyWidthHeightFormats="0">
  <queryTableRefresh nextId="261">
    <queryTableFields count="78">
      <queryTableField id="212" name="Day" tableColumnId="1"/>
      <queryTableField id="213" name="Operator" tableColumnId="3"/>
      <queryTableField id="24" name="Group" tableColumnId="24"/>
      <queryTableField id="214" name="Batch_ID" tableColumnId="4"/>
      <queryTableField id="215" name="Clutch_ID" tableColumnId="5"/>
      <queryTableField id="2" name="DATE" tableColumnId="2"/>
      <queryTableField id="216" name="RecBreed" tableColumnId="6"/>
      <queryTableField id="217" name="M_CSOF_Lot" tableColumnId="7"/>
      <queryTableField id="218" name="M_Donor" tableColumnId="8"/>
      <queryTableField id="219" name="M_Enu_Power" tableColumnId="9"/>
      <queryTableField id="220" name="M_Enu_Pulse" tableColumnId="10"/>
      <queryTableField id="221" name="M_Enu_Led" tableColumnId="11"/>
      <queryTableField id="222" name="M_Ex_Lot" tableColumnId="12"/>
      <queryTableField id="31" name="N in Lot" tableColumnId="31"/>
      <queryTableField id="35" name="well_x000a_(96-well)" tableColumnId="35"/>
      <queryTableField id="223" name="Running" tableColumnId="13"/>
      <queryTableField id="36" name="Running number" tableColumnId="36"/>
      <queryTableField id="37" name="Activated" tableColumnId="37"/>
      <queryTableField id="38" name="2-cell_x000a_(1 h)" tableColumnId="38"/>
      <queryTableField id="39" name="4-cell_x000a_(1 h)" tableColumnId="39"/>
      <queryTableField id="40" name="8-cell_x000a_(1.25 h)" tableColumnId="40"/>
      <queryTableField id="41" name="16-cell_x000a_(1.5 h)" tableColumnId="41"/>
      <queryTableField id="42" name="32-cell_x000a_(1.75 h)" tableColumnId="42"/>
      <queryTableField id="43" name="64-cell_x000a_(2 h)" tableColumnId="43"/>
      <queryTableField id="44" name="128-cell_x000a_(2.25 h)" tableColumnId="44"/>
      <queryTableField id="45" name="256-cell_x000a_(2.5 h)" tableColumnId="45"/>
      <queryTableField id="46" name="512-cell_x000a_(2.75 h)" tableColumnId="46"/>
      <queryTableField id="47" name="1k-cell_x000a_(3 h)" tableColumnId="47"/>
      <queryTableField id="48" name="High_x000a_(3.3 h)" tableColumnId="48"/>
      <queryTableField id="49" name="Oblong_x000a_(3.7 h)" tableColumnId="49"/>
      <queryTableField id="50" name="Sphere_x000a_(4 h)" tableColumnId="50"/>
      <queryTableField id="51" name="Dome_x000a_(4.3 h)" tableColumnId="51"/>
      <queryTableField id="52" name="30%epi_x000a_(4.7 h)" tableColumnId="52"/>
      <queryTableField id="53" name="50%epi_x000a_(5.3 h)" tableColumnId="53"/>
      <queryTableField id="54" name="Germ ring_x000a_(5.7 h)" tableColumnId="54"/>
      <queryTableField id="55" name="Shield_x000a_(6 h)" tableColumnId="55"/>
      <queryTableField id="56" name="75%epi_x000a_(8 h)" tableColumnId="56"/>
      <queryTableField id="57" name="90%epi_x000a_(9 h)" tableColumnId="57"/>
      <queryTableField id="58" name="Age of clone" tableColumnId="58"/>
      <queryTableField id="59" name="Day1" tableColumnId="59"/>
      <queryTableField id="60" name="Day2" tableColumnId="60"/>
      <queryTableField id="61" name="Day3" tableColumnId="61"/>
      <queryTableField id="62" name="Day4" tableColumnId="62"/>
      <queryTableField id="63" name="Day5" tableColumnId="63"/>
      <queryTableField id="64" name="Day6" tableColumnId="64"/>
      <queryTableField id="65" name="Day7" tableColumnId="65"/>
      <queryTableField id="66" name="Day8" tableColumnId="66"/>
      <queryTableField id="67" name="Day9" tableColumnId="67"/>
      <queryTableField id="68" name="Day10" tableColumnId="68"/>
      <queryTableField id="69" name="Day11" tableColumnId="69"/>
      <queryTableField id="70" name="Day12" tableColumnId="70"/>
      <queryTableField id="71" name="Day13" tableColumnId="71"/>
      <queryTableField id="72" name="Day14" tableColumnId="72"/>
      <queryTableField id="73" name="Day15" tableColumnId="73"/>
      <queryTableField id="224" name="QC1_NBD_stage_01_4C_Sur" tableColumnId="14"/>
      <queryTableField id="225" name="QC1_NBD_stage_01_4C_Mor" tableColumnId="15"/>
      <queryTableField id="226" name="QC1_NBD_stage_02_SH75EPI_Sur" tableColumnId="16"/>
      <queryTableField id="227" name="QC1_NBD_stage_02_SH75EPI_Mor" tableColumnId="17"/>
      <queryTableField id="228" name="QC1_NBD_stage_03_1D_Sur" tableColumnId="18"/>
      <queryTableField id="229" name="QC1_NBD_stage_03_1D_Mor" tableColumnId="19"/>
      <queryTableField id="230" name="QC1_NBD_stage_04_2D_Sur" tableColumnId="20"/>
      <queryTableField id="231" name="QC1_NBD_stage_04_2D_Mor" tableColumnId="21"/>
      <queryTableField id="232" name="QC1_NBD_stage_05_3D_Sur" tableColumnId="22"/>
      <queryTableField id="233" name="QC1_NBD_stage_05_3D_Mor" tableColumnId="23"/>
      <queryTableField id="234" name="QC2_IVF_stage_01_SH75EPI_Sur" tableColumnId="25"/>
      <queryTableField id="235" name="QC2_IVF_stage_01_SH75EPI_Mor" tableColumnId="26"/>
      <queryTableField id="236" name="QC2_IVF_stage_02_1D_Sur" tableColumnId="27"/>
      <queryTableField id="237" name="QC2_IVF_stage_02_1D_Mor" tableColumnId="28"/>
      <queryTableField id="238" name="QC2_IVF_stage_03_2D_Sur" tableColumnId="29"/>
      <queryTableField id="239" name="QC2_IVF_stage_03_2D_Mor" tableColumnId="30"/>
      <queryTableField id="240" name="QC2_IVF_stage_04_2D_Sur" tableColumnId="32"/>
      <queryTableField id="241" name="QC2_IVF_stage_04_2D_Mor" tableColumnId="33"/>
      <queryTableField id="242" name="DateTime_01_Start" tableColumnId="34"/>
      <queryTableField id="243" name="DateTime_02_Fin" tableColumnId="74"/>
      <queryTableField id="244" name="DateTime_03_Activated" tableColumnId="75"/>
      <queryTableField id="245" name="Index" tableColumnId="76"/>
      <queryTableField id="246" name="Modulo" tableColumnId="77"/>
      <queryTableField id="247" name="MetricType" tableColumnId="7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85A1A-7625-462A-BF46-95239CA76633}" name="Control_1" displayName="Control_1" ref="A1:GL29" totalsRowShown="0" headerRowDxfId="835" dataDxfId="834" headerRowCellStyle="Output">
  <autoFilter ref="A1:GL29" xr:uid="{3D585A1A-7625-462A-BF46-95239CA76633}"/>
  <tableColumns count="194">
    <tableColumn id="4" xr3:uid="{7BCCD982-C3B0-469D-A627-0DB70A26DB5F}" name="Day" dataDxfId="833"/>
    <tableColumn id="33" xr3:uid="{F5648103-9910-4734-ADB1-95DB8B9129E0}" name="Operator" dataDxfId="832"/>
    <tableColumn id="1" xr3:uid="{38C9AE5E-A275-4F8B-9CD9-B2C3F77E762E}" name="Group" dataDxfId="831"/>
    <tableColumn id="6" xr3:uid="{ADC21654-C6F2-4687-B1FE-182EAEBD4453}" name="Batch_ID" dataDxfId="830">
      <calculatedColumnFormula>_xlfn.CONCAT(Control_1[[#This Row],[Day]], "_", Control_1[[#This Row],[Operator]], "_", Control_1[[#This Row],[Group]])</calculatedColumnFormula>
    </tableColumn>
    <tableColumn id="8" xr3:uid="{28E59C35-BA8A-44CE-B4BB-550084B38E00}" name="Clutch_ID" dataDxfId="829"/>
    <tableColumn id="2" xr3:uid="{68FEED59-B59D-4463-AD83-6F51EF537EE9}" name="Date" dataDxfId="828"/>
    <tableColumn id="3" xr3:uid="{2CC48C9E-69D0-4DF2-B95B-880F2F80C904}" name="RecBreed" dataDxfId="827"/>
    <tableColumn id="5" xr3:uid="{0B78B5FE-5FFB-4793-AC5D-F7E6FFF5A85A}" name="Running" dataDxfId="826"/>
    <tableColumn id="32" xr3:uid="{57465D5D-2F93-4321-B537-676C3DC1BB26}" name="Ex_lot" dataDxfId="825"/>
    <tableColumn id="35" xr3:uid="{6C16E1E2-F015-401B-9F77-AE023DE73E32}" name="Ex_activated" dataDxfId="824"/>
    <tableColumn id="36" xr3:uid="{5F7D7341-B03A-4B3B-A972-912A4D881F38}" name="Ex_start" dataDxfId="823"/>
    <tableColumn id="37" xr3:uid="{58E00D12-DC1A-4CFD-A5EE-1A1EEE3E18C3}" name="Ex_fin" dataDxfId="822"/>
    <tableColumn id="370" xr3:uid="{B789BE26-8043-4207-98D3-D89988C8067D}" name="Ex_lot2" dataDxfId="821"/>
    <tableColumn id="10" xr3:uid="{9D54B8B8-0E93-42AF-94B8-70E86EE23EB9}" name="Embryo_ID" dataDxfId="820">
      <calculatedColumnFormula>_xlfn.TEXTJOIN("_",TRUE,Control_1[[#This Row],[Batch_ID]],Control_1[[#This Row],[Ex_lot]],Control_1[[#This Row],[Ex_lot2]])</calculatedColumnFormula>
    </tableColumn>
    <tableColumn id="40" xr3:uid="{47235EBB-7C1A-4A6E-803D-5DF85AF22960}" name="stage_01_1C" dataDxfId="819"/>
    <tableColumn id="41" xr3:uid="{F0033144-3570-4D68-982B-A98E43B02305}" name="stage_02_2C" dataDxfId="818"/>
    <tableColumn id="42" xr3:uid="{5B119CAF-B02E-4D3E-BBB5-BCEDD5CDA67E}" name="stage_03_4C" dataDxfId="817"/>
    <tableColumn id="43" xr3:uid="{A2442803-AC07-4D3C-8089-D630D29334DF}" name="stage_04_8C" dataDxfId="816"/>
    <tableColumn id="44" xr3:uid="{71FA3ADB-F9B3-41C3-B680-A8A424729EDD}" name="stage_05_16C" dataDxfId="815"/>
    <tableColumn id="45" xr3:uid="{8F931663-3FD5-4D60-BB7B-46E671554D8E}" name="stage_06_32C" dataDxfId="814"/>
    <tableColumn id="46" xr3:uid="{C5417958-6126-45C2-93EB-8FFBA057D7DC}" name="stage_07_64C" dataDxfId="813"/>
    <tableColumn id="47" xr3:uid="{7FFC2BE5-B48A-4F76-B1C9-D7A7B4189824}" name="stage_08_128C" dataDxfId="812"/>
    <tableColumn id="48" xr3:uid="{C9ED48F6-2D17-4E1B-9896-CCA992D8D9CD}" name="stage_09_256C" dataDxfId="811"/>
    <tableColumn id="49" xr3:uid="{EC34CF59-AE83-45B6-AF8D-230CB7430D46}" name="stage_10_512C" dataDxfId="810"/>
    <tableColumn id="50" xr3:uid="{EEAD390F-8267-4DAF-89DB-EC85B007F05F}" name="stage_11_1K" dataDxfId="809"/>
    <tableColumn id="51" xr3:uid="{43F59BE8-F2F5-485F-B8C9-1D1575C0ACE8}" name="stage_12_HI" dataDxfId="808"/>
    <tableColumn id="52" xr3:uid="{4E81B26D-FF72-4B97-B1EE-C89021BED490}" name="stage_13_OB" dataDxfId="807"/>
    <tableColumn id="53" xr3:uid="{9E89385D-143F-4AC7-9E4E-571EC3F90A6A}" name="stage_14_SPH" dataDxfId="806"/>
    <tableColumn id="54" xr3:uid="{D9044635-6847-44DE-BB91-56144218560F}" name="stage_15_DO" dataDxfId="805"/>
    <tableColumn id="55" xr3:uid="{3293D926-2422-47B9-B92F-944CB645ECF4}" name="stage_16_30EPI" dataDxfId="804"/>
    <tableColumn id="56" xr3:uid="{90C13AAF-F1AE-4F31-9555-0D01FFD73ED7}" name="stage_17_50EPI" dataDxfId="803"/>
    <tableColumn id="57" xr3:uid="{4856CD68-CE91-4270-8442-0BCBA23952D6}" name="stage_18_GR" dataDxfId="802"/>
    <tableColumn id="58" xr3:uid="{F658BB87-9269-42AF-8D13-0DA3EF61C14E}" name="stage_19_SH" dataDxfId="801"/>
    <tableColumn id="59" xr3:uid="{4426C63A-9B6E-421F-AD50-869B22946958}" name="stage_20_75EPI" dataDxfId="800"/>
    <tableColumn id="60" xr3:uid="{B38D6B03-8086-4983-BF2E-81B6A0357A57}" name="stage_21_90EPI" dataDxfId="799"/>
    <tableColumn id="62" xr3:uid="{D387AF68-DC06-4CDC-A628-E998E515AE1F}" name="stage_22_1D" dataDxfId="798"/>
    <tableColumn id="63" xr3:uid="{DA38AA3C-250F-4807-96B2-08EA05AEBA94}" name="stage_23_2D" dataDxfId="797"/>
    <tableColumn id="64" xr3:uid="{C541B0DA-8B9A-4458-8FCF-F0D43F87C6BB}" name="stage_24_3D" dataDxfId="796"/>
    <tableColumn id="65" xr3:uid="{A3C9CFD9-328E-4A37-99E4-1B120643216E}" name="stage_25_4D" dataDxfId="795"/>
    <tableColumn id="66" xr3:uid="{E79FB7DC-BADB-4004-8E9C-62DAF619F59E}" name="stage_26_5D" dataDxfId="794"/>
    <tableColumn id="67" xr3:uid="{491C4164-DA49-4A65-A5BA-88EEE9A626C3}" name="stage_27_6D" dataDxfId="793"/>
    <tableColumn id="68" xr3:uid="{2081963D-BA9C-496D-B8EB-CDC69DCD8EE4}" name="stage_28_7D" dataDxfId="792"/>
    <tableColumn id="69" xr3:uid="{FFCB3B6E-3831-40F0-8933-01B0CE1FD524}" name="stage_29_8D" dataDxfId="791"/>
    <tableColumn id="70" xr3:uid="{C7FF4BF9-22D6-4902-82D6-E6959B3DCB49}" name="stage_30_9D" dataDxfId="790"/>
    <tableColumn id="71" xr3:uid="{6E1DE458-7FEA-442A-9630-11C641780778}" name="stage_31_10D" dataDxfId="789"/>
    <tableColumn id="72" xr3:uid="{1475D0E9-DE6F-4B4B-A4F8-53B8051F0832}" name="stage_32_11D" dataDxfId="788"/>
    <tableColumn id="73" xr3:uid="{AAED1E97-920D-49A3-A079-8D57CD8268A5}" name="stage_33_12D" dataDxfId="787"/>
    <tableColumn id="74" xr3:uid="{7A08F266-FEBC-4F84-AFD8-2A05E3AFCB51}" name="stage_34_13D" dataDxfId="786"/>
    <tableColumn id="75" xr3:uid="{A8922711-2D23-47DF-A238-B0AD6D16676C}" name="stage_35_14D" dataDxfId="785"/>
    <tableColumn id="76" xr3:uid="{FF424647-03A6-4F83-BF2E-A6F69B77936E}" name="stage_36_15D" dataDxfId="784"/>
    <tableColumn id="212" xr3:uid="{DF640270-6E41-4FC7-95CE-490DD25C14E7}" name="1C2" dataDxfId="783"/>
    <tableColumn id="24" xr3:uid="{19C0359E-0293-44FD-8B07-A2024EEEBC83}" name="1C3" dataDxfId="782"/>
    <tableColumn id="221" xr3:uid="{641F74D6-4579-4069-8917-B2941ADEE797}" name="1C4" dataDxfId="781"/>
    <tableColumn id="23" xr3:uid="{C73688AB-8855-4259-B887-FBBEFF736A3C}" name="1C5" dataDxfId="780"/>
    <tableColumn id="222" xr3:uid="{1352AADB-39B0-4318-B35C-E007B9B702C5}" name="2C2" dataDxfId="779"/>
    <tableColumn id="220" xr3:uid="{F3E99702-214D-4859-AC84-81FAC1BAC0E7}" name="2C3" dataDxfId="778"/>
    <tableColumn id="219" xr3:uid="{E57D9864-FD60-440C-9E6C-86CBC76E4700}" name="2C4" dataDxfId="777"/>
    <tableColumn id="218" xr3:uid="{66303125-6C71-4EF0-BFC0-7D57CD791577}" name="2C5" dataDxfId="776"/>
    <tableColumn id="231" xr3:uid="{578577C1-05AF-48A1-913A-5703F37B4675}" name="4C2" dataDxfId="775"/>
    <tableColumn id="230" xr3:uid="{4D6C8008-0537-4DFD-9551-382650E6A8FD}" name="4C3" dataDxfId="774"/>
    <tableColumn id="229" xr3:uid="{63E03129-B5E2-4550-BDFC-6A91A2DCB882}" name="4C4" dataDxfId="773"/>
    <tableColumn id="228" xr3:uid="{C9741BAE-F823-43B4-AD90-C7E0A4267C38}" name="4C5" dataDxfId="772"/>
    <tableColumn id="235" xr3:uid="{7F3F75E8-88DE-43BE-B5E1-7678542339E6}" name="8C2" dataDxfId="771"/>
    <tableColumn id="234" xr3:uid="{529619A6-C2B1-4B63-95AF-9891B909EBB9}" name="8C3" dataDxfId="770"/>
    <tableColumn id="233" xr3:uid="{54A6782D-9A6F-40C5-BAF2-602FA481DEAE}" name="8C4" dataDxfId="769"/>
    <tableColumn id="232" xr3:uid="{141BD210-5DE5-48CB-BE7C-ACCF400FF9BF}" name="8C5" dataDxfId="768"/>
    <tableColumn id="240" xr3:uid="{C1CB5C5C-65DB-4B4E-ADD7-C288C682BF43}" name="16C2" dataDxfId="767"/>
    <tableColumn id="239" xr3:uid="{A43F3BE0-1E4A-4D01-8426-DCD48274CA89}" name="16C3" dataDxfId="766"/>
    <tableColumn id="238" xr3:uid="{3AEEF864-3683-498E-B715-A41271E69C43}" name="16C4" dataDxfId="765"/>
    <tableColumn id="237" xr3:uid="{695514E7-EB4C-4DA1-8A1C-2F4B6CCEA216}" name="16C5" dataDxfId="764"/>
    <tableColumn id="248" xr3:uid="{C162BA0F-4F76-4AAC-8037-A637138DC711}" name="32C2" dataDxfId="763"/>
    <tableColumn id="247" xr3:uid="{3332FCFC-530E-4047-877B-5C447FC94855}" name="32C3" dataDxfId="762"/>
    <tableColumn id="246" xr3:uid="{12E8A1E7-FC4F-4632-93E8-2E3D0A8EC3A7}" name="32C4" dataDxfId="761"/>
    <tableColumn id="245" xr3:uid="{D86B2150-CA7C-4E00-AD15-15CC927C08B5}" name="32C5" dataDxfId="760"/>
    <tableColumn id="254" xr3:uid="{F49E1F4C-B6AB-429E-9123-CD25F2DE279E}" name="64C2" dataDxfId="759"/>
    <tableColumn id="253" xr3:uid="{3ECE4F2E-1319-4428-853E-7DA2143C3C91}" name="64C3" dataDxfId="758"/>
    <tableColumn id="252" xr3:uid="{B20500B4-4C71-4DF0-ADF2-E8CFA50624B8}" name="64C4" dataDxfId="757"/>
    <tableColumn id="251" xr3:uid="{B03BC4FC-0DCD-4B8F-A631-D1579DD98319}" name="64C5" dataDxfId="756"/>
    <tableColumn id="258" xr3:uid="{B405CEBA-F1CB-4CE6-A9CA-1155ED30DB05}" name="128C2" dataDxfId="755"/>
    <tableColumn id="257" xr3:uid="{C674E90C-692C-4583-BF57-8A4CB0FE3BAA}" name="128C3" dataDxfId="754"/>
    <tableColumn id="256" xr3:uid="{B8321D69-98C9-4E70-9310-594F1B8F55EF}" name="128C4" dataDxfId="753"/>
    <tableColumn id="255" xr3:uid="{4E6A85B2-FD1E-4AB8-9DD0-C9F80763B014}" name="128C5" dataDxfId="752"/>
    <tableColumn id="262" xr3:uid="{2F070ACF-FCC1-4726-A9DF-F72A5EB5D211}" name="256C2" dataDxfId="751"/>
    <tableColumn id="261" xr3:uid="{0A2A4334-FA70-4581-BEC6-77902A7E6C59}" name="256C3" dataDxfId="750"/>
    <tableColumn id="260" xr3:uid="{8A37DE38-B59D-47DA-9883-89E8574906FD}" name="256C4" dataDxfId="749"/>
    <tableColumn id="259" xr3:uid="{AC5AB972-E12F-4023-B9C4-76646B4DCEA5}" name="256C5" dataDxfId="748"/>
    <tableColumn id="266" xr3:uid="{E8246A63-7DC5-4C69-9F73-213875459820}" name="512C2" dataDxfId="747"/>
    <tableColumn id="265" xr3:uid="{433C33CB-F862-4E18-9CE6-4C5B42FCFFB4}" name="512C3" dataDxfId="746"/>
    <tableColumn id="264" xr3:uid="{841E86A7-F65C-4E47-B109-7EB6694AF83B}" name="512C4" dataDxfId="745"/>
    <tableColumn id="263" xr3:uid="{4EFD3B5D-9594-481E-9D0E-C77171E53488}" name="512C5" dataDxfId="744"/>
    <tableColumn id="270" xr3:uid="{400D7650-036D-48F3-BBC0-02BB9759BD2B}" name="1K2" dataDxfId="743"/>
    <tableColumn id="269" xr3:uid="{893C37D5-1703-47FA-816A-B4D66FCA391C}" name="1K3" dataDxfId="742"/>
    <tableColumn id="268" xr3:uid="{43ED0573-AC6D-4DF7-8E8F-61C21462DAFA}" name="1K4" dataDxfId="741"/>
    <tableColumn id="267" xr3:uid="{3B9DF361-4E6C-4578-9CFA-D315B599C44C}" name="1K5" dataDxfId="740"/>
    <tableColumn id="274" xr3:uid="{E622BBEF-4037-4395-8643-DFBA19336935}" name="HI2" dataDxfId="739"/>
    <tableColumn id="273" xr3:uid="{ACAC660D-D0BA-499C-8746-28E087C41BFD}" name="HI3" dataDxfId="738"/>
    <tableColumn id="272" xr3:uid="{837A33F9-DC03-46F4-9CFD-EA81D87B55EF}" name="HI4" dataDxfId="737"/>
    <tableColumn id="271" xr3:uid="{26A2224C-D70E-4824-81D3-DAA4505370AF}" name="HI5" dataDxfId="736"/>
    <tableColumn id="278" xr3:uid="{DFB2C28F-E4B5-49E4-82DC-B090AF86A455}" name="OB2" dataDxfId="735"/>
    <tableColumn id="277" xr3:uid="{D07F1E47-A989-4EE2-9F3E-FF5FBFA72B57}" name="OB3" dataDxfId="734"/>
    <tableColumn id="276" xr3:uid="{209A4E0C-A097-4CBB-BD33-AF12D4BEC68D}" name="OB4" dataDxfId="733"/>
    <tableColumn id="275" xr3:uid="{B2C958EC-9793-4FA2-AABA-B91DEC5449F2}" name="OB5" dataDxfId="732"/>
    <tableColumn id="282" xr3:uid="{E5BBC9A3-92FC-458A-AC13-176BA4D5A9CE}" name="SPH2" dataDxfId="731"/>
    <tableColumn id="281" xr3:uid="{6C123A59-319C-4A76-9611-594B7F6F181D}" name="SPH3" dataDxfId="730"/>
    <tableColumn id="280" xr3:uid="{117E88AE-5CAC-423D-B489-80E1177F2773}" name="SPH4" dataDxfId="729"/>
    <tableColumn id="279" xr3:uid="{151C35F9-FF88-43E7-8431-8E26D05B4D49}" name="SPH5" dataDxfId="728"/>
    <tableColumn id="286" xr3:uid="{99C14665-0BA8-4299-94C9-70D2892EC4BD}" name="DO2" dataDxfId="727"/>
    <tableColumn id="285" xr3:uid="{B50013D6-6ADB-4E21-A9BA-5673E16DA251}" name="DO3" dataDxfId="726"/>
    <tableColumn id="284" xr3:uid="{FC5F3007-AFCA-42C9-9980-AB090D8840FF}" name="DO4" dataDxfId="725"/>
    <tableColumn id="283" xr3:uid="{03262DB7-DA7A-4AF9-91BA-349AA2A98CFE}" name="DO5" dataDxfId="724"/>
    <tableColumn id="290" xr3:uid="{F5BEC398-C6CC-43D1-98A2-9DB05FD32CFA}" name="30EPI2" dataDxfId="723"/>
    <tableColumn id="289" xr3:uid="{C56C72F2-A68F-4667-8637-93771A3060B8}" name="30EPI3" dataDxfId="722"/>
    <tableColumn id="288" xr3:uid="{BCEDF1D4-55EE-4C77-90B8-89A3CB542A6B}" name="30EPI4" dataDxfId="721"/>
    <tableColumn id="287" xr3:uid="{AD0C5ABB-65F6-40B3-A948-7D45DF7CAD60}" name="30EPI5" dataDxfId="720"/>
    <tableColumn id="294" xr3:uid="{8F38B1A0-2F04-485C-877E-B0FEA6903790}" name="50EPI2" dataDxfId="719"/>
    <tableColumn id="293" xr3:uid="{2DF319DF-4893-4985-9966-8B57E3C1AC18}" name="50EPI3" dataDxfId="718"/>
    <tableColumn id="292" xr3:uid="{7B8B8D25-9C51-407B-A5D7-7C726599C970}" name="50EPI4" dataDxfId="717"/>
    <tableColumn id="291" xr3:uid="{74AD1F79-B843-4DC2-A3A6-F242C432270F}" name="50EPI5" dataDxfId="716"/>
    <tableColumn id="298" xr3:uid="{74DD5BE6-6FD7-4C16-AE75-05436001AA56}" name="GR2" dataDxfId="715"/>
    <tableColumn id="297" xr3:uid="{778D3AE5-2FC6-4189-B695-FF6A8F8A6CAD}" name="GR3" dataDxfId="714"/>
    <tableColumn id="296" xr3:uid="{E629A803-7AB9-42C2-B7B9-E02A85F8B068}" name="GR4" dataDxfId="713"/>
    <tableColumn id="295" xr3:uid="{FB3D1460-1B52-4D74-9CB9-DED7867897F9}" name="GR5" dataDxfId="712"/>
    <tableColumn id="302" xr3:uid="{A4C97183-0DF5-4718-8E2D-D6332311A127}" name="SH2" dataDxfId="711"/>
    <tableColumn id="301" xr3:uid="{82EB63A0-1B95-42AA-A88F-7EBDCCCBD6EB}" name="SH3" dataDxfId="710"/>
    <tableColumn id="300" xr3:uid="{08EB9B4A-9757-419A-BCD7-ADAFCBA4F085}" name="SH4" dataDxfId="709"/>
    <tableColumn id="299" xr3:uid="{7C1FC2B7-8DDA-4004-AC36-5F4FFA8325EB}" name="SH5" dataDxfId="708"/>
    <tableColumn id="306" xr3:uid="{CE04A320-12F6-4DDE-AB80-59343451543C}" name="75EPI2" dataDxfId="707"/>
    <tableColumn id="305" xr3:uid="{BAFCEF25-71CD-46ED-8746-1B16F0B81011}" name="75EPI3" dataDxfId="706"/>
    <tableColumn id="304" xr3:uid="{750264DB-BC5D-4CA4-A762-BD4C708985B9}" name="75EPI4" dataDxfId="705"/>
    <tableColumn id="303" xr3:uid="{6B2B533E-26BC-46BC-A965-85EC874495CC}" name="75EPI5" dataDxfId="704"/>
    <tableColumn id="310" xr3:uid="{4D71A090-E7D9-4162-845E-683E49A33F9E}" name="90EPI2" dataDxfId="703"/>
    <tableColumn id="309" xr3:uid="{99D16FC8-5B8B-4C02-AE16-438CE363D404}" name="90EPI3" dataDxfId="702"/>
    <tableColumn id="308" xr3:uid="{C726C23B-57E2-476A-938E-C5A8297CB0D0}" name="90EPI4" dataDxfId="701"/>
    <tableColumn id="307" xr3:uid="{F7FAC006-8F7D-4BF2-B7B9-048DB3FDCFB7}" name="90EPI5" dataDxfId="700"/>
    <tableColumn id="314" xr3:uid="{D734D250-E9A7-4DC1-BBE0-FCA214791E29}" name="1D2" dataDxfId="699"/>
    <tableColumn id="313" xr3:uid="{9EFD8097-72B6-48C7-A0DD-F8B8C24C6636}" name="1D3" dataDxfId="698"/>
    <tableColumn id="312" xr3:uid="{4992455A-F7E2-47D1-A644-33D03D014FAC}" name="1D4" dataDxfId="697"/>
    <tableColumn id="311" xr3:uid="{B9825A8F-514E-4BBC-AEA4-CD3737F5B95E}" name="1D5" dataDxfId="696"/>
    <tableColumn id="318" xr3:uid="{D0DA42C7-A3E1-478B-8D3E-2913CE6B16BE}" name="2D2" dataDxfId="695"/>
    <tableColumn id="317" xr3:uid="{404A2AC0-7CFA-47AF-B4DB-F2F44FE3CE0B}" name="2D3" dataDxfId="694"/>
    <tableColumn id="316" xr3:uid="{A6C34B57-7A24-47DE-9AB6-71218D75981E}" name="2D4" dataDxfId="693"/>
    <tableColumn id="315" xr3:uid="{1085D90B-1897-4558-AD69-B4F0CAB00EE2}" name="2D5" dataDxfId="692"/>
    <tableColumn id="322" xr3:uid="{6F24CC70-108E-41DC-94CF-DFA8C20422AD}" name="3D2" dataDxfId="691"/>
    <tableColumn id="321" xr3:uid="{0415F99E-3602-4A88-A28A-029C8AA804AD}" name="3D3" dataDxfId="690"/>
    <tableColumn id="320" xr3:uid="{62322AB2-1E6E-44F8-A43A-68A49CDB9763}" name="3D4" dataDxfId="689"/>
    <tableColumn id="319" xr3:uid="{A5E479AB-40F6-4D78-B861-E68060F12B91}" name="3D5" dataDxfId="688"/>
    <tableColumn id="326" xr3:uid="{412C5460-B305-4DE6-90A1-84B2C54D58E1}" name="4D2" dataDxfId="687"/>
    <tableColumn id="325" xr3:uid="{BA9C804E-3AA8-4736-BC12-96CDA93BAF52}" name="4D3" dataDxfId="686"/>
    <tableColumn id="324" xr3:uid="{E52336AF-C215-441E-8BB7-0402F3994A10}" name="4D4" dataDxfId="685"/>
    <tableColumn id="323" xr3:uid="{3B307ABD-543E-40CF-BB0E-8B418F08E53F}" name="4D5" dataDxfId="684"/>
    <tableColumn id="330" xr3:uid="{4F4D9B81-4640-4F4D-9050-4844DC297FAF}" name="5D2" dataDxfId="683"/>
    <tableColumn id="329" xr3:uid="{B46840E3-9702-418E-BAB7-888909681FA2}" name="5D3" dataDxfId="682"/>
    <tableColumn id="328" xr3:uid="{1C34A554-22F0-438E-A2DA-7E2CF211F054}" name="5D4" dataDxfId="681"/>
    <tableColumn id="327" xr3:uid="{8C86211F-1DBA-4BFE-894A-2EA5189DE559}" name="5D5" dataDxfId="680"/>
    <tableColumn id="334" xr3:uid="{51CADED3-3D79-49F3-B4B6-6430EE5520E9}" name="6D2" dataDxfId="679"/>
    <tableColumn id="333" xr3:uid="{8F52B581-A30C-4B57-88F6-F0B0244319DE}" name="6D3" dataDxfId="678"/>
    <tableColumn id="332" xr3:uid="{1805B2CD-A763-433F-BDCC-9ECCC311B45A}" name="6D4" dataDxfId="677"/>
    <tableColumn id="331" xr3:uid="{035CC4EA-E1E4-41F4-9943-E90069B59D89}" name="6D5" dataDxfId="676"/>
    <tableColumn id="341" xr3:uid="{BA0A60AF-3A0F-4D8A-A216-BEE910E64FEE}" name="7D2" dataDxfId="675"/>
    <tableColumn id="340" xr3:uid="{FBA9185F-74A2-49C1-B3AD-C1910E2D7192}" name="7D3" dataDxfId="674"/>
    <tableColumn id="339" xr3:uid="{6C822D77-3B5C-4787-8827-1516A93197CF}" name="7D4" dataDxfId="673"/>
    <tableColumn id="338" xr3:uid="{FD37AD1B-24AD-4F92-A8D8-9158BE3B5A5A}" name="7D5" dataDxfId="672"/>
    <tableColumn id="345" xr3:uid="{BBF4D8F5-6B77-429A-A733-49CCAAB7A648}" name="8D2" dataDxfId="671"/>
    <tableColumn id="344" xr3:uid="{022066A7-7FB3-4429-A115-C1281FD8145C}" name="8D3" dataDxfId="670"/>
    <tableColumn id="343" xr3:uid="{5547731F-AFAB-4C8A-AACB-D6ACA147F984}" name="8D4" dataDxfId="669"/>
    <tableColumn id="342" xr3:uid="{5241A987-2BD8-43D4-8D0E-77E9DB80E8DA}" name="8D5" dataDxfId="668"/>
    <tableColumn id="349" xr3:uid="{58A1C367-D134-42AF-9591-54F536E66039}" name="9D2" dataDxfId="667"/>
    <tableColumn id="348" xr3:uid="{C63F9FEB-B7EF-4D51-8312-4FD760F9E0A7}" name="9D3" dataDxfId="666"/>
    <tableColumn id="347" xr3:uid="{5B96BED4-F01A-4E92-8D33-A74A984FECEB}" name="9D4" dataDxfId="665"/>
    <tableColumn id="346" xr3:uid="{C007C20A-6CCB-441F-965A-473FBBB49349}" name="9D5" dataDxfId="664"/>
    <tableColumn id="353" xr3:uid="{2539B909-D49E-4D11-B1EA-A4D7A90BC558}" name="10D2" dataDxfId="663"/>
    <tableColumn id="352" xr3:uid="{464E0522-D3B0-43C2-AEB9-464CDFBD80A4}" name="10D3" dataDxfId="662"/>
    <tableColumn id="351" xr3:uid="{B996630D-7385-4C66-A08D-4914807A335E}" name="10D4" dataDxfId="661"/>
    <tableColumn id="350" xr3:uid="{AF81D171-19C4-4C87-ADAF-93139EE25599}" name="10D5" dataDxfId="660"/>
    <tableColumn id="357" xr3:uid="{8D9D8DBB-3B36-4E8B-BAF2-3D3C3DB0B0B0}" name="11D2" dataDxfId="659"/>
    <tableColumn id="356" xr3:uid="{2D6AB6BD-BA1F-45CC-A550-8E0AE8E60500}" name="11D3" dataDxfId="658"/>
    <tableColumn id="355" xr3:uid="{B98CF8B4-20A1-4CD9-90E5-972181984D99}" name="11D4" dataDxfId="657"/>
    <tableColumn id="354" xr3:uid="{A7C438F8-B450-446F-90A6-0E2621D45B80}" name="11D5" dataDxfId="656"/>
    <tableColumn id="361" xr3:uid="{42CD9333-510B-49D2-9E9E-F941444BCA6D}" name="12D2" dataDxfId="655"/>
    <tableColumn id="360" xr3:uid="{CBA45E42-19BD-4581-BF69-071A6DA85185}" name="12D3" dataDxfId="654"/>
    <tableColumn id="359" xr3:uid="{C0264524-C271-4740-907B-220D6B8AEA85}" name="12D4" dataDxfId="653"/>
    <tableColumn id="358" xr3:uid="{F376DA82-430B-48DB-BFD1-16B28F35066B}" name="12D5" dataDxfId="652"/>
    <tableColumn id="365" xr3:uid="{63F6A76F-9431-4CF7-8EEB-FD2DC94855FE}" name="13D2" dataDxfId="651"/>
    <tableColumn id="364" xr3:uid="{4F013C47-C8AA-4510-B27A-F336B6D8E031}" name="13D3" dataDxfId="650"/>
    <tableColumn id="363" xr3:uid="{FCF4B1B1-C797-41C6-9950-3076246E7F93}" name="13D4" dataDxfId="649"/>
    <tableColumn id="362" xr3:uid="{96D2C44A-F22A-46CA-9E36-0F752D39BAD5}" name="13D5" dataDxfId="648"/>
    <tableColumn id="369" xr3:uid="{07757A2D-03B5-4ADE-8AC9-C53CB9157E98}" name="14D2" dataDxfId="647"/>
    <tableColumn id="368" xr3:uid="{FA4CC3EC-363D-4C57-9331-B81D8F72D8D1}" name="14D3" dataDxfId="646"/>
    <tableColumn id="367" xr3:uid="{EA298A66-D70D-4154-A413-6F5426E349F1}" name="14D4" dataDxfId="645"/>
    <tableColumn id="366" xr3:uid="{EBE9FFF5-D890-4514-B2F2-0C96773E6F8A}" name="14D5" dataDxfId="644"/>
    <tableColumn id="77" xr3:uid="{45ED1C88-EC92-479A-BD1F-91C4387ABAEC}" name="15D2" dataDxfId="643"/>
    <tableColumn id="78" xr3:uid="{5D687EBD-7C74-43E6-BD3C-16DF59E4DE2D}" name="15D3" dataDxfId="642"/>
    <tableColumn id="79" xr3:uid="{5D7D5DD2-6A67-4D36-95A6-614A1A00C664}" name="15D4" dataDxfId="641"/>
    <tableColumn id="80" xr3:uid="{272E18E6-DAA9-4DB6-9BE6-B9308DBA1B64}" name="15D5" dataDxfId="6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1D3D816-B954-49FB-B642-49B960048647}" name="Matadata1" displayName="Matadata1" ref="A1:FC29" tableType="queryTable" totalsRowShown="0">
  <autoFilter ref="A1:FC29" xr:uid="{E1D3D816-B954-49FB-B642-49B960048647}"/>
  <tableColumns count="159">
    <tableColumn id="1" xr3:uid="{990FAF7D-F43E-4ABD-8A1F-C35B816D52F5}" uniqueName="1" name="Day" queryTableFieldId="1"/>
    <tableColumn id="2" xr3:uid="{31A2BB1B-86AC-4196-953D-854140D93B37}" uniqueName="2" name="Operator" queryTableFieldId="2"/>
    <tableColumn id="3" xr3:uid="{47A772FD-7544-4DBE-B9F9-9D1DA0FD166F}" uniqueName="3" name="Group" queryTableFieldId="3"/>
    <tableColumn id="4" xr3:uid="{DCF7A635-14FC-418E-AED7-60CFBD712F34}" uniqueName="4" name="Batch_ID" queryTableFieldId="4"/>
    <tableColumn id="5" xr3:uid="{D543828B-EDF8-408C-8610-030C0C68D943}" uniqueName="5" name="Clutch_ID" queryTableFieldId="5"/>
    <tableColumn id="6" xr3:uid="{2AF43960-14DB-4E5F-8013-BDC20647E90D}" uniqueName="6" name="Date" queryTableFieldId="6" dataDxfId="844"/>
    <tableColumn id="7" xr3:uid="{F478AB4C-9CFA-4BCF-841E-96AC0B0C99A0}" uniqueName="7" name="RecBreed" queryTableFieldId="7"/>
    <tableColumn id="8" xr3:uid="{52347F9B-2166-4D0E-9CA9-5CB6A7BB5544}" uniqueName="8" name="Running" queryTableFieldId="8"/>
    <tableColumn id="9" xr3:uid="{AA571A05-781C-483D-93D5-A03247CC4351}" uniqueName="9" name="Ex_lot" queryTableFieldId="9"/>
    <tableColumn id="10" xr3:uid="{FA765A46-130F-49F7-869C-5EE3DA649675}" uniqueName="10" name="Ex_activated" queryTableFieldId="10" dataDxfId="843"/>
    <tableColumn id="11" xr3:uid="{1B32B4C4-9598-45C1-B7DA-AF801E737021}" uniqueName="11" name="Ex_start" queryTableFieldId="11" dataDxfId="842"/>
    <tableColumn id="12" xr3:uid="{9FA301B1-E2D5-4224-A823-68B2D3B3A5BE}" uniqueName="12" name="Ex_fin" queryTableFieldId="12" dataDxfId="841"/>
    <tableColumn id="13" xr3:uid="{AACB15B7-3D8A-4E44-8C20-F12EFF78A43A}" uniqueName="13" name="Ex_lot2" queryTableFieldId="13"/>
    <tableColumn id="14" xr3:uid="{09EABC9C-11F1-4FE6-8CD4-1DFFEA33EEF8}" uniqueName="14" name="Embryo_ID" queryTableFieldId="14"/>
    <tableColumn id="15" xr3:uid="{EA787202-583F-42BD-98D3-9DA18BFABE69}" uniqueName="15" name="Prefill_Audit" queryTableFieldId="15"/>
    <tableColumn id="16" xr3:uid="{30B9BF52-D66B-450D-9464-B2E2532A0E7B}" uniqueName="16" name="15D5" queryTableFieldId="16"/>
    <tableColumn id="17" xr3:uid="{BE280C28-EFF1-460D-BD1F-10E553784DD9}" uniqueName="17" name="15D4" queryTableFieldId="17"/>
    <tableColumn id="18" xr3:uid="{4CCC7F9E-38EC-4A8C-970D-949DA20CF7C5}" uniqueName="18" name="15D3" queryTableFieldId="18"/>
    <tableColumn id="19" xr3:uid="{0BE3C268-5A49-4DE2-BF92-4F301BB253D5}" uniqueName="19" name="15D2" queryTableFieldId="19"/>
    <tableColumn id="20" xr3:uid="{94BFA25E-DAE3-4AF9-AC66-32BB1872A4EB}" uniqueName="20" name="14D5" queryTableFieldId="20"/>
    <tableColumn id="21" xr3:uid="{CCA1DE00-EAEF-47F1-8D9F-E5FD8B08ADBC}" uniqueName="21" name="14D4" queryTableFieldId="21"/>
    <tableColumn id="22" xr3:uid="{01E6C6EF-759C-4416-AA87-5856033564A7}" uniqueName="22" name="14D3" queryTableFieldId="22"/>
    <tableColumn id="23" xr3:uid="{7733F13E-3514-4907-9F62-079D3176FC72}" uniqueName="23" name="14D2" queryTableFieldId="23"/>
    <tableColumn id="24" xr3:uid="{EC90054E-1571-408C-B281-257ED0FCC6A4}" uniqueName="24" name="13D5" queryTableFieldId="24"/>
    <tableColumn id="25" xr3:uid="{9E827F48-8AC6-433C-ADFA-AB464B3DEF87}" uniqueName="25" name="13D4" queryTableFieldId="25"/>
    <tableColumn id="26" xr3:uid="{03E4BD45-6D5B-4A6B-83E6-D96059A64EFE}" uniqueName="26" name="13D3" queryTableFieldId="26"/>
    <tableColumn id="27" xr3:uid="{D0A273E0-AC90-49F7-8A62-6A670AA178FC}" uniqueName="27" name="13D2" queryTableFieldId="27"/>
    <tableColumn id="28" xr3:uid="{68E44947-9443-4127-A946-33F93A197858}" uniqueName="28" name="12D5" queryTableFieldId="28"/>
    <tableColumn id="29" xr3:uid="{5CD1D41D-A6FC-4A53-A441-D11900969A71}" uniqueName="29" name="12D4" queryTableFieldId="29"/>
    <tableColumn id="30" xr3:uid="{7E94BB10-17FE-41D8-A7B0-F4E8337F73FB}" uniqueName="30" name="12D3" queryTableFieldId="30"/>
    <tableColumn id="31" xr3:uid="{30E5DCC1-4464-4E90-8BF9-565BA6D16C6C}" uniqueName="31" name="12D2" queryTableFieldId="31"/>
    <tableColumn id="32" xr3:uid="{7ECD812C-CD28-4E53-8F1A-1D3A99FEC17B}" uniqueName="32" name="11D5" queryTableFieldId="32"/>
    <tableColumn id="33" xr3:uid="{C066AD73-5D9B-42ED-8C60-80B9D48277AA}" uniqueName="33" name="11D4" queryTableFieldId="33"/>
    <tableColumn id="34" xr3:uid="{3142C055-289B-44B4-B775-93C4FADB8469}" uniqueName="34" name="11D3" queryTableFieldId="34"/>
    <tableColumn id="35" xr3:uid="{11ED6514-373B-44B4-A551-952E58EEA45D}" uniqueName="35" name="11D2" queryTableFieldId="35"/>
    <tableColumn id="36" xr3:uid="{152F7F35-B3DA-4648-A497-F540542D4254}" uniqueName="36" name="10D5" queryTableFieldId="36"/>
    <tableColumn id="37" xr3:uid="{9A5C84A9-B9A1-40A2-85BC-4CB777356AB1}" uniqueName="37" name="10D4" queryTableFieldId="37"/>
    <tableColumn id="38" xr3:uid="{4221E03B-E46E-4535-9D9C-678823787BB0}" uniqueName="38" name="10D3" queryTableFieldId="38"/>
    <tableColumn id="39" xr3:uid="{BFB2CEFA-1B25-43DF-B656-8F8F20511B82}" uniqueName="39" name="10D2" queryTableFieldId="39"/>
    <tableColumn id="40" xr3:uid="{70BF4370-9123-478C-AF7F-EE6E87CCE2BB}" uniqueName="40" name="9D5" queryTableFieldId="40"/>
    <tableColumn id="41" xr3:uid="{89014768-08AD-4A80-A372-5F245B7D8F7B}" uniqueName="41" name="9D4" queryTableFieldId="41"/>
    <tableColumn id="42" xr3:uid="{C1E95067-9AA3-4EA0-9C5E-9C4EC153D690}" uniqueName="42" name="9D3" queryTableFieldId="42"/>
    <tableColumn id="43" xr3:uid="{F3A9E4BA-873D-4306-B9A0-3F8407A8E779}" uniqueName="43" name="9D2" queryTableFieldId="43"/>
    <tableColumn id="44" xr3:uid="{6F100916-87C0-4D11-8F0F-4D21AEE5FC7B}" uniqueName="44" name="8D5" queryTableFieldId="44"/>
    <tableColumn id="45" xr3:uid="{CFCE0EE1-BA00-45B1-8250-5C16059CEC47}" uniqueName="45" name="8D4" queryTableFieldId="45"/>
    <tableColumn id="46" xr3:uid="{6B57C3DA-0682-4856-BA68-85AB3672C643}" uniqueName="46" name="8D3" queryTableFieldId="46"/>
    <tableColumn id="47" xr3:uid="{5916E4B0-47BF-41A1-8A10-FA8BBA303BE6}" uniqueName="47" name="8D2" queryTableFieldId="47"/>
    <tableColumn id="48" xr3:uid="{FDD37DE1-1894-44E1-8D87-68C107991D68}" uniqueName="48" name="7D5" queryTableFieldId="48"/>
    <tableColumn id="49" xr3:uid="{9BFECE3E-0E44-4AF1-93EC-763A930DFFBB}" uniqueName="49" name="7D4" queryTableFieldId="49"/>
    <tableColumn id="50" xr3:uid="{EAE76CAF-7EA1-4954-9549-7041F8031CB4}" uniqueName="50" name="7D3" queryTableFieldId="50"/>
    <tableColumn id="51" xr3:uid="{C6DEB30A-A13A-4659-ABFB-3BE48A5D4214}" uniqueName="51" name="7D2" queryTableFieldId="51"/>
    <tableColumn id="52" xr3:uid="{61A72D09-EDAE-4821-AA01-836866ADD429}" uniqueName="52" name="6D5" queryTableFieldId="52"/>
    <tableColumn id="53" xr3:uid="{C727C4BB-63EE-4241-AC73-017C40D23F86}" uniqueName="53" name="6D4" queryTableFieldId="53"/>
    <tableColumn id="54" xr3:uid="{D00A418F-01E1-4A31-BE0C-E0FC330F66AE}" uniqueName="54" name="6D3" queryTableFieldId="54"/>
    <tableColumn id="55" xr3:uid="{5CCD5983-C8D1-4CEA-91B9-36A69400B726}" uniqueName="55" name="6D2" queryTableFieldId="55"/>
    <tableColumn id="56" xr3:uid="{31717220-48D9-48AC-AC59-1FC60F59B32A}" uniqueName="56" name="5D5" queryTableFieldId="56"/>
    <tableColumn id="57" xr3:uid="{57501C14-2A38-4B7E-96F3-FF43834751C9}" uniqueName="57" name="5D4" queryTableFieldId="57"/>
    <tableColumn id="58" xr3:uid="{5164973E-3ED8-4278-A218-4F68F6F27DBB}" uniqueName="58" name="5D3" queryTableFieldId="58"/>
    <tableColumn id="59" xr3:uid="{87B172CB-D6B3-4DD5-A10E-A33FB3372973}" uniqueName="59" name="5D2" queryTableFieldId="59"/>
    <tableColumn id="60" xr3:uid="{EB1EE1BD-FF44-4B65-A1FD-06C5D4BF0E84}" uniqueName="60" name="4D5" queryTableFieldId="60"/>
    <tableColumn id="61" xr3:uid="{1035AF01-EEDC-4BD1-92CF-ACC0662CC274}" uniqueName="61" name="4D4" queryTableFieldId="61"/>
    <tableColumn id="62" xr3:uid="{36C4AD42-7286-4E37-A757-8925BEC5DE34}" uniqueName="62" name="4D3" queryTableFieldId="62"/>
    <tableColumn id="63" xr3:uid="{F53D2969-F92D-4A8C-995F-EEB0E8D9E7B1}" uniqueName="63" name="4D2" queryTableFieldId="63"/>
    <tableColumn id="64" xr3:uid="{115953DD-F7C9-4015-A41B-61E414BA665D}" uniqueName="64" name="3D5" queryTableFieldId="64"/>
    <tableColumn id="65" xr3:uid="{58849B68-0447-4E52-BB78-0CA021B19146}" uniqueName="65" name="3D4" queryTableFieldId="65"/>
    <tableColumn id="66" xr3:uid="{16F6F3EF-7B60-4A4C-840D-03B2782FF9F3}" uniqueName="66" name="3D3" queryTableFieldId="66"/>
    <tableColumn id="67" xr3:uid="{8530EF56-CDDB-4A38-9671-071B7B1B4EF9}" uniqueName="67" name="3D2" queryTableFieldId="67"/>
    <tableColumn id="68" xr3:uid="{F7E8E879-2742-4890-B5CB-F93B0BEA1CF5}" uniqueName="68" name="2D5" queryTableFieldId="68"/>
    <tableColumn id="69" xr3:uid="{67B03F0D-AC34-4447-BCCF-341404597C29}" uniqueName="69" name="2D4" queryTableFieldId="69"/>
    <tableColumn id="70" xr3:uid="{2947150F-7CF5-4DAA-A775-26545A41BB29}" uniqueName="70" name="2D3" queryTableFieldId="70"/>
    <tableColumn id="71" xr3:uid="{8188E824-3D9B-450B-ABF2-19CFA662F466}" uniqueName="71" name="2D2" queryTableFieldId="71"/>
    <tableColumn id="72" xr3:uid="{4F121E2D-9557-4C9D-B637-29D2B4D3C060}" uniqueName="72" name="1D5" queryTableFieldId="72"/>
    <tableColumn id="73" xr3:uid="{FAE40D5E-B495-44F1-9562-056A3BD442FF}" uniqueName="73" name="1D4" queryTableFieldId="73"/>
    <tableColumn id="74" xr3:uid="{C56FD691-190B-474D-AD43-88095D1CBC10}" uniqueName="74" name="1D3" queryTableFieldId="74"/>
    <tableColumn id="75" xr3:uid="{5379DF58-5CA3-4BF2-ADE7-4086BB884B85}" uniqueName="75" name="1D2" queryTableFieldId="75"/>
    <tableColumn id="76" xr3:uid="{03A42C5E-4F8D-453D-AE7A-CC07032AA7CC}" uniqueName="76" name="90EPI5" queryTableFieldId="76"/>
    <tableColumn id="77" xr3:uid="{7ACB3F9E-5399-4F5D-94A3-FF67647DC9D3}" uniqueName="77" name="90EPI4" queryTableFieldId="77"/>
    <tableColumn id="78" xr3:uid="{F5AA75F7-714A-4222-A139-0BF209141BD6}" uniqueName="78" name="90EPI3" queryTableFieldId="78"/>
    <tableColumn id="79" xr3:uid="{E57FF20E-3248-4AF6-88D4-7046C0926363}" uniqueName="79" name="90EPI2" queryTableFieldId="79"/>
    <tableColumn id="80" xr3:uid="{4D812D90-CF35-45C6-8A71-70C811868400}" uniqueName="80" name="75EPI5" queryTableFieldId="80"/>
    <tableColumn id="81" xr3:uid="{0447E00E-D3C3-4EA2-8F53-DDB6AB8E9610}" uniqueName="81" name="75EPI4" queryTableFieldId="81"/>
    <tableColumn id="82" xr3:uid="{C43D3971-2130-4E28-B106-40FBCCE6B690}" uniqueName="82" name="75EPI3" queryTableFieldId="82"/>
    <tableColumn id="83" xr3:uid="{F65B8BE6-F716-4141-9C09-1AC604EB03F7}" uniqueName="83" name="75EPI2" queryTableFieldId="83"/>
    <tableColumn id="84" xr3:uid="{1DF6D797-62E7-4695-8C24-8A7838D843E8}" uniqueName="84" name="SH5" queryTableFieldId="84"/>
    <tableColumn id="85" xr3:uid="{C94E3BB1-A4AD-43E6-984E-0EFF7A1F3764}" uniqueName="85" name="SH4" queryTableFieldId="85"/>
    <tableColumn id="86" xr3:uid="{5D4D7693-B93C-44FD-AC28-3FA27D54FC5B}" uniqueName="86" name="SH3" queryTableFieldId="86"/>
    <tableColumn id="87" xr3:uid="{DFC4E1A9-448A-4C1B-B206-221F537E659B}" uniqueName="87" name="SH2" queryTableFieldId="87"/>
    <tableColumn id="88" xr3:uid="{9E686785-8DD1-4EAE-AF4B-06319BFD7509}" uniqueName="88" name="GR5" queryTableFieldId="88"/>
    <tableColumn id="89" xr3:uid="{F04D95F0-EF71-491E-938E-00E1A7903E40}" uniqueName="89" name="GR4" queryTableFieldId="89"/>
    <tableColumn id="90" xr3:uid="{F23C7259-78ED-4F19-91E2-674A5FB05089}" uniqueName="90" name="GR3" queryTableFieldId="90"/>
    <tableColumn id="91" xr3:uid="{F0042802-922F-46F6-8548-D50AC05218B7}" uniqueName="91" name="GR2" queryTableFieldId="91"/>
    <tableColumn id="92" xr3:uid="{EF0022DF-BC9C-4D08-8A9A-71813B51B091}" uniqueName="92" name="50EPI5" queryTableFieldId="92"/>
    <tableColumn id="93" xr3:uid="{8178F855-7014-45EA-8540-A07EF389EB82}" uniqueName="93" name="50EPI4" queryTableFieldId="93"/>
    <tableColumn id="94" xr3:uid="{FC55928E-6748-4E44-88D3-D39C50D9C3E2}" uniqueName="94" name="50EPI3" queryTableFieldId="94"/>
    <tableColumn id="95" xr3:uid="{C4F962AA-3FD4-4E68-995C-46016C19E6A2}" uniqueName="95" name="50EPI2" queryTableFieldId="95"/>
    <tableColumn id="96" xr3:uid="{BF4FB9BD-2E88-4782-B39E-E220A9022B33}" uniqueName="96" name="30EPI5" queryTableFieldId="96"/>
    <tableColumn id="97" xr3:uid="{64BB39F3-AE77-4366-BE7E-83E225E3706D}" uniqueName="97" name="30EPI4" queryTableFieldId="97"/>
    <tableColumn id="98" xr3:uid="{65AF333F-2DEE-4FE4-B1C7-A2CFDF70B857}" uniqueName="98" name="30EPI3" queryTableFieldId="98"/>
    <tableColumn id="99" xr3:uid="{4525A6EC-8B01-4FBA-BFC4-EEA5A201C9A0}" uniqueName="99" name="30EPI2" queryTableFieldId="99"/>
    <tableColumn id="100" xr3:uid="{BF8DC9F9-9A48-4F4A-AFC1-2255BA9E329B}" uniqueName="100" name="DO5" queryTableFieldId="100"/>
    <tableColumn id="101" xr3:uid="{9689F4FE-1A37-42A2-BF44-B4AC0FB9EA5D}" uniqueName="101" name="DO4" queryTableFieldId="101"/>
    <tableColumn id="102" xr3:uid="{78993A7C-CE61-4CFF-BFD4-BAF313EE39CF}" uniqueName="102" name="DO3" queryTableFieldId="102"/>
    <tableColumn id="103" xr3:uid="{AF5E34EE-7740-47D6-8022-CF136CF37827}" uniqueName="103" name="DO2" queryTableFieldId="103"/>
    <tableColumn id="104" xr3:uid="{D7CD540A-3D82-419F-858F-F95F5B201786}" uniqueName="104" name="SPH5" queryTableFieldId="104"/>
    <tableColumn id="105" xr3:uid="{28CB74C2-8CC0-4DB3-8CCF-87A50E4E209E}" uniqueName="105" name="SPH4" queryTableFieldId="105"/>
    <tableColumn id="106" xr3:uid="{8957DE94-15D1-4C5D-9E43-BA7857AD420E}" uniqueName="106" name="SPH3" queryTableFieldId="106"/>
    <tableColumn id="107" xr3:uid="{49B11EF7-FE5F-4F85-B3F8-9B8E416F283D}" uniqueName="107" name="SPH2" queryTableFieldId="107"/>
    <tableColumn id="108" xr3:uid="{431DE792-D7FD-4820-AD1A-EBFDB7E3C954}" uniqueName="108" name="OB5" queryTableFieldId="108"/>
    <tableColumn id="109" xr3:uid="{4FAA706A-6067-4D73-B358-5CBE45A33D07}" uniqueName="109" name="OB4" queryTableFieldId="109"/>
    <tableColumn id="110" xr3:uid="{B7654418-79B9-4FD9-A9D6-E883C1DC8190}" uniqueName="110" name="OB3" queryTableFieldId="110"/>
    <tableColumn id="111" xr3:uid="{19E27A0E-4E1A-46E0-A451-5DC6DF05D42D}" uniqueName="111" name="OB2" queryTableFieldId="111"/>
    <tableColumn id="112" xr3:uid="{D26B7A01-F170-4422-94ED-49BAC9D5B4DD}" uniqueName="112" name="HI5" queryTableFieldId="112"/>
    <tableColumn id="113" xr3:uid="{D8968C3F-2D46-4231-B7EB-23F4D5EF1855}" uniqueName="113" name="HI4" queryTableFieldId="113"/>
    <tableColumn id="114" xr3:uid="{CEBBAA61-5652-4B7D-99DE-EF4E513B9521}" uniqueName="114" name="HI3" queryTableFieldId="114"/>
    <tableColumn id="115" xr3:uid="{84E7DA62-0CE9-4EB7-B253-FED5288743A6}" uniqueName="115" name="HI2" queryTableFieldId="115"/>
    <tableColumn id="116" xr3:uid="{EC820F6D-A53B-40AA-BE8D-02B2C6697278}" uniqueName="116" name="1K5" queryTableFieldId="116"/>
    <tableColumn id="117" xr3:uid="{0BBE5ED5-3B7A-4266-8EAC-619420B7FD93}" uniqueName="117" name="1K4" queryTableFieldId="117"/>
    <tableColumn id="118" xr3:uid="{91184F81-B739-44FE-AF46-E45A66E954F1}" uniqueName="118" name="1K3" queryTableFieldId="118"/>
    <tableColumn id="119" xr3:uid="{C822342D-B170-407E-ADCF-59E945D45D71}" uniqueName="119" name="1K2" queryTableFieldId="119"/>
    <tableColumn id="120" xr3:uid="{51F43210-3D5F-460C-A371-5447AF87678F}" uniqueName="120" name="512C5" queryTableFieldId="120"/>
    <tableColumn id="121" xr3:uid="{9014FB36-30E6-4C0E-A4F5-1B1080E2A061}" uniqueName="121" name="512C4" queryTableFieldId="121"/>
    <tableColumn id="122" xr3:uid="{3B16F113-D618-43B1-9A28-6A2D4BACDE29}" uniqueName="122" name="512C3" queryTableFieldId="122"/>
    <tableColumn id="123" xr3:uid="{749BC2BF-0613-47D8-9167-454BCCF2FB28}" uniqueName="123" name="512C2" queryTableFieldId="123"/>
    <tableColumn id="124" xr3:uid="{B1B6D858-4F62-4A21-8649-AFC781712CC4}" uniqueName="124" name="256C5" queryTableFieldId="124"/>
    <tableColumn id="125" xr3:uid="{7AC62324-8C6B-438A-9717-1D63495BF544}" uniqueName="125" name="256C4" queryTableFieldId="125"/>
    <tableColumn id="126" xr3:uid="{096434E6-83CF-49F8-BFD7-FD1CCF59FD6E}" uniqueName="126" name="256C3" queryTableFieldId="126"/>
    <tableColumn id="127" xr3:uid="{6571D17C-C8A3-4E73-8D74-21891B91EB7E}" uniqueName="127" name="256C2" queryTableFieldId="127"/>
    <tableColumn id="128" xr3:uid="{E5A7FE64-BDFA-4D36-A8E8-437E4AC09EFD}" uniqueName="128" name="128C5" queryTableFieldId="128"/>
    <tableColumn id="129" xr3:uid="{7173E8F8-76F9-470B-B751-9C8763D65A9D}" uniqueName="129" name="128C4" queryTableFieldId="129"/>
    <tableColumn id="130" xr3:uid="{A54F407F-5D68-480D-9055-8E7B7FB71714}" uniqueName="130" name="128C3" queryTableFieldId="130"/>
    <tableColumn id="131" xr3:uid="{6AEF5F6A-B0B2-450D-8DBF-7B77670AEFE0}" uniqueName="131" name="128C2" queryTableFieldId="131"/>
    <tableColumn id="132" xr3:uid="{E7540315-DA4E-47E3-B209-C11A22D7E163}" uniqueName="132" name="64C5" queryTableFieldId="132"/>
    <tableColumn id="133" xr3:uid="{1C14618B-1BD2-4451-B26A-805882748830}" uniqueName="133" name="64C4" queryTableFieldId="133"/>
    <tableColumn id="134" xr3:uid="{4F0D7B2A-5103-45A2-9582-87F93227192D}" uniqueName="134" name="64C3" queryTableFieldId="134"/>
    <tableColumn id="135" xr3:uid="{8DA874F7-E3A8-4232-A5FE-E4A8A6BC13B6}" uniqueName="135" name="64C2" queryTableFieldId="135"/>
    <tableColumn id="136" xr3:uid="{44565943-E842-42FA-8FF9-6DFC845CE3A9}" uniqueName="136" name="32C5" queryTableFieldId="136"/>
    <tableColumn id="137" xr3:uid="{418512E2-A578-4A6A-970D-241913FFE8C0}" uniqueName="137" name="32C4" queryTableFieldId="137"/>
    <tableColumn id="138" xr3:uid="{50108DDB-64A9-4CEC-AAB0-77AD8E3B65FF}" uniqueName="138" name="32C3" queryTableFieldId="138"/>
    <tableColumn id="139" xr3:uid="{F190EC3E-46BB-405D-AFA8-23CB70DC64DA}" uniqueName="139" name="32C2" queryTableFieldId="139"/>
    <tableColumn id="140" xr3:uid="{7CABC485-1EFD-45F2-A865-21349B26A01B}" uniqueName="140" name="16C5" queryTableFieldId="140"/>
    <tableColumn id="141" xr3:uid="{302D5A3B-5D20-4F77-8E85-43F37CF20565}" uniqueName="141" name="16C4" queryTableFieldId="141"/>
    <tableColumn id="142" xr3:uid="{78AB0DC3-3770-41ED-B6C4-9B24036762E3}" uniqueName="142" name="16C3" queryTableFieldId="142"/>
    <tableColumn id="143" xr3:uid="{4B1F8A48-6128-4747-80F6-1FD58FEF7145}" uniqueName="143" name="16C2" queryTableFieldId="143"/>
    <tableColumn id="144" xr3:uid="{C4C25BAD-2B28-4215-9AAA-7DFA3A57E687}" uniqueName="144" name="8C5" queryTableFieldId="144"/>
    <tableColumn id="145" xr3:uid="{EA9F7648-B9D9-475B-81E4-CB8F7038B882}" uniqueName="145" name="8C4" queryTableFieldId="145"/>
    <tableColumn id="146" xr3:uid="{6D7A2845-1C1F-4BBC-823F-B65154872475}" uniqueName="146" name="8C3" queryTableFieldId="146"/>
    <tableColumn id="147" xr3:uid="{879006A6-A83C-4BF4-8C57-24EA2EF60EC2}" uniqueName="147" name="8C2" queryTableFieldId="147"/>
    <tableColumn id="148" xr3:uid="{0460ADD1-5A4F-41A0-A7E8-392EA6315CC2}" uniqueName="148" name="4C5" queryTableFieldId="148"/>
    <tableColumn id="149" xr3:uid="{DC6579CD-5ADD-4B44-BA60-6991C357F69F}" uniqueName="149" name="4C4" queryTableFieldId="149"/>
    <tableColumn id="150" xr3:uid="{2ED1E3DF-89F2-4911-8790-F0B4AEF93C3C}" uniqueName="150" name="4C3" queryTableFieldId="150"/>
    <tableColumn id="151" xr3:uid="{D9CA075A-5C90-4645-AADC-F0770EC1B896}" uniqueName="151" name="4C2" queryTableFieldId="151"/>
    <tableColumn id="152" xr3:uid="{9817C01D-8B43-409E-936D-2B49EF561F78}" uniqueName="152" name="2C5" queryTableFieldId="152"/>
    <tableColumn id="153" xr3:uid="{2A8D9F05-098C-448B-B599-726CB84BC513}" uniqueName="153" name="2C4" queryTableFieldId="153"/>
    <tableColumn id="154" xr3:uid="{0D1E62E7-4110-4669-B26B-664A7AEBBFC2}" uniqueName="154" name="2C3" queryTableFieldId="154"/>
    <tableColumn id="155" xr3:uid="{6FDC4EA3-3E87-4614-BE12-C43D3F43A15E}" uniqueName="155" name="2C2" queryTableFieldId="155"/>
    <tableColumn id="156" xr3:uid="{14906FFF-191F-491D-BD8A-1E2DB75490C5}" uniqueName="156" name="1C5" queryTableFieldId="156"/>
    <tableColumn id="157" xr3:uid="{02892D5B-859C-49B7-B9D6-F707D780BCBC}" uniqueName="157" name="1C4" queryTableFieldId="157"/>
    <tableColumn id="158" xr3:uid="{D5C8A55F-5C23-48B0-8C60-7026924C3999}" uniqueName="158" name="1C3" queryTableFieldId="158"/>
    <tableColumn id="159" xr3:uid="{7A878F95-1361-4283-A8FB-754D4E89CC2C}" uniqueName="159" name="1C2" queryTableFieldId="15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63A1C52-9DDF-4948-8A90-5FDD9DEF5197}" name="RawData1" displayName="RawData1" ref="A1:GM29" tableType="queryTable" totalsRowShown="0">
  <autoFilter ref="A1:GM29" xr:uid="{963A1C52-9DDF-4948-8A90-5FDD9DEF5197}"/>
  <tableColumns count="195">
    <tableColumn id="1" xr3:uid="{A552352A-47A4-496D-ADFA-BC0B4F61F759}" uniqueName="1" name="Day" queryTableFieldId="1"/>
    <tableColumn id="2" xr3:uid="{7395EC90-B7E4-4BCD-821D-5F2ACE709242}" uniqueName="2" name="Operator" queryTableFieldId="2"/>
    <tableColumn id="3" xr3:uid="{AFA91DD8-AC52-4C03-8684-73867D410F35}" uniqueName="3" name="Group" queryTableFieldId="3"/>
    <tableColumn id="4" xr3:uid="{3FD08CEB-323D-4DAD-BB73-AD0619C5DE84}" uniqueName="4" name="Batch_ID" queryTableFieldId="4"/>
    <tableColumn id="5" xr3:uid="{B99486D1-F2D7-43BC-8397-0CD12B6FEA89}" uniqueName="5" name="Clutch_ID" queryTableFieldId="5"/>
    <tableColumn id="6" xr3:uid="{41C89F41-044E-45F2-AEF8-8872C9CA9D50}" uniqueName="6" name="Date" queryTableFieldId="6" dataDxfId="840"/>
    <tableColumn id="7" xr3:uid="{499CF94B-6A2B-4F57-8BFA-87EF8E2B57B7}" uniqueName="7" name="RecBreed" queryTableFieldId="7"/>
    <tableColumn id="8" xr3:uid="{33C8E6A8-C44F-4D97-A134-AB28AFFD9BF7}" uniqueName="8" name="Running" queryTableFieldId="8"/>
    <tableColumn id="9" xr3:uid="{CDACF031-ED83-402E-B55A-38C261F92234}" uniqueName="9" name="Ex_lot" queryTableFieldId="9"/>
    <tableColumn id="10" xr3:uid="{228A86A3-1C56-4E30-B65A-5B7E7D9EDFCF}" uniqueName="10" name="Ex_activated" queryTableFieldId="10" dataDxfId="839"/>
    <tableColumn id="11" xr3:uid="{14E202B3-3805-4DF0-A423-0EE5FE29E5FA}" uniqueName="11" name="Ex_start" queryTableFieldId="11" dataDxfId="838"/>
    <tableColumn id="12" xr3:uid="{6BB80F3C-0E94-45D8-A5F7-92A570F2D00C}" uniqueName="12" name="Ex_fin" queryTableFieldId="12" dataDxfId="837"/>
    <tableColumn id="13" xr3:uid="{65734A2D-222F-4082-B687-D5441765F9C4}" uniqueName="13" name="Ex_lot2" queryTableFieldId="13"/>
    <tableColumn id="14" xr3:uid="{553FE1ED-7BE7-4480-864B-FE838105B586}" uniqueName="14" name="Embryo_ID" queryTableFieldId="14"/>
    <tableColumn id="15" xr3:uid="{98F855BA-3B41-4C8B-80B1-81F67FDDCE1D}" uniqueName="15" name="stage_01_1C" queryTableFieldId="15"/>
    <tableColumn id="16" xr3:uid="{D8E26AF6-31E3-4FAB-8D1D-8C122C50336C}" uniqueName="16" name="stage_02_2C" queryTableFieldId="16"/>
    <tableColumn id="17" xr3:uid="{BEE62B30-C73D-443A-8A29-F3A06B9C614F}" uniqueName="17" name="stage_03_4C" queryTableFieldId="17"/>
    <tableColumn id="18" xr3:uid="{3D290B51-C27B-46FA-982E-19326E56C8DF}" uniqueName="18" name="stage_04_8C" queryTableFieldId="18"/>
    <tableColumn id="19" xr3:uid="{066A5D0F-4613-4B79-AAC0-8B11B6FAD3D8}" uniqueName="19" name="stage_05_16C" queryTableFieldId="19"/>
    <tableColumn id="20" xr3:uid="{E823AA1E-7023-4786-B984-72491500E80A}" uniqueName="20" name="stage_06_32C" queryTableFieldId="20"/>
    <tableColumn id="21" xr3:uid="{05D89B1B-EB3E-4F75-99A2-B74B74AA40A7}" uniqueName="21" name="stage_07_64C" queryTableFieldId="21"/>
    <tableColumn id="22" xr3:uid="{FB0FB5F2-36B4-4848-B931-C9DBDB3CD511}" uniqueName="22" name="stage_08_128C" queryTableFieldId="22"/>
    <tableColumn id="23" xr3:uid="{C7F1B2CB-B4D4-438F-BAFD-209B6559D93F}" uniqueName="23" name="stage_09_256C" queryTableFieldId="23"/>
    <tableColumn id="24" xr3:uid="{3B62193E-CC9D-41E4-A8B3-C9332514AB56}" uniqueName="24" name="stage_10_512C" queryTableFieldId="24"/>
    <tableColumn id="25" xr3:uid="{21825AF6-A6B0-40EF-899C-6438E4FEB62A}" uniqueName="25" name="stage_11_1K" queryTableFieldId="25"/>
    <tableColumn id="26" xr3:uid="{4BE6AFBC-11E4-4909-B430-2C3051706CA2}" uniqueName="26" name="stage_12_HI" queryTableFieldId="26"/>
    <tableColumn id="27" xr3:uid="{6EEBFE72-AD2E-4F12-890A-4CE73C163EB0}" uniqueName="27" name="stage_13_OB" queryTableFieldId="27"/>
    <tableColumn id="28" xr3:uid="{DED60114-045A-4C33-9C3C-B613A0768023}" uniqueName="28" name="stage_14_SPH" queryTableFieldId="28"/>
    <tableColumn id="29" xr3:uid="{C5F11688-19AC-4803-A0A3-F3A55F468FAC}" uniqueName="29" name="stage_15_DO" queryTableFieldId="29"/>
    <tableColumn id="30" xr3:uid="{0DFD1214-DCA0-4E1D-B8FD-48C45FB060C2}" uniqueName="30" name="stage_16_30EPI" queryTableFieldId="30"/>
    <tableColumn id="31" xr3:uid="{01D00A29-70DD-4E24-AC3B-7BE110B56E53}" uniqueName="31" name="stage_17_50EPI" queryTableFieldId="31"/>
    <tableColumn id="32" xr3:uid="{5AB8D60D-4D9B-4759-8B9C-A237F2DD25FB}" uniqueName="32" name="stage_18_GR" queryTableFieldId="32"/>
    <tableColumn id="33" xr3:uid="{101E6E21-E8E3-4502-BEB8-15A275CDE8F1}" uniqueName="33" name="stage_19_SH" queryTableFieldId="33"/>
    <tableColumn id="34" xr3:uid="{B9BA3356-428F-49DF-829F-E57ECF13A0BC}" uniqueName="34" name="stage_20_75EPI" queryTableFieldId="34"/>
    <tableColumn id="35" xr3:uid="{CC759495-A728-4EA5-A228-F572B30009C6}" uniqueName="35" name="stage_21_90EPI" queryTableFieldId="35"/>
    <tableColumn id="36" xr3:uid="{D0092113-14F8-43C3-A4D6-D7D22477EAF8}" uniqueName="36" name="stage_22_1D" queryTableFieldId="36"/>
    <tableColumn id="37" xr3:uid="{2825AC21-C09E-4C56-8B3F-519BF83A8269}" uniqueName="37" name="stage_23_2D" queryTableFieldId="37"/>
    <tableColumn id="38" xr3:uid="{9E95D0EF-F3D4-4E35-99B3-7991D9503AF6}" uniqueName="38" name="stage_24_3D" queryTableFieldId="38"/>
    <tableColumn id="39" xr3:uid="{1E8FF9B4-28A5-480A-8A35-7AD9D05EFE3F}" uniqueName="39" name="stage_25_4D" queryTableFieldId="39"/>
    <tableColumn id="40" xr3:uid="{F5DB5D7A-3E6C-4EF2-B483-F0664A4518B1}" uniqueName="40" name="stage_26_5D" queryTableFieldId="40"/>
    <tableColumn id="41" xr3:uid="{266BD721-F275-413E-ADCC-8C96BBCE591F}" uniqueName="41" name="stage_27_6D" queryTableFieldId="41"/>
    <tableColumn id="42" xr3:uid="{F8744002-2102-489B-A54C-A5AB77CEC213}" uniqueName="42" name="stage_28_7D" queryTableFieldId="42"/>
    <tableColumn id="43" xr3:uid="{B1E44F69-4739-446A-93BC-E11B620C96BD}" uniqueName="43" name="stage_29_8D" queryTableFieldId="43"/>
    <tableColumn id="44" xr3:uid="{9F20A3CB-D067-4997-8396-0DE3816B92A5}" uniqueName="44" name="stage_30_9D" queryTableFieldId="44"/>
    <tableColumn id="45" xr3:uid="{0BC0D581-3B21-447E-A0F3-9FBFE8A311BB}" uniqueName="45" name="stage_31_10D" queryTableFieldId="45"/>
    <tableColumn id="46" xr3:uid="{78B20430-8FC4-4231-981B-FAB7C6CA67FB}" uniqueName="46" name="stage_32_11D" queryTableFieldId="46"/>
    <tableColumn id="47" xr3:uid="{55974E78-7EF3-423D-B52E-88728D0715CB}" uniqueName="47" name="stage_33_12D" queryTableFieldId="47"/>
    <tableColumn id="48" xr3:uid="{436ECFE1-B057-467B-A8D8-1F782AA92995}" uniqueName="48" name="stage_34_13D" queryTableFieldId="48"/>
    <tableColumn id="49" xr3:uid="{5B263F08-176D-402C-B049-B44FAC4170B5}" uniqueName="49" name="stage_35_14D" queryTableFieldId="49"/>
    <tableColumn id="50" xr3:uid="{9B07BF1D-3073-40C7-BB8C-E8467C79E58E}" uniqueName="50" name="stage_36_15D" queryTableFieldId="50"/>
    <tableColumn id="51" xr3:uid="{297070A5-E727-4EA9-9448-2037E418796E}" uniqueName="51" name="1C2" queryTableFieldId="51"/>
    <tableColumn id="52" xr3:uid="{0473449A-AE7C-4280-870E-00F1ADED0B1D}" uniqueName="52" name="1C3" queryTableFieldId="52"/>
    <tableColumn id="53" xr3:uid="{62850BBA-7B69-4BC4-917C-84C23D4D12EF}" uniqueName="53" name="1C4" queryTableFieldId="53"/>
    <tableColumn id="54" xr3:uid="{FFAB8AA9-E515-46AE-B090-E845AACF06CE}" uniqueName="54" name="1C5" queryTableFieldId="54"/>
    <tableColumn id="55" xr3:uid="{D9F66B04-A991-40FE-8574-E57A7FD8696B}" uniqueName="55" name="2C2" queryTableFieldId="55"/>
    <tableColumn id="56" xr3:uid="{0CB3FCDB-05FD-45C5-BE3D-1CA3E8A57DA5}" uniqueName="56" name="2C3" queryTableFieldId="56"/>
    <tableColumn id="57" xr3:uid="{A67277B6-7988-41CA-AA03-A2913EC1C18D}" uniqueName="57" name="2C4" queryTableFieldId="57"/>
    <tableColumn id="58" xr3:uid="{8DCDC5F0-76F7-4CEA-B471-BC1B37BF8817}" uniqueName="58" name="2C5" queryTableFieldId="58"/>
    <tableColumn id="59" xr3:uid="{A305F05C-56A1-4793-8A2B-1E14033C3F81}" uniqueName="59" name="4C2" queryTableFieldId="59"/>
    <tableColumn id="60" xr3:uid="{0AA20406-A84F-4A60-AA72-8AA6D5F038B2}" uniqueName="60" name="4C3" queryTableFieldId="60"/>
    <tableColumn id="61" xr3:uid="{E5D4423A-FBED-45F4-A954-D7B785EE1071}" uniqueName="61" name="4C4" queryTableFieldId="61"/>
    <tableColumn id="62" xr3:uid="{0BF2752A-DF38-492D-843E-EB50082F4E9C}" uniqueName="62" name="4C5" queryTableFieldId="62"/>
    <tableColumn id="63" xr3:uid="{799331AF-14B3-45F9-B820-AE4141F1F70E}" uniqueName="63" name="8C2" queryTableFieldId="63"/>
    <tableColumn id="64" xr3:uid="{03BF0A19-69FC-49EC-82F6-92B4FCDA35D2}" uniqueName="64" name="8C3" queryTableFieldId="64"/>
    <tableColumn id="65" xr3:uid="{F52D0306-96D1-403A-8F9D-77F3EEC6EC91}" uniqueName="65" name="8C4" queryTableFieldId="65"/>
    <tableColumn id="66" xr3:uid="{EAA03E99-955B-4B34-8597-C1028F045A44}" uniqueName="66" name="8C5" queryTableFieldId="66"/>
    <tableColumn id="67" xr3:uid="{8D8CE24C-9E52-4F20-AAAC-5BB724DA1E0B}" uniqueName="67" name="16C2" queryTableFieldId="67"/>
    <tableColumn id="68" xr3:uid="{A50908D8-D77E-491A-A165-B124738518DC}" uniqueName="68" name="16C3" queryTableFieldId="68"/>
    <tableColumn id="69" xr3:uid="{9501F54D-F06B-446F-91B1-D89EE01321AE}" uniqueName="69" name="16C4" queryTableFieldId="69"/>
    <tableColumn id="70" xr3:uid="{40C18DEE-5114-4BE8-ACFD-7ABDC3FE9819}" uniqueName="70" name="16C5" queryTableFieldId="70"/>
    <tableColumn id="71" xr3:uid="{5EEA7092-43D0-43C3-87A2-C84226339A52}" uniqueName="71" name="32C2" queryTableFieldId="71"/>
    <tableColumn id="72" xr3:uid="{D8D82F89-D3E7-4A00-AD16-6B6E7615CC95}" uniqueName="72" name="32C3" queryTableFieldId="72"/>
    <tableColumn id="73" xr3:uid="{04B37EAC-63F0-4989-B4BF-896FC3043756}" uniqueName="73" name="32C4" queryTableFieldId="73"/>
    <tableColumn id="74" xr3:uid="{21CB5028-0EA8-47D1-BA8B-53A1B299B9EA}" uniqueName="74" name="32C5" queryTableFieldId="74"/>
    <tableColumn id="75" xr3:uid="{494366FD-CE34-4C42-BE1B-55F6A3820C27}" uniqueName="75" name="64C2" queryTableFieldId="75"/>
    <tableColumn id="76" xr3:uid="{7947F43C-7A21-4BD5-9001-8CEF4C2737C8}" uniqueName="76" name="64C3" queryTableFieldId="76"/>
    <tableColumn id="77" xr3:uid="{7A196B94-A447-419E-87ED-EBFA06346C16}" uniqueName="77" name="64C4" queryTableFieldId="77"/>
    <tableColumn id="78" xr3:uid="{EDF1F44F-BE30-472F-94B5-359D7A71778F}" uniqueName="78" name="64C5" queryTableFieldId="78"/>
    <tableColumn id="79" xr3:uid="{01EA1A00-BC71-418A-BC00-EE1F5333C878}" uniqueName="79" name="128C2" queryTableFieldId="79"/>
    <tableColumn id="80" xr3:uid="{8848B2F4-3DA6-44BC-BE4A-CA520B418B23}" uniqueName="80" name="128C3" queryTableFieldId="80"/>
    <tableColumn id="81" xr3:uid="{03511094-3487-409C-B9D5-D59FB09757B9}" uniqueName="81" name="128C4" queryTableFieldId="81"/>
    <tableColumn id="82" xr3:uid="{2B5CD510-6EB7-4F28-9018-D4BD0D502991}" uniqueName="82" name="128C5" queryTableFieldId="82"/>
    <tableColumn id="83" xr3:uid="{BAAA45D8-A90E-4729-9FF6-A08DF9083F6F}" uniqueName="83" name="256C2" queryTableFieldId="83"/>
    <tableColumn id="84" xr3:uid="{7B980D02-4C96-4E21-88DC-F118C331CA34}" uniqueName="84" name="256C3" queryTableFieldId="84"/>
    <tableColumn id="85" xr3:uid="{74F42917-7DD9-4DF2-928C-F1CA96193615}" uniqueName="85" name="256C4" queryTableFieldId="85"/>
    <tableColumn id="86" xr3:uid="{E9CF56F1-6FE5-407D-8709-529F767143B0}" uniqueName="86" name="256C5" queryTableFieldId="86"/>
    <tableColumn id="87" xr3:uid="{E0A89EDD-313A-4011-A13D-72EEB91923BC}" uniqueName="87" name="512C2" queryTableFieldId="87"/>
    <tableColumn id="88" xr3:uid="{7113EDBA-0E6C-4A79-A947-9419F38E84A3}" uniqueName="88" name="512C3" queryTableFieldId="88"/>
    <tableColumn id="89" xr3:uid="{994F49A7-FABF-4F34-A5F1-DF5275EC71A4}" uniqueName="89" name="512C4" queryTableFieldId="89"/>
    <tableColumn id="90" xr3:uid="{099A93AE-87A3-43B2-A20A-EE328BB9FE22}" uniqueName="90" name="512C5" queryTableFieldId="90"/>
    <tableColumn id="91" xr3:uid="{99902DE6-98EB-4C6A-BF84-18EC2E2C244D}" uniqueName="91" name="1K2" queryTableFieldId="91"/>
    <tableColumn id="92" xr3:uid="{CE5312B7-B4F8-4722-99A5-1579FD0BF39A}" uniqueName="92" name="1K3" queryTableFieldId="92"/>
    <tableColumn id="93" xr3:uid="{2DEA3093-F782-42DF-B8C1-F600B1739951}" uniqueName="93" name="1K4" queryTableFieldId="93"/>
    <tableColumn id="94" xr3:uid="{1F8D4E6B-F89B-40B8-92AE-0DED4364D610}" uniqueName="94" name="1K5" queryTableFieldId="94"/>
    <tableColumn id="95" xr3:uid="{7D6AE6CD-B367-45C4-BCE9-5D383777959F}" uniqueName="95" name="HI2" queryTableFieldId="95"/>
    <tableColumn id="96" xr3:uid="{3C9D1287-670B-4E56-8A42-D8351A5689F8}" uniqueName="96" name="HI3" queryTableFieldId="96"/>
    <tableColumn id="97" xr3:uid="{5253BD30-BB61-4DEF-B670-756DC6ABF664}" uniqueName="97" name="HI4" queryTableFieldId="97"/>
    <tableColumn id="98" xr3:uid="{292060A8-8532-4EDA-B6F6-6DA5BD0E8777}" uniqueName="98" name="HI5" queryTableFieldId="98"/>
    <tableColumn id="99" xr3:uid="{C9525451-2B85-4F61-AAA8-41371E79DB6F}" uniqueName="99" name="OB2" queryTableFieldId="99"/>
    <tableColumn id="100" xr3:uid="{200B7564-EF05-4AD6-BC39-085A5BF9F944}" uniqueName="100" name="OB3" queryTableFieldId="100"/>
    <tableColumn id="101" xr3:uid="{B18B5776-399D-4792-A904-98B6B0D7438E}" uniqueName="101" name="OB4" queryTableFieldId="101"/>
    <tableColumn id="102" xr3:uid="{39AE770D-4AFB-493E-AC2C-0764BD7E13F2}" uniqueName="102" name="OB5" queryTableFieldId="102"/>
    <tableColumn id="103" xr3:uid="{47A3EF30-77D5-46D4-BEFE-59B5CB43D8BC}" uniqueName="103" name="SPH2" queryTableFieldId="103"/>
    <tableColumn id="104" xr3:uid="{CA061B23-4543-4BC2-BC12-BAEA9C963381}" uniqueName="104" name="SPH3" queryTableFieldId="104"/>
    <tableColumn id="105" xr3:uid="{85463DAF-DDF4-4D0B-A934-038443FE8CF5}" uniqueName="105" name="SPH4" queryTableFieldId="105"/>
    <tableColumn id="106" xr3:uid="{82F61150-41BB-4750-A019-38427226EDBA}" uniqueName="106" name="SPH5" queryTableFieldId="106"/>
    <tableColumn id="107" xr3:uid="{D3EFA819-03DB-46C5-B211-DCDE9983A196}" uniqueName="107" name="DO2" queryTableFieldId="107"/>
    <tableColumn id="108" xr3:uid="{C420C2ED-D330-4CA3-969F-B0051873AA40}" uniqueName="108" name="DO3" queryTableFieldId="108"/>
    <tableColumn id="109" xr3:uid="{80249A91-15A7-44A7-A2B7-07ED0AF84C4B}" uniqueName="109" name="DO4" queryTableFieldId="109"/>
    <tableColumn id="110" xr3:uid="{DB421BEF-2D38-4AF6-BC4B-B407A6A07287}" uniqueName="110" name="DO5" queryTableFieldId="110"/>
    <tableColumn id="111" xr3:uid="{ADDC44CF-9064-43FD-9E4E-66A8BEEAAA1F}" uniqueName="111" name="30EPI2" queryTableFieldId="111"/>
    <tableColumn id="112" xr3:uid="{A9DB5AD8-03EA-467C-983A-10C97AB1E0C2}" uniqueName="112" name="30EPI3" queryTableFieldId="112"/>
    <tableColumn id="113" xr3:uid="{A60A7B8C-ED4E-4699-9CAD-7FB799755072}" uniqueName="113" name="30EPI4" queryTableFieldId="113"/>
    <tableColumn id="114" xr3:uid="{F3A6B772-78E6-413A-A610-C65F6395A6B6}" uniqueName="114" name="30EPI5" queryTableFieldId="114"/>
    <tableColumn id="115" xr3:uid="{4BFF2D06-00E8-489A-9D1A-022C35EBE0A6}" uniqueName="115" name="50EPI2" queryTableFieldId="115"/>
    <tableColumn id="116" xr3:uid="{566E267E-BE84-4D6F-8DF9-C6A2E9DF9B22}" uniqueName="116" name="50EPI3" queryTableFieldId="116"/>
    <tableColumn id="117" xr3:uid="{81E45500-DB6A-4DA5-AADD-68DBAC6570C1}" uniqueName="117" name="50EPI4" queryTableFieldId="117"/>
    <tableColumn id="118" xr3:uid="{9C8DA29B-0AF3-41C2-9BFD-C9801BA7D041}" uniqueName="118" name="50EPI5" queryTableFieldId="118"/>
    <tableColumn id="119" xr3:uid="{9FEBAC86-6B1E-4EBA-AB62-46452DD29561}" uniqueName="119" name="GR2" queryTableFieldId="119"/>
    <tableColumn id="120" xr3:uid="{83FE290E-7A64-459A-A6AF-0C984D6895FE}" uniqueName="120" name="GR3" queryTableFieldId="120"/>
    <tableColumn id="121" xr3:uid="{DAC43A05-7EF5-46B1-8F76-097D27058D54}" uniqueName="121" name="GR4" queryTableFieldId="121"/>
    <tableColumn id="122" xr3:uid="{F038B04A-C26B-430D-8634-5B268E82DA6F}" uniqueName="122" name="GR5" queryTableFieldId="122"/>
    <tableColumn id="123" xr3:uid="{0939D05F-2485-4A05-BF93-77D6013BDBD8}" uniqueName="123" name="SH2" queryTableFieldId="123"/>
    <tableColumn id="124" xr3:uid="{30D678E3-2AA0-4A8E-A0F7-AEE906DDE701}" uniqueName="124" name="SH3" queryTableFieldId="124"/>
    <tableColumn id="125" xr3:uid="{91E7E138-E2F8-47A6-B37E-BD63DB1871C4}" uniqueName="125" name="SH4" queryTableFieldId="125"/>
    <tableColumn id="126" xr3:uid="{0EAA144E-294B-4867-ADF7-2B318BC807E0}" uniqueName="126" name="SH5" queryTableFieldId="126"/>
    <tableColumn id="127" xr3:uid="{A5A9BD2A-6380-4057-89B3-90684973B862}" uniqueName="127" name="75EPI2" queryTableFieldId="127"/>
    <tableColumn id="128" xr3:uid="{04F144A7-A11D-495B-A01D-03ACBA586D42}" uniqueName="128" name="75EPI3" queryTableFieldId="128"/>
    <tableColumn id="129" xr3:uid="{8942F9A5-2F17-418E-A9F9-7D3E21E58E6E}" uniqueName="129" name="75EPI4" queryTableFieldId="129"/>
    <tableColumn id="130" xr3:uid="{67D3F602-68EB-4B53-A45D-FA676916FDDD}" uniqueName="130" name="75EPI5" queryTableFieldId="130"/>
    <tableColumn id="131" xr3:uid="{E76FBC60-E72F-491B-9581-AF6F5F8C7A86}" uniqueName="131" name="90EPI2" queryTableFieldId="131"/>
    <tableColumn id="132" xr3:uid="{C6C7ED39-6F5C-414D-B29C-F0302580035C}" uniqueName="132" name="90EPI3" queryTableFieldId="132"/>
    <tableColumn id="133" xr3:uid="{92053570-D416-4DDF-9B83-04800DB07DC9}" uniqueName="133" name="90EPI4" queryTableFieldId="133"/>
    <tableColumn id="134" xr3:uid="{7EEEB1BA-1D7F-4ECF-AE41-4BC8F11AA6AC}" uniqueName="134" name="90EPI5" queryTableFieldId="134"/>
    <tableColumn id="135" xr3:uid="{8436601A-936B-46B2-BF0D-48445E366082}" uniqueName="135" name="1D2" queryTableFieldId="135"/>
    <tableColumn id="136" xr3:uid="{035AD680-979C-4C26-872F-14CAB6CA3124}" uniqueName="136" name="1D3" queryTableFieldId="136"/>
    <tableColumn id="137" xr3:uid="{661DEE87-24DF-403B-AE98-C4EDE8E05305}" uniqueName="137" name="1D4" queryTableFieldId="137"/>
    <tableColumn id="138" xr3:uid="{5B9FFF2D-82C3-4E94-9789-21CA4DF50D56}" uniqueName="138" name="1D5" queryTableFieldId="138"/>
    <tableColumn id="139" xr3:uid="{1803B313-6B11-465F-B480-94BA95B74DD7}" uniqueName="139" name="2D2" queryTableFieldId="139"/>
    <tableColumn id="140" xr3:uid="{29FF74E5-20CC-4696-BCFD-2F2F8306461A}" uniqueName="140" name="2D3" queryTableFieldId="140"/>
    <tableColumn id="141" xr3:uid="{157794A2-DF67-4FEC-9BBD-660B8EB2FC86}" uniqueName="141" name="2D4" queryTableFieldId="141"/>
    <tableColumn id="142" xr3:uid="{87947A83-65BB-4965-918E-F94F5968CD69}" uniqueName="142" name="2D5" queryTableFieldId="142"/>
    <tableColumn id="143" xr3:uid="{04808B30-2889-45F6-B298-83EA2C305A06}" uniqueName="143" name="3D2" queryTableFieldId="143"/>
    <tableColumn id="144" xr3:uid="{F27933D2-5CD9-44A5-A924-60945C901456}" uniqueName="144" name="3D3" queryTableFieldId="144"/>
    <tableColumn id="145" xr3:uid="{48AF4214-4D30-498D-831E-5AEB5DD4B5D8}" uniqueName="145" name="3D4" queryTableFieldId="145"/>
    <tableColumn id="146" xr3:uid="{50A320A4-BBA2-486B-89DF-0749ACE27BD2}" uniqueName="146" name="3D5" queryTableFieldId="146"/>
    <tableColumn id="147" xr3:uid="{39AF3F93-82A5-4D12-AB8D-AA3CDCCC5A4D}" uniqueName="147" name="4D2" queryTableFieldId="147"/>
    <tableColumn id="148" xr3:uid="{6AC10314-9A54-4931-B4AA-984963C8D1CF}" uniqueName="148" name="4D3" queryTableFieldId="148"/>
    <tableColumn id="149" xr3:uid="{FC1AA4CF-6864-411E-A0DB-029E7CD60418}" uniqueName="149" name="4D4" queryTableFieldId="149"/>
    <tableColumn id="150" xr3:uid="{E074C2E7-6785-4310-B378-A2A7505A9CB4}" uniqueName="150" name="4D5" queryTableFieldId="150"/>
    <tableColumn id="151" xr3:uid="{EF2D5CC9-7961-4006-B250-E3DCA15FFEC2}" uniqueName="151" name="5D2" queryTableFieldId="151"/>
    <tableColumn id="152" xr3:uid="{29F7A98E-E2B8-4D39-9C29-699A59D8E1A2}" uniqueName="152" name="5D3" queryTableFieldId="152"/>
    <tableColumn id="153" xr3:uid="{6891E8EF-ED4A-4921-8961-4B0EA6A30E0E}" uniqueName="153" name="5D4" queryTableFieldId="153"/>
    <tableColumn id="154" xr3:uid="{7C2BA4B0-DC99-467E-84D4-868E6045E2A2}" uniqueName="154" name="5D5" queryTableFieldId="154"/>
    <tableColumn id="155" xr3:uid="{D73A09D9-E52A-494C-8404-272BEDBC2A9A}" uniqueName="155" name="6D2" queryTableFieldId="155"/>
    <tableColumn id="156" xr3:uid="{0BC15A54-5BBE-45FF-A8A6-BAA73917D03B}" uniqueName="156" name="6D3" queryTableFieldId="156"/>
    <tableColumn id="157" xr3:uid="{7DDA9AD3-0D9F-4C9E-BB56-F4C471F15D09}" uniqueName="157" name="6D4" queryTableFieldId="157"/>
    <tableColumn id="158" xr3:uid="{E64DDA08-10F6-4464-BB49-6FF876E38BF9}" uniqueName="158" name="6D5" queryTableFieldId="158"/>
    <tableColumn id="159" xr3:uid="{320153DC-696D-4E14-A85E-6A0320C76D4F}" uniqueName="159" name="7D2" queryTableFieldId="159"/>
    <tableColumn id="160" xr3:uid="{29DFE56C-2278-4774-AC7E-2868099CD701}" uniqueName="160" name="7D3" queryTableFieldId="160"/>
    <tableColumn id="161" xr3:uid="{0A938304-E134-479C-92F5-6E6312873D1F}" uniqueName="161" name="7D4" queryTableFieldId="161"/>
    <tableColumn id="162" xr3:uid="{7A9E1108-49EA-4C25-9581-574AECEF2C30}" uniqueName="162" name="7D5" queryTableFieldId="162"/>
    <tableColumn id="163" xr3:uid="{CDC0C6A6-A1F5-4770-AFB1-2B8EAC0C1735}" uniqueName="163" name="8D2" queryTableFieldId="163"/>
    <tableColumn id="164" xr3:uid="{D63877BD-06B0-4976-9A5C-9084A846E793}" uniqueName="164" name="8D3" queryTableFieldId="164"/>
    <tableColumn id="165" xr3:uid="{1191CF94-9A10-4110-99DA-5D83A29CE449}" uniqueName="165" name="8D4" queryTableFieldId="165"/>
    <tableColumn id="166" xr3:uid="{13668CE5-1ECB-4161-80FD-6567D4B428D5}" uniqueName="166" name="8D5" queryTableFieldId="166"/>
    <tableColumn id="167" xr3:uid="{BC24DDDC-BC52-4031-A4D6-73ECBE35268B}" uniqueName="167" name="9D2" queryTableFieldId="167"/>
    <tableColumn id="168" xr3:uid="{EDB8F095-6A31-41D1-9A79-1F471608CDDC}" uniqueName="168" name="9D3" queryTableFieldId="168"/>
    <tableColumn id="169" xr3:uid="{C06AFA41-7713-475B-92B4-9F284BC6B30A}" uniqueName="169" name="9D4" queryTableFieldId="169"/>
    <tableColumn id="170" xr3:uid="{1BD13C55-F390-4DAD-A426-5E3E02CDEAA6}" uniqueName="170" name="9D5" queryTableFieldId="170"/>
    <tableColumn id="171" xr3:uid="{443AD4AA-04FC-4617-ACDD-25766EFD0640}" uniqueName="171" name="10D2" queryTableFieldId="171"/>
    <tableColumn id="172" xr3:uid="{202EB441-BD58-4F36-AE37-8F3ED9866441}" uniqueName="172" name="10D3" queryTableFieldId="172"/>
    <tableColumn id="173" xr3:uid="{A9910DB1-EECA-4C8E-BAE1-AFE4A690D5A2}" uniqueName="173" name="10D4" queryTableFieldId="173"/>
    <tableColumn id="174" xr3:uid="{933BA90E-82D6-4DC6-BAA9-99F18F66B74D}" uniqueName="174" name="10D5" queryTableFieldId="174"/>
    <tableColumn id="175" xr3:uid="{A176AA02-E6CC-4B61-8516-AD8429AA0EE3}" uniqueName="175" name="11D2" queryTableFieldId="175"/>
    <tableColumn id="176" xr3:uid="{210F6EC2-12C2-4B35-A094-ED71A6FCA7F4}" uniqueName="176" name="11D3" queryTableFieldId="176"/>
    <tableColumn id="177" xr3:uid="{2D0B2678-4A7A-4626-B67F-BF857784B58E}" uniqueName="177" name="11D4" queryTableFieldId="177"/>
    <tableColumn id="178" xr3:uid="{3CA882A0-99B3-48F2-A4CB-BF9F9D26EA51}" uniqueName="178" name="11D5" queryTableFieldId="178"/>
    <tableColumn id="179" xr3:uid="{0A151B33-F96C-4052-B23C-6B34B8F65D0F}" uniqueName="179" name="12D2" queryTableFieldId="179"/>
    <tableColumn id="180" xr3:uid="{763461C6-2C6F-402D-A191-A764EB79040C}" uniqueName="180" name="12D3" queryTableFieldId="180"/>
    <tableColumn id="181" xr3:uid="{1E24E08B-160A-4D87-BBCB-E9E2536AD3D5}" uniqueName="181" name="12D4" queryTableFieldId="181"/>
    <tableColumn id="182" xr3:uid="{40311466-0097-4939-A019-86E564047732}" uniqueName="182" name="12D5" queryTableFieldId="182"/>
    <tableColumn id="183" xr3:uid="{1C5AE35F-CFED-4553-A7B6-2C285381EE9B}" uniqueName="183" name="13D2" queryTableFieldId="183"/>
    <tableColumn id="184" xr3:uid="{F7E57AA8-8265-4BCB-BB75-B190539891DC}" uniqueName="184" name="13D3" queryTableFieldId="184"/>
    <tableColumn id="185" xr3:uid="{E15A5776-8F97-4CE6-A97B-FE84577E9952}" uniqueName="185" name="13D4" queryTableFieldId="185"/>
    <tableColumn id="186" xr3:uid="{D9F7A761-AB5D-4C0D-B606-22E6FEA06A8E}" uniqueName="186" name="13D5" queryTableFieldId="186"/>
    <tableColumn id="187" xr3:uid="{C3D7A84D-8B3E-4156-9858-04D90C975DD1}" uniqueName="187" name="14D2" queryTableFieldId="187"/>
    <tableColumn id="188" xr3:uid="{1245122E-74DD-41A2-A325-84770FBC40C8}" uniqueName="188" name="14D3" queryTableFieldId="188"/>
    <tableColumn id="189" xr3:uid="{00357C31-E814-431B-BBD7-21419DF94F46}" uniqueName="189" name="14D4" queryTableFieldId="189"/>
    <tableColumn id="190" xr3:uid="{E036B8FE-FF17-42FD-B8BB-DA905A16BAF5}" uniqueName="190" name="14D5" queryTableFieldId="190"/>
    <tableColumn id="191" xr3:uid="{32D01D0E-F883-4F06-A7FD-E9860A0DB099}" uniqueName="191" name="15D2" queryTableFieldId="191"/>
    <tableColumn id="192" xr3:uid="{001610C4-7B3C-48BF-A29F-5876B3E7C665}" uniqueName="192" name="15D3" queryTableFieldId="192"/>
    <tableColumn id="193" xr3:uid="{3A14EE9F-5297-47D3-9349-38E738F4DA51}" uniqueName="193" name="15D4" queryTableFieldId="193"/>
    <tableColumn id="194" xr3:uid="{7BA511F7-E897-45EC-A5D2-882C2C5674CF}" uniqueName="194" name="15D5" queryTableFieldId="194"/>
    <tableColumn id="195" xr3:uid="{28BC93E6-B7E2-4C83-A302-B94D4FB65BF7}" uniqueName="195" name="AuditStatus" queryTableFieldId="19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67DCF42-CCFC-442B-B44E-5AE4E42ACECA}" name="MainQuery1" displayName="MainQuery1" ref="A1:AL29" tableType="queryTable" totalsRowShown="0">
  <autoFilter ref="A1:AL29" xr:uid="{F67DCF42-CCFC-442B-B44E-5AE4E42ACECA}"/>
  <tableColumns count="38">
    <tableColumn id="1" xr3:uid="{817D81E0-CB83-4984-A2C9-B183764CC733}" uniqueName="1" name="Embryo_ID" queryTableFieldId="261" dataDxfId="836"/>
    <tableColumn id="2" xr3:uid="{9A0FF0A9-EE39-4628-B3B4-B7D16B994CD2}" uniqueName="2" name="Postfill_Audit" queryTableFieldId="262"/>
    <tableColumn id="3" xr3:uid="{E516DD74-39BA-4930-BB22-43A41383B3AF}" uniqueName="3" name="stage_01_1C" queryTableFieldId="263"/>
    <tableColumn id="4" xr3:uid="{E7372CC1-03FF-4D0B-997B-9A466D1A1E8D}" uniqueName="4" name="stage_02_2C" queryTableFieldId="264"/>
    <tableColumn id="5" xr3:uid="{7F445869-778C-4BAB-9262-924F697462E1}" uniqueName="5" name="stage_03_4C" queryTableFieldId="265"/>
    <tableColumn id="6" xr3:uid="{E7C89598-3B9E-4FD5-88C2-B6B4F12CCE40}" uniqueName="6" name="stage_04_8C" queryTableFieldId="266"/>
    <tableColumn id="7" xr3:uid="{E043C3B6-7A25-4EE3-88BB-285530536453}" uniqueName="7" name="stage_05_16C" queryTableFieldId="267"/>
    <tableColumn id="8" xr3:uid="{5E5B6CB8-44DB-45CE-9115-02BCAD66C076}" uniqueName="8" name="stage_06_32C" queryTableFieldId="268"/>
    <tableColumn id="9" xr3:uid="{5216293C-7FDE-464C-A9D5-77882348F366}" uniqueName="9" name="stage_07_64C" queryTableFieldId="269"/>
    <tableColumn id="10" xr3:uid="{6280F65B-6A4A-4126-B0B0-51D79E7B34D1}" uniqueName="10" name="stage_08_128C" queryTableFieldId="270"/>
    <tableColumn id="11" xr3:uid="{52C71A16-ACDC-4E82-92C5-0372C6A18E7E}" uniqueName="11" name="stage_09_256C" queryTableFieldId="271"/>
    <tableColumn id="12" xr3:uid="{7A3D5FC6-92B2-4C19-BA57-1B5C2F2CFB97}" uniqueName="12" name="stage_10_512C" queryTableFieldId="272"/>
    <tableColumn id="13" xr3:uid="{60C54D18-A2F1-48BB-8397-5CFD34EF3BB8}" uniqueName="13" name="stage_11_1K" queryTableFieldId="273"/>
    <tableColumn id="14" xr3:uid="{83A78F95-8D1E-4C2E-9F54-7C54BB7D962C}" uniqueName="14" name="stage_12_HI" queryTableFieldId="274"/>
    <tableColumn id="15" xr3:uid="{2648144B-562A-47F5-994E-DC9F11428A85}" uniqueName="15" name="stage_13_OB" queryTableFieldId="275"/>
    <tableColumn id="16" xr3:uid="{5E52428D-05DB-45C8-8AC6-C3CE8A3250AF}" uniqueName="16" name="stage_14_SPH" queryTableFieldId="276"/>
    <tableColumn id="17" xr3:uid="{030F8D74-862A-4860-8A72-721FC1982EA7}" uniqueName="17" name="stage_15_DO" queryTableFieldId="277"/>
    <tableColumn id="18" xr3:uid="{A43EC77E-7913-431F-AA45-9617BFB33255}" uniqueName="18" name="stage_16_30EPI" queryTableFieldId="278"/>
    <tableColumn id="19" xr3:uid="{89E293DA-41FD-4493-8DF8-F354A0CEF25D}" uniqueName="19" name="stage_17_50EPI" queryTableFieldId="279"/>
    <tableColumn id="20" xr3:uid="{D140ED08-141F-4A78-BADC-702203E7AD8A}" uniqueName="20" name="stage_18_GR" queryTableFieldId="280"/>
    <tableColumn id="21" xr3:uid="{7AE5B90E-EA87-48F0-A730-880BF11A74A3}" uniqueName="21" name="stage_19_SH" queryTableFieldId="281"/>
    <tableColumn id="22" xr3:uid="{5C0323B5-B130-4D84-A757-A753475ACF13}" uniqueName="22" name="stage_20_75EPI" queryTableFieldId="282"/>
    <tableColumn id="23" xr3:uid="{36111BDD-31B4-4CED-9E27-371221B72A66}" uniqueName="23" name="stage_21_90EPI" queryTableFieldId="283"/>
    <tableColumn id="24" xr3:uid="{CC21B71A-CC37-449E-B747-318C64621A62}" uniqueName="24" name="stage_22_1D" queryTableFieldId="284"/>
    <tableColumn id="25" xr3:uid="{13EC268C-EE36-4865-8A28-41B4DC07E89D}" uniqueName="25" name="stage_23_2D" queryTableFieldId="285"/>
    <tableColumn id="26" xr3:uid="{703BEDE4-647C-4B69-94F0-09F1CB117FC8}" uniqueName="26" name="stage_24_3D" queryTableFieldId="286"/>
    <tableColumn id="27" xr3:uid="{26642908-D438-4100-9589-F0312E504ED0}" uniqueName="27" name="stage_25_4D" queryTableFieldId="287"/>
    <tableColumn id="28" xr3:uid="{D68E904B-F3D9-4E10-ACC2-8D90E339CEB4}" uniqueName="28" name="stage_26_5D" queryTableFieldId="288"/>
    <tableColumn id="29" xr3:uid="{F1E272DA-B8E6-4259-A0A6-3C1816AC2E20}" uniqueName="29" name="stage_27_6D" queryTableFieldId="289"/>
    <tableColumn id="30" xr3:uid="{933AD486-B5FE-42A1-B1DB-94D552A2DE8D}" uniqueName="30" name="stage_28_7D" queryTableFieldId="290"/>
    <tableColumn id="31" xr3:uid="{BF3C176D-31D3-4D29-849C-42258869ED03}" uniqueName="31" name="stage_29_8D" queryTableFieldId="291"/>
    <tableColumn id="32" xr3:uid="{CC843529-9C60-4364-8583-95D6A048FBC0}" uniqueName="32" name="stage_30_9D" queryTableFieldId="292"/>
    <tableColumn id="33" xr3:uid="{0ECC23ED-2EF8-41C4-9CE5-8C1D6C92D591}" uniqueName="33" name="stage_31_10D" queryTableFieldId="293"/>
    <tableColumn id="34" xr3:uid="{33E45D25-B7A1-4975-BEC8-28C9BE7AD163}" uniqueName="34" name="stage_32_11D" queryTableFieldId="294"/>
    <tableColumn id="35" xr3:uid="{BD5DC99D-D124-4E9E-8DC0-EA71A13A820B}" uniqueName="35" name="stage_33_12D" queryTableFieldId="295"/>
    <tableColumn id="36" xr3:uid="{1DF6178A-E6EE-4D7C-8478-2D20E90A3FE5}" uniqueName="36" name="stage_34_13D" queryTableFieldId="296"/>
    <tableColumn id="37" xr3:uid="{39CE45B3-C92E-4E1F-B0E7-0FA0D5FC8EC1}" uniqueName="37" name="stage_35_14D" queryTableFieldId="297"/>
    <tableColumn id="38" xr3:uid="{4DCBD6CE-E487-4E66-A565-DDE6618464DC}" uniqueName="38" name="stage_36_15D" queryTableFieldId="29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C3959F6-5D80-4436-8CA1-07E8F5C366E5}" name="RawData2" displayName="RawData2" ref="A1:BZ146" tableType="queryTable" totalsRowShown="0">
  <autoFilter ref="A1:BZ146" xr:uid="{FC3959F6-5D80-4436-8CA1-07E8F5C366E5}"/>
  <tableColumns count="78">
    <tableColumn id="1" xr3:uid="{2DDD647E-BBF1-4D3C-BA15-B75BFF9A9AE3}" uniqueName="1" name="Day" queryTableFieldId="212"/>
    <tableColumn id="3" xr3:uid="{1A12416D-E00C-4C6F-954E-16EF5758B046}" uniqueName="3" name="Operator" queryTableFieldId="213" dataDxfId="893"/>
    <tableColumn id="24" xr3:uid="{8EA5D5A3-A059-41B8-A6F4-E6D9851B44CD}" uniqueName="24" name="Group" queryTableFieldId="24" dataDxfId="892"/>
    <tableColumn id="4" xr3:uid="{5DD46024-ACAE-44C7-A1E8-CEC33DCD1AC2}" uniqueName="4" name="Batch_ID" queryTableFieldId="214"/>
    <tableColumn id="5" xr3:uid="{93B621C9-181D-4374-AC45-DCA968DCCE46}" uniqueName="5" name="Clutch_ID" queryTableFieldId="215" dataDxfId="891"/>
    <tableColumn id="2" xr3:uid="{21E70ABC-2F1B-4355-9AFE-01F885293CDD}" uniqueName="2" name="Date" queryTableFieldId="2" dataDxfId="890"/>
    <tableColumn id="6" xr3:uid="{F5F91DC5-51EE-48D8-AAD8-70BCF59ABBB2}" uniqueName="6" name="RecBreed" queryTableFieldId="216" dataDxfId="889"/>
    <tableColumn id="7" xr3:uid="{6432CFB0-591B-4C4C-A18E-4363D2433E0B}" uniqueName="7" name="M_CSOF_Lot" queryTableFieldId="217" dataDxfId="888"/>
    <tableColumn id="8" xr3:uid="{02EAAA5F-C82A-4DDC-A414-E72318F5B3EB}" uniqueName="8" name="M_Donor" queryTableFieldId="218" dataDxfId="887"/>
    <tableColumn id="9" xr3:uid="{3238207A-79B8-4611-9B50-F65B6AB454EF}" uniqueName="9" name="M_Enu_Power" queryTableFieldId="219"/>
    <tableColumn id="10" xr3:uid="{801A845B-8C62-4A85-8B29-4A8BB8EC4ED9}" uniqueName="10" name="M_Enu_Pulse" queryTableFieldId="220"/>
    <tableColumn id="11" xr3:uid="{E35E9F24-DDD8-46D9-8856-07E6B96B351B}" uniqueName="11" name="M_Enu_Led" queryTableFieldId="221"/>
    <tableColumn id="12" xr3:uid="{A8958AD7-6422-4375-B2AB-8F24897DFB5D}" uniqueName="12" name="M_Ex_Lot" queryTableFieldId="222"/>
    <tableColumn id="31" xr3:uid="{13160BDF-A034-414C-B6C9-6E16C537B0D4}" uniqueName="31" name="N in Lot" queryTableFieldId="31"/>
    <tableColumn id="35" xr3:uid="{953A770A-BF70-47CE-85A0-9D75E368467C}" uniqueName="35" name="well_x000a_(96-well)" queryTableFieldId="35" dataDxfId="886"/>
    <tableColumn id="13" xr3:uid="{B08853C8-DF20-4B08-9521-948BA9A7BAD2}" uniqueName="13" name="Running" queryTableFieldId="223"/>
    <tableColumn id="36" xr3:uid="{99D27A41-E66F-47C4-A2EB-EC6C2EC46EB8}" uniqueName="36" name="Running number" queryTableFieldId="36"/>
    <tableColumn id="37" xr3:uid="{8930D396-59B6-4C4B-BD65-7C54C7970D03}" uniqueName="37" name="Activated" queryTableFieldId="37"/>
    <tableColumn id="38" xr3:uid="{988D2C12-99CB-42C7-AB12-D4BA87E360D3}" uniqueName="38" name="2-cell_x000a_(1 h)" queryTableFieldId="38"/>
    <tableColumn id="39" xr3:uid="{AC9D696C-D92B-447B-8D46-2FC1EC418EFC}" uniqueName="39" name="4-cell_x000a_(1 h)" queryTableFieldId="39" dataDxfId="885"/>
    <tableColumn id="40" xr3:uid="{F07D361F-69C2-4C13-9756-3B510F6E1C5B}" uniqueName="40" name="8-cell_x000a_(1.25 h)" queryTableFieldId="40" dataDxfId="884"/>
    <tableColumn id="41" xr3:uid="{4645D602-1769-4BA9-9837-8466EAB946D8}" uniqueName="41" name="16-cell_x000a_(1.5 h)" queryTableFieldId="41"/>
    <tableColumn id="42" xr3:uid="{0E636120-6293-4AED-AABB-9106F75C7602}" uniqueName="42" name="32-cell_x000a_(1.75 h)" queryTableFieldId="42"/>
    <tableColumn id="43" xr3:uid="{CDC7B5CF-99C4-46B9-BE8B-E242C93C5155}" uniqueName="43" name="64-cell_x000a_(2 h)" queryTableFieldId="43" dataDxfId="883"/>
    <tableColumn id="44" xr3:uid="{50BEB7A8-3DF2-419B-B7EF-1DEDD2A5FFD0}" uniqueName="44" name="128-cell_x000a_(2.25 h)" queryTableFieldId="44"/>
    <tableColumn id="45" xr3:uid="{B18D3251-49A2-4356-ACCA-F45286820957}" uniqueName="45" name="256-cell_x000a_(2.5 h)" queryTableFieldId="45"/>
    <tableColumn id="46" xr3:uid="{CCFB8D9D-5477-4063-9603-0A6B1CD45F5B}" uniqueName="46" name="512-cell_x000a_(2.75 h)" queryTableFieldId="46"/>
    <tableColumn id="47" xr3:uid="{DBD2BEC7-2CE7-41BA-9CCE-23E7E597450F}" uniqueName="47" name="1k-cell_x000a_(3 h)" queryTableFieldId="47"/>
    <tableColumn id="48" xr3:uid="{A71910F7-DA7E-49D7-8343-4D816FBE3F78}" uniqueName="48" name="High_x000a_(3.3 h)" queryTableFieldId="48"/>
    <tableColumn id="49" xr3:uid="{5F283FC4-E757-44B5-B84C-A91714F22EDF}" uniqueName="49" name="Oblong_x000a_(3.7 h)" queryTableFieldId="49"/>
    <tableColumn id="50" xr3:uid="{16AAADD3-A6EF-42AD-BA40-F88800FFA39E}" uniqueName="50" name="Sphere_x000a_(4 h)" queryTableFieldId="50"/>
    <tableColumn id="51" xr3:uid="{2A8A9A87-7BE2-4554-88CC-B3EF392600C9}" uniqueName="51" name="Dome_x000a_(4.3 h)" queryTableFieldId="51"/>
    <tableColumn id="52" xr3:uid="{9EEA6362-CEE5-4794-8629-C6CD0CC71670}" uniqueName="52" name="30%epi_x000a_(4.7 h)" queryTableFieldId="52"/>
    <tableColumn id="53" xr3:uid="{13FCA3D5-1496-4ABC-932D-2B00606653F9}" uniqueName="53" name="50%epi_x000a_(5.3 h)" queryTableFieldId="53"/>
    <tableColumn id="54" xr3:uid="{5854E243-F93E-4704-A4D3-BBD77AF637FF}" uniqueName="54" name="Germ ring_x000a_(5.7 h)" queryTableFieldId="54"/>
    <tableColumn id="55" xr3:uid="{D3F11AF1-3A37-49BE-ACB9-066287F686DE}" uniqueName="55" name="Shield_x000a_(6 h)" queryTableFieldId="55" dataDxfId="882"/>
    <tableColumn id="56" xr3:uid="{7E2D9255-FA86-4FF4-BB58-871939D6EDE4}" uniqueName="56" name="75%epi_x000a_(8 h)" queryTableFieldId="56"/>
    <tableColumn id="57" xr3:uid="{B8E0C52D-AACC-4A35-A64E-494504423ED5}" uniqueName="57" name="90%epi_x000a_(9 h)" queryTableFieldId="57"/>
    <tableColumn id="58" xr3:uid="{37B323D0-7D5B-4D2E-AE74-9F8B83B365EF}" uniqueName="58" name="Age of clone" queryTableFieldId="58" dataDxfId="881"/>
    <tableColumn id="59" xr3:uid="{FA327BFD-A67D-4071-9243-12BFDA7CD985}" uniqueName="59" name="Day1" queryTableFieldId="59" dataDxfId="880"/>
    <tableColumn id="60" xr3:uid="{C696AA45-2A0B-4720-AE62-9E69F52946D6}" uniqueName="60" name="Day2" queryTableFieldId="60" dataDxfId="879"/>
    <tableColumn id="61" xr3:uid="{69E50DE8-1283-41EA-9145-399942139F95}" uniqueName="61" name="Day3" queryTableFieldId="61" dataDxfId="878"/>
    <tableColumn id="62" xr3:uid="{2DA53BC1-41CF-4295-850A-EC43E12B40D0}" uniqueName="62" name="Day4" queryTableFieldId="62" dataDxfId="877"/>
    <tableColumn id="63" xr3:uid="{A9105FDD-7155-4D40-A523-0069A391A9CC}" uniqueName="63" name="Day5" queryTableFieldId="63" dataDxfId="876"/>
    <tableColumn id="64" xr3:uid="{86360D62-94B0-492C-88BB-8E8B1B17BDE0}" uniqueName="64" name="Day6" queryTableFieldId="64" dataDxfId="875"/>
    <tableColumn id="65" xr3:uid="{570F2AB3-020E-41B7-929E-9783E43BBBF9}" uniqueName="65" name="Day7" queryTableFieldId="65" dataDxfId="874"/>
    <tableColumn id="66" xr3:uid="{BBA82313-C732-4B31-ACAB-A517CCBC4FE1}" uniqueName="66" name="Day8" queryTableFieldId="66" dataDxfId="873"/>
    <tableColumn id="67" xr3:uid="{7082B5D4-3294-494D-9894-BE1793F88CB9}" uniqueName="67" name="Day9" queryTableFieldId="67" dataDxfId="872"/>
    <tableColumn id="68" xr3:uid="{37F07819-0722-47C1-A34B-9CDCC7C68A20}" uniqueName="68" name="Day10" queryTableFieldId="68" dataDxfId="871"/>
    <tableColumn id="69" xr3:uid="{5B160793-534B-428E-A221-3E00BE19E83F}" uniqueName="69" name="Day11" queryTableFieldId="69" dataDxfId="870"/>
    <tableColumn id="70" xr3:uid="{9B71D63E-0F28-4877-9AD4-0DA98766EEE7}" uniqueName="70" name="Day12" queryTableFieldId="70" dataDxfId="869"/>
    <tableColumn id="71" xr3:uid="{046D6068-5BFB-4A0E-B2D0-42E643D7E45F}" uniqueName="71" name="Day13" queryTableFieldId="71" dataDxfId="868"/>
    <tableColumn id="72" xr3:uid="{54E658B9-2E5D-4DC4-9B02-47983D9DAC99}" uniqueName="72" name="Day14" queryTableFieldId="72" dataDxfId="867"/>
    <tableColumn id="73" xr3:uid="{8DADFB5B-FD4B-4F8A-9364-558C5EB320D7}" uniqueName="73" name="Day15" queryTableFieldId="73" dataDxfId="866"/>
    <tableColumn id="14" xr3:uid="{9CC7AE8B-22E6-43F2-BA7D-B2FAA64CA283}" uniqueName="14" name="QC1_NBD_stage_01_4C_Sur" queryTableFieldId="224" dataDxfId="865"/>
    <tableColumn id="15" xr3:uid="{1B8FE0CD-D39A-4658-A61F-B96D3094F332}" uniqueName="15" name="QC1_NBD_stage_01_4C_Mor" queryTableFieldId="225" dataDxfId="864"/>
    <tableColumn id="16" xr3:uid="{A9EC594F-2453-4629-9CC3-3AC13E72087F}" uniqueName="16" name="QC1_NBD_stage_02_SH75EPI_Sur" queryTableFieldId="226" dataDxfId="863"/>
    <tableColumn id="17" xr3:uid="{1E841B71-4095-4790-A8C9-12E0B5BAE014}" uniqueName="17" name="QC1_NBD_stage_02_SH75EPI_Mor" queryTableFieldId="227" dataDxfId="862"/>
    <tableColumn id="18" xr3:uid="{7F628489-A431-4B35-BF50-1C5C960D8632}" uniqueName="18" name="QC1_NBD_stage_03_1D_Sur" queryTableFieldId="228" dataDxfId="861"/>
    <tableColumn id="19" xr3:uid="{3C7202C7-B5EC-49FA-9BF2-018BB78DE1B3}" uniqueName="19" name="QC1_NBD_stage_03_1D_Mor" queryTableFieldId="229" dataDxfId="860"/>
    <tableColumn id="20" xr3:uid="{3C75BA14-880A-46B6-BCF6-49F2677AA408}" uniqueName="20" name="QC1_NBD_stage_04_2D_Sur" queryTableFieldId="230" dataDxfId="859"/>
    <tableColumn id="21" xr3:uid="{34E58343-3109-4B3F-9148-4E89557CBC50}" uniqueName="21" name="QC1_NBD_stage_04_2D_Mor" queryTableFieldId="231" dataDxfId="858"/>
    <tableColumn id="22" xr3:uid="{9988A15E-F6B9-4EDA-B17F-602EFD6CFB08}" uniqueName="22" name="QC1_NBD_stage_05_3D_Sur" queryTableFieldId="232" dataDxfId="857"/>
    <tableColumn id="23" xr3:uid="{4D8FF2CD-6A6D-48B0-A611-11D88B312A4A}" uniqueName="23" name="QC1_NBD_stage_05_3D_Mor" queryTableFieldId="233" dataDxfId="856"/>
    <tableColumn id="25" xr3:uid="{C3DFF33E-D5C7-44FA-A185-D74CF4BE7370}" uniqueName="25" name="QC2_IVF_stage_01_SH75EPI_Sur" queryTableFieldId="234" dataDxfId="855"/>
    <tableColumn id="26" xr3:uid="{F8027DF8-E0A4-4D0E-83B2-F78BCB8F6391}" uniqueName="26" name="QC2_IVF_stage_01_SH75EPI_Mor" queryTableFieldId="235" dataDxfId="854"/>
    <tableColumn id="27" xr3:uid="{4F9B94C6-2004-493F-969F-728E3ADFD793}" uniqueName="27" name="QC2_IVF_stage_02_1D_Sur" queryTableFieldId="236" dataDxfId="853"/>
    <tableColumn id="28" xr3:uid="{9141E430-601A-427B-AEA9-88A6261DBF77}" uniqueName="28" name="QC2_IVF_stage_02_1D_Mor" queryTableFieldId="237" dataDxfId="852"/>
    <tableColumn id="29" xr3:uid="{1213862B-2D12-4F28-8EC3-11FC4C0399D4}" uniqueName="29" name="QC2_IVF_stage_03_2D_Sur" queryTableFieldId="238" dataDxfId="851"/>
    <tableColumn id="30" xr3:uid="{262B61C7-8D8D-485A-9123-F2B8A3CE2EB9}" uniqueName="30" name="QC2_IVF_stage_03_2D_Mor" queryTableFieldId="239" dataDxfId="850"/>
    <tableColumn id="32" xr3:uid="{3E76C588-9C63-4427-B6C7-3D08ADC5C109}" uniqueName="32" name="QC2_IVF_stage_04_2D_Sur" queryTableFieldId="240" dataDxfId="849"/>
    <tableColumn id="33" xr3:uid="{A87AC4A3-2499-4B80-BE41-2B395862B090}" uniqueName="33" name="QC2_IVF_stage_04_2D_Mor" queryTableFieldId="241" dataDxfId="848"/>
    <tableColumn id="34" xr3:uid="{5E9263DC-57F3-4982-8CAF-5B1A063D6873}" uniqueName="34" name="DateTime_01_Start" queryTableFieldId="242" dataDxfId="847"/>
    <tableColumn id="74" xr3:uid="{B96DD0B9-92F7-48BC-9932-71D480224D1D}" uniqueName="74" name="DateTime_02_Fin" queryTableFieldId="243" dataDxfId="846"/>
    <tableColumn id="75" xr3:uid="{5939D906-6A84-4968-B93B-BDFA6B01947C}" uniqueName="75" name="DateTime_03_Activated" queryTableFieldId="244" dataDxfId="845"/>
    <tableColumn id="76" xr3:uid="{1099496A-AF0F-472E-A12B-F1A0FA9BC4CE}" uniqueName="76" name="Index" queryTableFieldId="245"/>
    <tableColumn id="77" xr3:uid="{A8306BF1-F821-403C-8BC5-2DE1850F6C62}" uniqueName="77" name="Modulo" queryTableFieldId="246"/>
    <tableColumn id="78" xr3:uid="{A3972A51-5698-4321-BBF8-CDD835CACDFB}" uniqueName="78" name="MetricType" queryTableFieldId="24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14969D-9BCA-425B-AF98-D4FD22E37DE7}" name="Control_2" displayName="Control_2" ref="A1:HC149" totalsRowShown="0" headerRowDxfId="639" dataDxfId="638">
  <autoFilter ref="A1:HC149" xr:uid="{8314969D-9BCA-425B-AF98-D4FD22E37DE7}"/>
  <tableColumns count="211">
    <tableColumn id="1" xr3:uid="{4E131BC6-E446-4DF9-A833-2CA41ECEE2C4}" name="Column1" dataDxfId="637"/>
    <tableColumn id="2" xr3:uid="{9D670579-CE38-40AD-A2AC-E7315BE2F90A}" name="Column2" dataDxfId="636"/>
    <tableColumn id="3" xr3:uid="{198B4F01-FA57-46E9-A10A-F75D57B44893}" name="Column3" dataDxfId="635"/>
    <tableColumn id="4" xr3:uid="{45C81C79-613E-4AB3-AB75-5D5E646E94FB}" name="Column4" dataDxfId="634"/>
    <tableColumn id="5" xr3:uid="{96A01C57-309E-4FE7-8B24-EF4575977394}" name="Column5" dataDxfId="633"/>
    <tableColumn id="6" xr3:uid="{1EE58EB5-DF8E-4CDD-845C-FD6F1CCD2B46}" name="Column6" dataDxfId="632"/>
    <tableColumn id="7" xr3:uid="{E14DA55D-3BD1-48FC-8FB4-4DC5CE748AC4}" name="Column7" dataDxfId="631"/>
    <tableColumn id="8" xr3:uid="{B5A9B14B-4B52-4514-9F6A-19E7F1E213B9}" name="Column8" dataDxfId="630"/>
    <tableColumn id="9" xr3:uid="{3C8DE46B-4B08-46FA-AFCF-A80AD40EE3FC}" name="Column9" dataDxfId="629"/>
    <tableColumn id="10" xr3:uid="{43C4A619-BF82-45C9-8D3C-A80E14515AB8}" name="Column10" dataDxfId="628"/>
    <tableColumn id="11" xr3:uid="{F955F44B-747C-43D7-8AEC-B9994782B040}" name="Column11" dataDxfId="627"/>
    <tableColumn id="12" xr3:uid="{1B62D150-55A4-4606-9D3D-A0DE03241B12}" name="Column12" dataDxfId="626"/>
    <tableColumn id="13" xr3:uid="{648C1D14-71AD-4167-AFED-6D6ABE8FE179}" name="Column13" dataDxfId="625"/>
    <tableColumn id="14" xr3:uid="{CE8E10DA-50D7-49A4-9360-14F13DB8288C}" name="Column14" dataDxfId="624"/>
    <tableColumn id="15" xr3:uid="{A72C9B86-1C62-4E3D-99E3-D440FA37C3BB}" name="Column15" dataDxfId="623"/>
    <tableColumn id="16" xr3:uid="{28EE7DBB-B482-4D20-8D62-05E1BC1D05D3}" name="Column16" dataDxfId="622"/>
    <tableColumn id="17" xr3:uid="{8BFC7768-8059-47A5-B1C5-FED174C76F4C}" name="Column17" dataDxfId="621"/>
    <tableColumn id="18" xr3:uid="{FB09A409-0146-4D37-94EE-CB4DA635FCAC}" name="Column18" dataDxfId="620"/>
    <tableColumn id="19" xr3:uid="{FC0B5494-9F94-4B0C-A329-C8D870EA2F61}" name="Column19" dataDxfId="619"/>
    <tableColumn id="20" xr3:uid="{4EDAAAA9-F6E1-4A19-B5F5-459401C53E74}" name="Column20" dataDxfId="618"/>
    <tableColumn id="21" xr3:uid="{17984D4D-C370-4F44-92EF-CDD32FC272EC}" name="Column21" dataDxfId="617"/>
    <tableColumn id="22" xr3:uid="{78192D73-46EB-41F6-B243-200A9464EC50}" name="Column22" dataDxfId="616"/>
    <tableColumn id="23" xr3:uid="{037C9868-C0A8-4E11-9B95-0AABB53E8BE8}" name="Column23" dataDxfId="615"/>
    <tableColumn id="24" xr3:uid="{353EAEAB-3D42-43ED-85AF-279AB0D32A86}" name="Column24" dataDxfId="614"/>
    <tableColumn id="25" xr3:uid="{8D9CE9E0-242C-479B-807E-ED26121F78C4}" name="Column25" dataDxfId="613"/>
    <tableColumn id="26" xr3:uid="{C4727366-FAA6-4EA8-B745-03437C4FE11A}" name="Column26" dataDxfId="612"/>
    <tableColumn id="27" xr3:uid="{1A8BB8CE-964F-45A5-A589-2913E33D6097}" name="Column27" dataDxfId="611"/>
    <tableColumn id="28" xr3:uid="{6BF6EB5E-D286-4A60-9AF1-CB3AA98F0B43}" name="Column28" dataDxfId="610"/>
    <tableColumn id="29" xr3:uid="{6C423C7E-E928-4F26-B964-FDBC15141D59}" name="Column29" dataDxfId="609"/>
    <tableColumn id="30" xr3:uid="{919FAA4B-A673-471D-AC3B-26FDFA8929AD}" name="Column30" dataDxfId="608"/>
    <tableColumn id="31" xr3:uid="{E76DFDCB-BF35-40A9-A397-087ADE6B59A7}" name="Column31" dataDxfId="607"/>
    <tableColumn id="32" xr3:uid="{E6CEB224-8DB6-42E9-B85E-5A4A44213A24}" name="Column32" dataDxfId="606"/>
    <tableColumn id="33" xr3:uid="{ED19277C-2369-4343-A317-4A4C49EBB03C}" name="Column33" dataDxfId="605"/>
    <tableColumn id="34" xr3:uid="{4F36C977-D29B-4BDD-88C1-8AC83AFF8623}" name="Column34" dataDxfId="604"/>
    <tableColumn id="35" xr3:uid="{7BB7564A-F600-41F7-89BF-D421687C2230}" name="Column35" dataDxfId="603"/>
    <tableColumn id="36" xr3:uid="{FE60947F-DE14-425E-B311-B3BB0A658230}" name="Column36" dataDxfId="602"/>
    <tableColumn id="37" xr3:uid="{B8C9EED8-0643-4241-9E24-73A263C14E42}" name="Column37" dataDxfId="601"/>
    <tableColumn id="38" xr3:uid="{39BE5B36-E187-4BD2-B279-95270B9B884C}" name="Column38" dataDxfId="600"/>
    <tableColumn id="39" xr3:uid="{60BB8C9B-87C3-4D08-BEAF-BCE9A02FB064}" name="Column39" dataDxfId="599"/>
    <tableColumn id="40" xr3:uid="{06892385-392B-4374-9D0F-23E26721BB14}" name="Column40" dataDxfId="598"/>
    <tableColumn id="41" xr3:uid="{458719B4-BAFC-44E2-8BC4-2D705D104B92}" name="Column41" dataDxfId="597"/>
    <tableColumn id="42" xr3:uid="{71F78F1E-A45E-40AA-80B8-7926DA1DAB75}" name="Column42" dataDxfId="596"/>
    <tableColumn id="43" xr3:uid="{9864A6AB-9DE2-44DE-8E83-6B0925F7DFD0}" name="Column43" dataDxfId="595"/>
    <tableColumn id="44" xr3:uid="{3A5343BB-7595-4893-B53A-E2716DEDAC1B}" name="Column44" dataDxfId="594"/>
    <tableColumn id="45" xr3:uid="{9347F0CF-6458-4F20-B3C9-3CF2F8365541}" name="Column45" dataDxfId="593"/>
    <tableColumn id="46" xr3:uid="{7E669D65-58BC-453A-ABC3-082F620EE264}" name="Column46" dataDxfId="592"/>
    <tableColumn id="47" xr3:uid="{BD043656-B87C-4ADE-B376-A9AB99A7ABE6}" name="Column47" dataDxfId="591"/>
    <tableColumn id="48" xr3:uid="{FB643064-C48B-4071-BD19-22461EFF20F6}" name="Column48" dataDxfId="590"/>
    <tableColumn id="49" xr3:uid="{E617F67B-F86C-42EC-8F07-EBA5962CDFEE}" name="Column49" dataDxfId="589"/>
    <tableColumn id="50" xr3:uid="{E674B843-6A53-4B24-8E79-E78D549A0C53}" name="Column50" dataDxfId="588"/>
    <tableColumn id="51" xr3:uid="{3ED266E5-201C-45C1-8C08-024491B6CF93}" name="Column51" dataDxfId="587"/>
    <tableColumn id="52" xr3:uid="{1F166022-0C1A-4B37-93FE-87011B3BD339}" name="Column52" dataDxfId="586"/>
    <tableColumn id="53" xr3:uid="{8806B698-3488-4659-99E9-E8009609429B}" name="Column53" dataDxfId="585"/>
    <tableColumn id="54" xr3:uid="{851C0393-E87F-42F2-9502-DAEBD33E7595}" name="Column54" dataDxfId="584"/>
    <tableColumn id="55" xr3:uid="{8C80C279-2C21-46D1-A4A6-FB5B07E95464}" name="Column55" dataDxfId="583"/>
    <tableColumn id="56" xr3:uid="{231598E9-C339-496B-9ECF-23807D855D4B}" name="Column56" dataDxfId="582"/>
    <tableColumn id="57" xr3:uid="{29DA9229-5A0A-4956-98D8-24F303A260CA}" name="Column57" dataDxfId="581"/>
    <tableColumn id="58" xr3:uid="{0FB9AB2D-3FA8-47FE-9C49-21AE202AD1CE}" name="Column58" dataDxfId="580"/>
    <tableColumn id="59" xr3:uid="{45CCA155-4760-4ABA-9622-04C4C34BE450}" name="Column59" dataDxfId="579"/>
    <tableColumn id="60" xr3:uid="{2E1FEB1B-47F7-431D-96E7-84F3FC541ECF}" name="Column60" dataDxfId="578"/>
    <tableColumn id="61" xr3:uid="{33C4D1BE-EB64-460A-9326-5C8DCD919378}" name="Column61" dataDxfId="577"/>
    <tableColumn id="62" xr3:uid="{F3762889-0DCA-4942-9B78-57EEDF57C7E4}" name="Column62" dataDxfId="576"/>
    <tableColumn id="63" xr3:uid="{9964965F-AD36-43FB-9323-4130DCC1A986}" name="Column63" dataDxfId="575"/>
    <tableColumn id="64" xr3:uid="{F0E0717A-6951-44B1-803D-A3D4DE38DF6E}" name="Column64" dataDxfId="574"/>
    <tableColumn id="65" xr3:uid="{80FC4C99-71C0-4A11-A1E7-F4F691344850}" name="Column65" dataDxfId="573"/>
    <tableColumn id="66" xr3:uid="{06BC2402-09A3-4ACA-8142-DB3C8E1E9C82}" name="Column66" dataDxfId="572"/>
    <tableColumn id="67" xr3:uid="{09926BCE-6D6E-46FA-85EA-3EDD845FE016}" name="Column67" dataDxfId="571"/>
    <tableColumn id="68" xr3:uid="{17402A73-00E1-470A-8D36-5D8536DF18E3}" name="Column68" dataDxfId="570"/>
    <tableColumn id="69" xr3:uid="{31E72FAF-A516-4ACA-8C04-16F30CC10C3A}" name="Column69" dataDxfId="569"/>
    <tableColumn id="70" xr3:uid="{DB915C0E-5205-4FA4-A3E6-F78AE55694D8}" name="Column70" dataDxfId="568"/>
    <tableColumn id="71" xr3:uid="{93D5E2CE-B523-45CC-BCC3-0BA529069BCF}" name="Column71" dataDxfId="567"/>
    <tableColumn id="72" xr3:uid="{80312E3E-565D-40A6-B4BD-042BC519825B}" name="Column72" dataDxfId="566"/>
    <tableColumn id="73" xr3:uid="{A0EFC9AE-1232-49D9-9F2C-6C32D6633934}" name="Column73" dataDxfId="565"/>
    <tableColumn id="74" xr3:uid="{B6CFAC65-B451-4A15-B33C-975A17C79A4E}" name="Column74" dataDxfId="564"/>
    <tableColumn id="75" xr3:uid="{7E0FA279-1A53-445C-ADC0-8C78A0E9F1B5}" name="Column75" dataDxfId="563"/>
    <tableColumn id="76" xr3:uid="{AD07B0C5-5C8D-4947-AA9B-A7FF13265727}" name="Column76" dataDxfId="562"/>
    <tableColumn id="77" xr3:uid="{3054D30E-06F7-4AB2-804C-8B724D8A996F}" name="Column77" dataDxfId="561"/>
    <tableColumn id="78" xr3:uid="{21F9F9E1-C9C4-4FEB-B710-9B6189FB0120}" name="Column78" dataDxfId="560"/>
    <tableColumn id="79" xr3:uid="{16A3AFB8-A3C6-4E88-9178-C7108BC5794D}" name="Column79" dataDxfId="559"/>
    <tableColumn id="80" xr3:uid="{CBD76CAD-FC3B-4A34-9ABA-AF7927A16252}" name="Column80" dataDxfId="558"/>
    <tableColumn id="81" xr3:uid="{0A63F29D-FE27-476E-9721-5D2864EB69A0}" name="Column81" dataDxfId="557"/>
    <tableColumn id="82" xr3:uid="{4D094783-2F19-4F04-B07D-D4EF1ABE8611}" name="Column82" dataDxfId="556"/>
    <tableColumn id="83" xr3:uid="{2058BEDE-0908-454C-91EC-E2ABAC575D8A}" name="Column83" dataDxfId="555"/>
    <tableColumn id="84" xr3:uid="{BE529F09-BE24-40FD-83B5-A63CD3BC4964}" name="Column84" dataDxfId="554"/>
    <tableColumn id="85" xr3:uid="{4C93C632-386E-4A37-B1F4-AD5012E63663}" name="Column85" dataDxfId="553"/>
    <tableColumn id="86" xr3:uid="{4FE00708-291B-4282-8515-DA5E54197868}" name="Column86" dataDxfId="552"/>
    <tableColumn id="87" xr3:uid="{32C4C5D1-9C70-40D4-B10D-3AEE6099012E}" name="Column87" dataDxfId="551"/>
    <tableColumn id="88" xr3:uid="{DCF1AEED-E012-4448-B077-218E34EACC83}" name="Column88" dataDxfId="550"/>
    <tableColumn id="89" xr3:uid="{BDAECD7D-D7B9-4187-848A-A2DCCEF7025B}" name="Column89" dataDxfId="549"/>
    <tableColumn id="90" xr3:uid="{98385008-87D1-47DA-AA5B-EC01CD48A506}" name="Column90" dataDxfId="548"/>
    <tableColumn id="91" xr3:uid="{DFA44565-355B-4A58-8AD0-3D9CB25EF9FB}" name="Column91" dataDxfId="547"/>
    <tableColumn id="92" xr3:uid="{11A549C7-D408-459C-AECF-45D22B17E589}" name="Column92" dataDxfId="546"/>
    <tableColumn id="93" xr3:uid="{19D88C88-10C9-4474-B8C3-63CC527C07A8}" name="Column93" dataDxfId="545"/>
    <tableColumn id="94" xr3:uid="{50655897-14D6-4D31-BCD7-C515675623C8}" name="Column94" dataDxfId="544"/>
    <tableColumn id="95" xr3:uid="{746D221B-0021-482C-9B0E-35B421672168}" name="Column95" dataDxfId="543"/>
    <tableColumn id="96" xr3:uid="{3DA111F2-0216-4E66-8C2A-2245B5D5585F}" name="Column96" dataDxfId="542"/>
    <tableColumn id="97" xr3:uid="{250344FE-C648-4DEF-992A-AAE5BB50D33F}" name="Column97" dataDxfId="541"/>
    <tableColumn id="98" xr3:uid="{0852846E-2A61-407B-9BC9-254610357F88}" name="Column98" dataDxfId="540"/>
    <tableColumn id="99" xr3:uid="{349EE1F7-1C07-4298-A994-0242927445A8}" name="Column99" dataDxfId="539"/>
    <tableColumn id="100" xr3:uid="{A14FED45-4811-467B-9C9E-E0A7444FD1F4}" name="Column100" dataDxfId="538"/>
    <tableColumn id="101" xr3:uid="{974C60C2-BB5D-4200-AFA8-E1B3873E4DB6}" name="Column101" dataDxfId="537"/>
    <tableColumn id="102" xr3:uid="{666A7227-7EB9-4A67-8EE2-71EE6A42EEFD}" name="Column102" dataDxfId="536"/>
    <tableColumn id="103" xr3:uid="{9C9D940A-D369-460E-B9F4-83E13CF9CF8D}" name="Column103" dataDxfId="535"/>
    <tableColumn id="104" xr3:uid="{C2B88133-FD7E-4BCB-BBC9-F684A2845B08}" name="Column104" dataDxfId="534"/>
    <tableColumn id="105" xr3:uid="{BEFE25E8-84AA-496B-9897-E02FCFFC4EBB}" name="Column105" dataDxfId="533"/>
    <tableColumn id="106" xr3:uid="{64C07E60-9E55-4ADF-8D83-2DEEA0359A70}" name="Column106" dataDxfId="532"/>
    <tableColumn id="107" xr3:uid="{5EA6B0BD-A7FD-4FF2-B3E3-5869E33ECB25}" name="Column107" dataDxfId="531"/>
    <tableColumn id="108" xr3:uid="{A674A3EB-3293-4FFD-81F1-27AE26B45E39}" name="Column108" dataDxfId="530"/>
    <tableColumn id="109" xr3:uid="{89EBCE04-A4C7-46B8-A8A0-192429137613}" name="Column109" dataDxfId="529"/>
    <tableColumn id="110" xr3:uid="{5ADFBE17-595E-482E-9D44-5A49D703C839}" name="Column110" dataDxfId="528"/>
    <tableColumn id="111" xr3:uid="{B2DA2C08-FA76-449E-8BE8-E08FE92A9CE2}" name="Column111" dataDxfId="527"/>
    <tableColumn id="112" xr3:uid="{D4539F61-DD06-40D1-AD82-18C74D09285A}" name="Column112" dataDxfId="526"/>
    <tableColumn id="113" xr3:uid="{0D516356-3D26-415E-BDC6-ED0C29C8C05D}" name="Column113" dataDxfId="525"/>
    <tableColumn id="114" xr3:uid="{65F1D6A8-E70A-48F0-830B-E74CC792B43B}" name="Column114" dataDxfId="524"/>
    <tableColumn id="115" xr3:uid="{A008C553-E628-4DC2-B7C8-C551A2643474}" name="Column115" dataDxfId="523"/>
    <tableColumn id="116" xr3:uid="{9A0D0AB1-A001-47FE-9C88-23A693D842A1}" name="Column116" dataDxfId="522"/>
    <tableColumn id="117" xr3:uid="{5A1BEF20-55CB-4094-9B78-0DAB09DBC49C}" name="Column117" dataDxfId="521"/>
    <tableColumn id="118" xr3:uid="{3B9EB792-31A3-4265-9303-B81E9AA2370A}" name="Column118" dataDxfId="520"/>
    <tableColumn id="119" xr3:uid="{FA592F42-4861-42ED-95DD-193F4E2A6F54}" name="Column119" dataDxfId="519"/>
    <tableColumn id="120" xr3:uid="{E9B0C4DA-92B3-4BE9-A7CF-ECB4BE456F91}" name="Column120" dataDxfId="518"/>
    <tableColumn id="121" xr3:uid="{0EA1C6C1-828A-4F41-9F2F-2CD1612181E3}" name="Column121" dataDxfId="517"/>
    <tableColumn id="122" xr3:uid="{BCC0E2E6-5C5E-4692-A775-9C511B141A24}" name="Column122" dataDxfId="516"/>
    <tableColumn id="123" xr3:uid="{5493A34E-90FF-4436-AAAD-6DB57ADAAC36}" name="Column123" dataDxfId="515"/>
    <tableColumn id="124" xr3:uid="{A56C4F62-8237-4B8B-963B-048EA16856F9}" name="Column124" dataDxfId="514"/>
    <tableColumn id="125" xr3:uid="{C5BF6780-CFF4-4011-AF46-0E28C047506B}" name="Column125" dataDxfId="513"/>
    <tableColumn id="126" xr3:uid="{76095241-862E-485B-8B6E-C5C0A393AA2D}" name="Column126" dataDxfId="512"/>
    <tableColumn id="127" xr3:uid="{38D72964-A2BD-408F-9E96-0E6B9AD8C907}" name="Column127" dataDxfId="511"/>
    <tableColumn id="128" xr3:uid="{A2858D1F-B2A9-45CB-B95D-ED6E05173E4A}" name="Column128" dataDxfId="510"/>
    <tableColumn id="129" xr3:uid="{CB097BFF-8A74-4BF6-9647-B927795A02E2}" name="Column129" dataDxfId="509"/>
    <tableColumn id="130" xr3:uid="{AA2FA752-E35A-4C1E-9DEE-27F9C9C0EE4F}" name="Column130" dataDxfId="508"/>
    <tableColumn id="131" xr3:uid="{2506E90B-1ED7-4BD3-9878-4048D4C79D4C}" name="Column131" dataDxfId="507"/>
    <tableColumn id="132" xr3:uid="{951B8EEB-73FA-42B7-98C9-7904C493824F}" name="Column132" dataDxfId="506"/>
    <tableColumn id="133" xr3:uid="{BBE30381-4560-4970-8B7B-376DFDB770DF}" name="Column133" dataDxfId="505"/>
    <tableColumn id="134" xr3:uid="{A4AB95B5-5815-43D4-939E-DF9E26FC2305}" name="Column134" dataDxfId="504"/>
    <tableColumn id="135" xr3:uid="{D78DE2E7-DE64-4185-9CD2-9D3AD1455194}" name="Column135" dataDxfId="503"/>
    <tableColumn id="136" xr3:uid="{B5B8A736-9705-4C28-A10A-25A7FCF261F9}" name="Column136" dataDxfId="502"/>
    <tableColumn id="137" xr3:uid="{A11C368B-672C-45B6-B94B-756BB2D26C92}" name="Column137" dataDxfId="501"/>
    <tableColumn id="138" xr3:uid="{B643B57F-CEDA-434E-8B48-F26796B9304F}" name="Column138" dataDxfId="500"/>
    <tableColumn id="139" xr3:uid="{5BD46D6B-8380-40D0-B37E-7D3E3F82650D}" name="Column139" dataDxfId="499"/>
    <tableColumn id="140" xr3:uid="{844A6A4E-8B20-4C1C-8DF0-2C4D433BFB38}" name="Column140" dataDxfId="498"/>
    <tableColumn id="141" xr3:uid="{A6D8BCF4-26D7-4122-8FB0-07FFC5E608D1}" name="Column141" dataDxfId="497"/>
    <tableColumn id="142" xr3:uid="{0091DD25-364C-4D1B-BA43-FA252D9B501E}" name="Column142" dataDxfId="496"/>
    <tableColumn id="143" xr3:uid="{6CCEE497-8B8E-4427-AA85-8776384A5867}" name="Column143" dataDxfId="495"/>
    <tableColumn id="144" xr3:uid="{6142467B-36BB-4A64-94A9-7AADD6964E11}" name="Column144" dataDxfId="494"/>
    <tableColumn id="145" xr3:uid="{BD9BB15C-E774-4B5F-BDF9-564E2082941E}" name="Column145" dataDxfId="493"/>
    <tableColumn id="146" xr3:uid="{F6A273F6-0D42-41AC-8673-8D602D6CBB70}" name="Column146" dataDxfId="492"/>
    <tableColumn id="147" xr3:uid="{EACC1049-5EBE-43E8-B2AA-7CA6B31A8E82}" name="Column147" dataDxfId="491"/>
    <tableColumn id="148" xr3:uid="{69C99E4D-94EA-4285-A07B-430DFB81199F}" name="Column148" dataDxfId="490"/>
    <tableColumn id="149" xr3:uid="{56CCE187-1E1D-414F-8112-26B68CDD8F53}" name="Column149" dataDxfId="489"/>
    <tableColumn id="150" xr3:uid="{472D37B9-EDAD-4251-9AF5-113858871091}" name="Column150" dataDxfId="488"/>
    <tableColumn id="151" xr3:uid="{910FAE0A-3B90-4A00-8FE6-7125297C6667}" name="Column151" dataDxfId="487"/>
    <tableColumn id="152" xr3:uid="{56017268-31A6-434F-B086-72E808284D7C}" name="Column152" dataDxfId="486"/>
    <tableColumn id="153" xr3:uid="{143932DA-2CF9-4FCD-A685-A88523F90A70}" name="Column153" dataDxfId="485"/>
    <tableColumn id="154" xr3:uid="{0D0ACE8C-CD1C-4FB1-9859-4244241E9823}" name="Column154" dataDxfId="484"/>
    <tableColumn id="155" xr3:uid="{C50E8027-EA98-4693-8C74-8E1DEAFD0DF1}" name="Column155" dataDxfId="483"/>
    <tableColumn id="156" xr3:uid="{798305A9-4624-4D3A-89C9-C4DD012E74F4}" name="Column156" dataDxfId="482"/>
    <tableColumn id="157" xr3:uid="{FAB4EDA6-ACBC-453E-A28E-F6FF43B7E86B}" name="Column157" dataDxfId="481"/>
    <tableColumn id="158" xr3:uid="{3396B672-ACA0-4B8C-BDAE-49C090BD6D61}" name="Column158" dataDxfId="480"/>
    <tableColumn id="159" xr3:uid="{3F1E551F-6A79-4AE7-ADB7-BFDF7E52C8A2}" name="Column159" dataDxfId="479"/>
    <tableColumn id="160" xr3:uid="{2BAEABA2-5340-41F1-A659-ABC720A666AB}" name="Column160" dataDxfId="478"/>
    <tableColumn id="161" xr3:uid="{F67835B8-5D38-43B2-93D1-78FAEC45AA1B}" name="Column161" dataDxfId="477"/>
    <tableColumn id="162" xr3:uid="{6706C604-CE48-45AD-89FC-047154636185}" name="Column162" dataDxfId="476"/>
    <tableColumn id="163" xr3:uid="{AA8092F3-E6B8-4F7B-8404-BCCE09EA6CFA}" name="Column163" dataDxfId="475"/>
    <tableColumn id="164" xr3:uid="{114C882F-1937-4969-A62C-CC922B6E3C01}" name="Column164" dataDxfId="474"/>
    <tableColumn id="165" xr3:uid="{ECE8253E-FD3F-4D3E-A50E-DC0861541816}" name="Column165" dataDxfId="473"/>
    <tableColumn id="166" xr3:uid="{865B018E-867E-44D6-8E80-12F84D5FB048}" name="Column166" dataDxfId="472"/>
    <tableColumn id="167" xr3:uid="{04ACA856-AC54-4702-87DF-BC22504E4003}" name="Column167" dataDxfId="471"/>
    <tableColumn id="168" xr3:uid="{6B65C325-FCEF-470A-9A35-95367F49EA25}" name="Column168" dataDxfId="470"/>
    <tableColumn id="169" xr3:uid="{673882C5-3B74-42F6-A222-FE76D323436A}" name="Column169" dataDxfId="469"/>
    <tableColumn id="170" xr3:uid="{37097E18-329C-4C2B-BB80-C5B6C3DE4BA9}" name="Column170" dataDxfId="468"/>
    <tableColumn id="171" xr3:uid="{1F6A3668-EBD9-453E-BCCC-7EF53857B1AC}" name="Column171" dataDxfId="467"/>
    <tableColumn id="172" xr3:uid="{71A7AE51-BA73-40B5-AFA8-B6A3D6EFABC7}" name="Column172" dataDxfId="466"/>
    <tableColumn id="173" xr3:uid="{2F000E1F-9006-43ED-BFE8-E555535110C1}" name="Column173" dataDxfId="465"/>
    <tableColumn id="174" xr3:uid="{C7BAA22A-6E25-416A-95BF-1B37DC253C2E}" name="Column174" dataDxfId="464"/>
    <tableColumn id="175" xr3:uid="{43FE7BDB-9E96-4CDD-9FA2-7C70D1771E3D}" name="Column175" dataDxfId="463"/>
    <tableColumn id="176" xr3:uid="{A7654146-E59E-477D-83CE-43534285B240}" name="Column176" dataDxfId="462"/>
    <tableColumn id="177" xr3:uid="{B14E2BB4-5D5D-4DE0-8FAF-CDF6377EB1FD}" name="Column177" dataDxfId="461"/>
    <tableColumn id="178" xr3:uid="{F0188DBA-2F52-4500-A923-A55199C1C575}" name="Column178" dataDxfId="460"/>
    <tableColumn id="179" xr3:uid="{8A6239E6-1173-4C68-875E-1D749845E21D}" name="Column179" dataDxfId="459"/>
    <tableColumn id="180" xr3:uid="{09B2DBAB-2C3E-4DDD-9340-0597AE2C63B5}" name="Column180" dataDxfId="458"/>
    <tableColumn id="181" xr3:uid="{8D601C33-9617-4A60-8781-10E6FA7A5C9C}" name="Column181" dataDxfId="457"/>
    <tableColumn id="182" xr3:uid="{3124104E-85EB-4D7A-A211-F0A75F561BA0}" name="Column182" dataDxfId="456"/>
    <tableColumn id="183" xr3:uid="{B9160100-C910-4DEC-A21A-E799D9113E11}" name="Column183" dataDxfId="455"/>
    <tableColumn id="184" xr3:uid="{6E68992C-9B8B-4B74-8480-2F47327AD97D}" name="Column184" dataDxfId="454"/>
    <tableColumn id="185" xr3:uid="{79C2FB1C-56D7-40DE-B288-0CE7F231FA8B}" name="Column185" dataDxfId="453"/>
    <tableColumn id="186" xr3:uid="{71F67B7F-9702-46C8-BC4E-99BACF111499}" name="Column186" dataDxfId="452"/>
    <tableColumn id="187" xr3:uid="{BFA51B26-948C-44D0-A593-2042CAB04338}" name="Column187" dataDxfId="451"/>
    <tableColumn id="188" xr3:uid="{3B52F20C-F5A1-4FCD-9064-22CD08E53FA2}" name="Column188" dataDxfId="450"/>
    <tableColumn id="189" xr3:uid="{D47F3578-111B-4F53-A92C-38076ABD3D03}" name="Column189" dataDxfId="449"/>
    <tableColumn id="190" xr3:uid="{14CBFCA9-1614-4BA6-8B53-CEE678BFB0CA}" name="Column190" dataDxfId="448"/>
    <tableColumn id="191" xr3:uid="{90F588B0-6A61-4F89-B092-484FAEEAF395}" name="Column191" dataDxfId="447"/>
    <tableColumn id="192" xr3:uid="{AA1DDFC0-06F6-4697-BEA1-15A96F9196FB}" name="Column192" dataDxfId="446"/>
    <tableColumn id="193" xr3:uid="{765AEF5D-09E4-472B-8F7B-4EF0815DA161}" name="Column193" dataDxfId="445"/>
    <tableColumn id="194" xr3:uid="{8A32AC32-DF93-4E53-B517-AE888C676244}" name="Column194" dataDxfId="444"/>
    <tableColumn id="195" xr3:uid="{9BAA6E42-2A8C-4030-A5D6-9CD8895A359C}" name="Column195" dataDxfId="443"/>
    <tableColumn id="196" xr3:uid="{997CF85A-1397-4CC4-88A9-FFC8907D2828}" name="Column196" dataDxfId="442"/>
    <tableColumn id="197" xr3:uid="{68787FED-909C-461F-9A0B-15A809C09DE4}" name="Column197" dataDxfId="441"/>
    <tableColumn id="198" xr3:uid="{0C21FCA0-E529-441C-A853-5EF4D9FD377A}" name="Column198" dataDxfId="440"/>
    <tableColumn id="199" xr3:uid="{89E17D75-37E6-4DF1-864A-3ECDF0A5ED36}" name="Column199" dataDxfId="439"/>
    <tableColumn id="200" xr3:uid="{A455AB71-A4D0-4BBB-AFB0-6E97E2222589}" name="Column200" dataDxfId="438"/>
    <tableColumn id="201" xr3:uid="{A6BDFBCA-4C79-4FD9-841D-85A89B0B08A2}" name="Column201" dataDxfId="437"/>
    <tableColumn id="202" xr3:uid="{7109CDDA-6CC6-4E98-A0E5-E7CA8D2158A9}" name="Column202" dataDxfId="436"/>
    <tableColumn id="203" xr3:uid="{CC459C11-AD83-4D62-B1D1-9E7F2430C607}" name="Column203" dataDxfId="435"/>
    <tableColumn id="204" xr3:uid="{C87D9118-1D78-4D8C-B526-50262C6FF46F}" name="Column204" dataDxfId="434"/>
    <tableColumn id="205" xr3:uid="{80662D44-548E-489C-A9F1-29CB3273801A}" name="Column205" dataDxfId="433"/>
    <tableColumn id="206" xr3:uid="{FB10589D-B2E2-4A56-ADC5-5551584F49D9}" name="Column206" dataDxfId="432"/>
    <tableColumn id="207" xr3:uid="{8B5A8BCE-6C97-4CDA-A6F4-1EFB38AFB904}" name="Column207" dataDxfId="431"/>
    <tableColumn id="208" xr3:uid="{3136D966-EFEE-4A5A-B5F7-55773E04E052}" name="Column208" dataDxfId="430"/>
    <tableColumn id="209" xr3:uid="{DF832C5C-F3E0-481B-B1DD-3EC4071AA806}" name="Column209" dataDxfId="429"/>
    <tableColumn id="210" xr3:uid="{67B7A5C4-0FE8-4CF3-AB76-E64F8791F8B1}" name="Column210" dataDxfId="428"/>
    <tableColumn id="211" xr3:uid="{A7D403A7-92E3-40E5-A108-B781FADD7306}" name="Column211" dataDxfId="4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8F81B6-06FD-4781-A7F1-8233935B3A99}" name="RK_1" displayName="RK_1" ref="A1:HC250" totalsRowShown="0" headerRowDxfId="426" dataDxfId="425">
  <autoFilter ref="A1:HC250" xr:uid="{D28F81B6-06FD-4781-A7F1-8233935B3A99}"/>
  <tableColumns count="211">
    <tableColumn id="1" xr3:uid="{A620C2E2-ABB7-4688-9351-9ABCC4392B3A}" name="No" dataDxfId="424"/>
    <tableColumn id="2" xr3:uid="{328A760C-6393-4BE7-9E28-5C97ECC4A1A9}" name="DATE" dataDxfId="423"/>
    <tableColumn id="3" xr3:uid="{CFEE36F9-E3B9-42D0-920A-839FAC31F328}" name="Recipient _x000a_egg" dataDxfId="422"/>
    <tableColumn id="4" xr3:uid="{8AD5FC31-CA2D-4131-8A76-D4F1D7AC366A}" name="Natural breeding " dataDxfId="421"/>
    <tableColumn id="5" xr3:uid="{0C069E9C-591B-490E-A57B-B567F3768FDF}" name="Column1" dataDxfId="420"/>
    <tableColumn id="6" xr3:uid="{0581A203-69C1-4697-A9ED-D86D531FE85F}" name="Column2" dataDxfId="419"/>
    <tableColumn id="7" xr3:uid="{058B90FE-4EAC-414E-A950-03B65D137B93}" name="Column3" dataDxfId="418"/>
    <tableColumn id="8" xr3:uid="{DADF4CA1-940E-4B5F-8669-3BF0A39953C9}" name="Column4" dataDxfId="417"/>
    <tableColumn id="9" xr3:uid="{1FAF4D02-08E6-4408-9AE0-73FB104BD0F5}" name="Column5" dataDxfId="416"/>
    <tableColumn id="10" xr3:uid="{77FC5879-E923-4404-8D0A-A2E7B6F403C8}" name="Column6" dataDxfId="415"/>
    <tableColumn id="11" xr3:uid="{954A8CA4-DB57-4D0A-BA33-4ECA72526686}" name="Column7" dataDxfId="414"/>
    <tableColumn id="12" xr3:uid="{119E0C16-25BB-4DE5-906A-87F3B39673D2}" name="Column8" dataDxfId="413"/>
    <tableColumn id="13" xr3:uid="{3696910A-6C69-448E-8E46-DB2F2200E396}" name="Column9" dataDxfId="412"/>
    <tableColumn id="14" xr3:uid="{F2770BF6-A23A-4F68-8FA8-186667674AF5}" name="IVF" dataDxfId="411"/>
    <tableColumn id="15" xr3:uid="{314F9DBE-C1DA-4235-8C79-FF276E3583B4}" name="Column10" dataDxfId="410"/>
    <tableColumn id="16" xr3:uid="{D0F2F0D2-748E-4EB7-835D-EDE27806D29D}" name="Column11" dataDxfId="409"/>
    <tableColumn id="17" xr3:uid="{137CF279-50E7-4B23-A704-2D5989B1F324}" name="Column12" dataDxfId="408"/>
    <tableColumn id="18" xr3:uid="{D53A6686-DA63-435A-BC8D-92C0B5A1D92C}" name="Column13" dataDxfId="407"/>
    <tableColumn id="19" xr3:uid="{CB8BBE0A-FFB5-4223-8E0D-22267E1D2CA3}" name="Column14" dataDxfId="406"/>
    <tableColumn id="20" xr3:uid="{0D497EE9-481E-4551-A079-3ED1140F20FA}" name="Column15" dataDxfId="405"/>
    <tableColumn id="21" xr3:uid="{8BA01D7D-02E4-4052-9CC5-46C9FB7926AF}" name="Column16" dataDxfId="404"/>
    <tableColumn id="22" xr3:uid="{83E951C1-97BE-4E09-979E-6FC84DEF3A83}" name="Lot of _x000a_CSOF" dataDxfId="403"/>
    <tableColumn id="23" xr3:uid="{01AEF5B6-3EEA-464C-9739-7BF9952CFC1A}" name="Code_x000a_of Egg " dataDxfId="402"/>
    <tableColumn id="24" xr3:uid="{F7C32649-2A09-4EB7-B768-ECCE5C99D803}" name="Group" dataDxfId="401"/>
    <tableColumn id="25" xr3:uid="{3C1A14B8-89D6-4297-B6A4-86812640588D}" name="Injection" dataDxfId="400"/>
    <tableColumn id="26" xr3:uid="{FF8AF61E-B3E3-4811-8E10-20F6CD8387E8}" name="Column17" dataDxfId="399"/>
    <tableColumn id="27" xr3:uid="{895ACC78-B4C2-49BB-906C-7C7B782F2D35}" name="Column18" dataDxfId="398"/>
    <tableColumn id="28" xr3:uid="{98B8E582-E9AD-474C-8AEA-6335140F6648}" name="Column19" dataDxfId="397"/>
    <tableColumn id="29" xr3:uid="{00E2DDB4-5202-4328-8772-58CA455A241E}" name="Lot_x000a_No." dataDxfId="396"/>
    <tableColumn id="30" xr3:uid="{29B03517-F367-4F6E-964F-CA4308D7F01A}" name="Name" dataDxfId="395"/>
    <tableColumn id="31" xr3:uid="{9FD954C0-41EA-4808-B0A1-7FAC6823D6F1}" name="N in Lot" dataDxfId="394"/>
    <tableColumn id="32" xr3:uid="{5F4D771F-29D2-48DF-BEE1-1E86AFEADBDC}" name="Activated time" dataDxfId="393"/>
    <tableColumn id="33" xr3:uid="{0E07873D-3472-4B85-A824-511E118AA836}" name="Time" dataDxfId="392"/>
    <tableColumn id="34" xr3:uid="{C6967935-0245-41BD-A0CD-7ED22962198F}" name="Column20" dataDxfId="391"/>
    <tableColumn id="35" xr3:uid="{A045C0E0-CA60-425E-8E6D-691A467B0D6B}" name="well_x000a_(96-well)" dataDxfId="390"/>
    <tableColumn id="36" xr3:uid="{B1D7F699-9105-4628-B377-0BE2ABE239EC}" name="Running number" dataDxfId="389"/>
    <tableColumn id="37" xr3:uid="{31A0A778-982E-42CC-8249-97F93315C9BF}" name="1-cell" dataDxfId="388"/>
    <tableColumn id="38" xr3:uid="{9E07B923-E9F2-4B13-A810-06F9E173D96F}" name="2-cell_x000a_(1 h)" dataDxfId="387"/>
    <tableColumn id="39" xr3:uid="{F000AF6B-0A62-45EC-ACFD-3BA7A2981B0E}" name="4-cell_x000a_(1 h)" dataDxfId="386"/>
    <tableColumn id="40" xr3:uid="{D54403ED-8DCD-4379-829B-1E4317C8ADA2}" name="8-cell_x000a_(1.25 h)" dataDxfId="385"/>
    <tableColumn id="41" xr3:uid="{7A07B9CA-3552-4A28-9E0E-E4692C06FD1C}" name="16-cell_x000a_(1.5 h)" dataDxfId="384"/>
    <tableColumn id="42" xr3:uid="{31E7126B-0D7E-4961-8BB2-21A012506574}" name="32-cell_x000a_(1.75 h)" dataDxfId="383"/>
    <tableColumn id="43" xr3:uid="{CB5ED652-EEE3-47A7-95ED-E59FD1FCD96F}" name="64-cell_x000a_(2 h)" dataDxfId="382"/>
    <tableColumn id="44" xr3:uid="{5E8DC13D-3836-4789-A43E-56BFD7E7E7AA}" name="128-cell_x000a_(2.25 h)" dataDxfId="381"/>
    <tableColumn id="45" xr3:uid="{38CBA922-A444-4AA8-AAE7-A140FD3C4EF9}" name="256-cell_x000a_(2.5 h)" dataDxfId="380"/>
    <tableColumn id="46" xr3:uid="{7550E5F2-17B0-4D68-825C-56DD6C21EDC9}" name="512-cell_x000a_(2.75 h)" dataDxfId="379"/>
    <tableColumn id="47" xr3:uid="{E8E847BF-DC7D-47A3-B22F-1324EB9A0A31}" name="1k-cell_x000a_(3 h)" dataDxfId="378"/>
    <tableColumn id="48" xr3:uid="{B986F072-5A2B-407C-A8C7-ABD2459B344D}" name="High_x000a_(3.3 h)" dataDxfId="377"/>
    <tableColumn id="49" xr3:uid="{AA934073-032F-43DA-B775-47C429C378AC}" name="Oblong_x000a_(3.7 h)" dataDxfId="376"/>
    <tableColumn id="50" xr3:uid="{6055D70F-A5F8-4C1D-98F5-9DFA2B9054C1}" name="Sphere_x000a_(4 h)" dataDxfId="375"/>
    <tableColumn id="51" xr3:uid="{18A1AEBF-965D-4661-BF03-D46A2B9A343E}" name="Dome_x000a_(4.3 h)" dataDxfId="374"/>
    <tableColumn id="52" xr3:uid="{7AA8FCF4-9F24-43BE-A675-B866C52BF990}" name="30%epi_x000a_(4.7 h)" dataDxfId="373"/>
    <tableColumn id="53" xr3:uid="{070D14F2-D161-4B15-B986-9198BF02FFC4}" name="50%epi_x000a_(5.3 h)" dataDxfId="372"/>
    <tableColumn id="54" xr3:uid="{4E52B615-77BB-48C7-9230-4760AE111443}" name="Germ ring_x000a_(5.7 h)" dataDxfId="371"/>
    <tableColumn id="55" xr3:uid="{4FE292CE-8E38-4F78-961E-AC33370FE564}" name="Shield_x000a_(6 h)" dataDxfId="370"/>
    <tableColumn id="56" xr3:uid="{28FD548C-784D-48FF-A0FC-FB5DBF81CD78}" name="75%epi_x000a_(8 h)" dataDxfId="369"/>
    <tableColumn id="57" xr3:uid="{625DA077-1A8E-45C7-A928-BE4310833498}" name="90%epi_x000a_(9 h)" dataDxfId="368"/>
    <tableColumn id="58" xr3:uid="{55EA1CBE-AFAD-494A-96AC-8B5BF50885E2}" name="Age of clone" dataDxfId="367"/>
    <tableColumn id="59" xr3:uid="{F825E167-4DAE-4FE2-ACC6-25F07A97F7A9}" name="Day1" dataDxfId="366"/>
    <tableColumn id="60" xr3:uid="{0D12D6EA-D7EF-4578-BE78-FD7D43C13ECD}" name="Day2" dataDxfId="365"/>
    <tableColumn id="61" xr3:uid="{970EF120-BB16-47E2-B9B2-C6E11F633B56}" name="Day3" dataDxfId="364"/>
    <tableColumn id="62" xr3:uid="{1DAF807A-7464-4656-85D3-CC3A2A0368DB}" name="Day4" dataDxfId="363"/>
    <tableColumn id="63" xr3:uid="{17B91A01-CE3F-40CC-ADF1-9BC27761E594}" name="Day5" dataDxfId="362"/>
    <tableColumn id="64" xr3:uid="{2F3CA2C0-111C-4D72-896F-0B8366A4BDC2}" name="Day6" dataDxfId="361"/>
    <tableColumn id="65" xr3:uid="{CFD10F51-C89C-4646-9A42-6006DF14E8C3}" name="Day7" dataDxfId="360"/>
    <tableColumn id="66" xr3:uid="{C566DFE8-F1F4-48BF-8AC2-EB5174D1216A}" name="Day8" dataDxfId="359"/>
    <tableColumn id="67" xr3:uid="{E643D60B-8150-4279-A093-C47727799171}" name="Day9" dataDxfId="358"/>
    <tableColumn id="68" xr3:uid="{D65B9556-5A9C-49E7-AE5C-7EA73B3F2F65}" name="Day10" dataDxfId="357"/>
    <tableColumn id="69" xr3:uid="{2B97593B-F536-48EE-B6EA-7651379D0BBF}" name="Day11" dataDxfId="356"/>
    <tableColumn id="70" xr3:uid="{C3CAC63F-E04F-461E-ABE7-6C6980229B29}" name="Day12" dataDxfId="355"/>
    <tableColumn id="71" xr3:uid="{0EB29C9C-4973-4219-B900-3B75F8565878}" name="Day13" dataDxfId="354"/>
    <tableColumn id="72" xr3:uid="{45A1BC95-B238-4ADE-A0E4-AD463786A3B8}" name="Day14" dataDxfId="353"/>
    <tableColumn id="73" xr3:uid="{6B6A6FEB-6AB7-4CC8-83AD-A5114EBCA315}" name="Day15" dataDxfId="352"/>
    <tableColumn id="74" xr3:uid="{398D70EB-EA71-4F42-9822-30A70CA13DDE}" name="Day16" dataDxfId="351"/>
    <tableColumn id="75" xr3:uid="{4D043CA6-0F5F-4407-9407-CDD8BA4ECE52}" name="Day17" dataDxfId="350"/>
    <tableColumn id="76" xr3:uid="{F5B09FB2-D685-429F-BD22-AC2C2914A84B}" name="Day18" dataDxfId="349"/>
    <tableColumn id="77" xr3:uid="{055503E7-CFB0-4849-BE95-2858F9824077}" name="Day19" dataDxfId="348"/>
    <tableColumn id="78" xr3:uid="{19093BB4-EAFD-45CA-8ADE-7DAE4EE6CC65}" name="Day20" dataDxfId="347"/>
    <tableColumn id="79" xr3:uid="{DE09527F-25ED-479A-BAB2-003DD3479A08}" name="Day21" dataDxfId="346"/>
    <tableColumn id="80" xr3:uid="{2DCBFB86-A06C-4D2C-8025-CDFE8165A0F9}" name="Day22" dataDxfId="345"/>
    <tableColumn id="81" xr3:uid="{08709EFA-DCDA-40F0-BCAE-1409A93983BE}" name="Day23" dataDxfId="344"/>
    <tableColumn id="82" xr3:uid="{C5AF2E7D-3EC1-4E1E-A483-7E6D79A1C671}" name="Day24" dataDxfId="343"/>
    <tableColumn id="83" xr3:uid="{6F3033E2-03C0-49BC-A1FC-78FA8EEEC652}" name="Day25" dataDxfId="342"/>
    <tableColumn id="84" xr3:uid="{0CE8B593-87F0-4E1D-91A5-030C1EDACF7D}" name="Day26" dataDxfId="341"/>
    <tableColumn id="85" xr3:uid="{62913238-3B27-4BB2-898C-31A28CF64F5B}" name="Day27" dataDxfId="340"/>
    <tableColumn id="86" xr3:uid="{AAEF1215-B629-499B-8164-57C31473146F}" name="Day28" dataDxfId="339"/>
    <tableColumn id="87" xr3:uid="{F2F41AF6-4790-47C4-A539-3E74BE3F5807}" name="Day29" dataDxfId="338"/>
    <tableColumn id="88" xr3:uid="{4377CA56-7CFF-4604-B823-04DAF1798B18}" name="Day30" dataDxfId="337"/>
    <tableColumn id="89" xr3:uid="{03A9B76C-1D81-472A-A01B-7ADFEF53E747}" name="Day31" dataDxfId="336"/>
    <tableColumn id="90" xr3:uid="{C0FA97CB-8CC4-4B13-B107-1C57D416A229}" name="Day32" dataDxfId="335"/>
    <tableColumn id="91" xr3:uid="{5D7EECDF-12D0-471A-86B3-5A247CE5BB47}" name="Day33" dataDxfId="334"/>
    <tableColumn id="92" xr3:uid="{EAE53866-B651-42D9-9D59-70A4A7818299}" name="Day34" dataDxfId="333"/>
    <tableColumn id="93" xr3:uid="{0BAF47FC-0F78-45FB-805B-9E203E00D476}" name="Day35" dataDxfId="332"/>
    <tableColumn id="94" xr3:uid="{5395DFE7-DC4B-4CE9-BB2D-3D23AEE7484F}" name="Day36" dataDxfId="331"/>
    <tableColumn id="95" xr3:uid="{DED6A106-781C-4E77-8891-E699278BABA7}" name="Day37" dataDxfId="330"/>
    <tableColumn id="96" xr3:uid="{0545F8DA-05BA-486F-B62C-6A4A9F1B4C64}" name="Day38" dataDxfId="329"/>
    <tableColumn id="97" xr3:uid="{23AF4E40-8A5C-445A-AC6F-35BD9C51FB9E}" name="Day39" dataDxfId="328"/>
    <tableColumn id="98" xr3:uid="{F9E0E022-FB5D-4B1E-AAC6-08A976FEB57E}" name="Day40" dataDxfId="327"/>
    <tableColumn id="99" xr3:uid="{4F262654-D209-47DE-883A-A638CD595E09}" name="Day41" dataDxfId="326"/>
    <tableColumn id="100" xr3:uid="{61C4D5BE-4847-447F-970D-381742857EE5}" name="Day42" dataDxfId="325"/>
    <tableColumn id="101" xr3:uid="{B6ADB656-823E-47EB-97E3-B81A5B952015}" name="Day43" dataDxfId="324"/>
    <tableColumn id="102" xr3:uid="{0FC62C1B-A80D-4B07-8F40-6730C4045597}" name="Day44" dataDxfId="323"/>
    <tableColumn id="103" xr3:uid="{DBF7950A-A290-4066-B2CA-9D80B9C86044}" name="Day45" dataDxfId="322"/>
    <tableColumn id="104" xr3:uid="{40068182-9991-4CC5-8435-63A15D7DFCC7}" name="Day46" dataDxfId="321"/>
    <tableColumn id="105" xr3:uid="{2D5EAFCC-4702-41DF-B6B5-01188B0B997B}" name="Day47" dataDxfId="320"/>
    <tableColumn id="106" xr3:uid="{DF370F2D-BD86-4161-AC5F-CA1C55854EA3}" name="Day48" dataDxfId="319"/>
    <tableColumn id="107" xr3:uid="{6D859973-439B-4E8C-BF46-49632B3FF7DB}" name="Day49" dataDxfId="318"/>
    <tableColumn id="108" xr3:uid="{B91B0B70-3932-4562-A4DF-AFA94958039E}" name="Day50" dataDxfId="317"/>
    <tableColumn id="109" xr3:uid="{B5C0D8E1-7570-4B08-BF9B-AD925D0B99F6}" name="Day51" dataDxfId="316"/>
    <tableColumn id="110" xr3:uid="{E691E76D-E843-4645-AF1A-C03135F9825F}" name="Day52" dataDxfId="315"/>
    <tableColumn id="111" xr3:uid="{94D395C7-0498-44FC-9671-461BCAFD769A}" name="Day53" dataDxfId="314"/>
    <tableColumn id="112" xr3:uid="{BF0DC91B-1FE3-4DC4-9BEA-C22F62F95178}" name="Day54" dataDxfId="313"/>
    <tableColumn id="113" xr3:uid="{A4328293-0EE8-4D28-882D-981918BE02A1}" name="Day55" dataDxfId="312"/>
    <tableColumn id="114" xr3:uid="{A818B539-8F83-49D2-AE8A-52170CD07C93}" name="Day56" dataDxfId="311"/>
    <tableColumn id="115" xr3:uid="{EDFD9166-6FA6-4C0E-A8F9-CE06F7CBB2B8}" name="Day57" dataDxfId="310"/>
    <tableColumn id="116" xr3:uid="{A7523B93-7491-48C8-87BD-2A12E477BF61}" name="Day58" dataDxfId="309"/>
    <tableColumn id="117" xr3:uid="{66E42568-46F1-4647-B0FE-84BCB367AE84}" name="Day59" dataDxfId="308"/>
    <tableColumn id="118" xr3:uid="{646991BE-76A4-414B-8A5E-8D4C6B8B6F74}" name="Day60" dataDxfId="307"/>
    <tableColumn id="119" xr3:uid="{4973D50C-FAA8-43CF-8286-4036E79B7FBE}" name="Day61" dataDxfId="306"/>
    <tableColumn id="120" xr3:uid="{2308A41B-7F6B-4F3A-AF82-DCDD8422BFC1}" name="Day62" dataDxfId="305"/>
    <tableColumn id="121" xr3:uid="{98C25432-AFCE-4170-8D0B-4CD0B8C6A2B6}" name="Day63" dataDxfId="304"/>
    <tableColumn id="122" xr3:uid="{E4C52980-FBA2-412F-B335-63650AA891FA}" name="Day64" dataDxfId="303"/>
    <tableColumn id="123" xr3:uid="{53AD1134-9C7D-45BD-A005-EE47BB3A34BA}" name="Day65" dataDxfId="302"/>
    <tableColumn id="124" xr3:uid="{21D78B02-5764-4D53-A339-7F5C9011D06B}" name="Day66" dataDxfId="301"/>
    <tableColumn id="125" xr3:uid="{FE88B7E5-3CE5-4AAC-A586-5C02A15D5BCD}" name="Day67" dataDxfId="300"/>
    <tableColumn id="126" xr3:uid="{4B517C46-1094-447E-9FB6-0FE1C3409ADB}" name="Day68" dataDxfId="299"/>
    <tableColumn id="127" xr3:uid="{F98EC861-08FB-4739-BF19-8F9903C09D3C}" name="Day69" dataDxfId="298"/>
    <tableColumn id="128" xr3:uid="{D8D49AB5-D6AF-46B8-ADD3-AD351CE101DA}" name="Day70" dataDxfId="297"/>
    <tableColumn id="129" xr3:uid="{0F4988A8-D553-4206-9010-FCD186C955FE}" name="Day71" dataDxfId="296"/>
    <tableColumn id="130" xr3:uid="{7E1411F2-3769-4796-A825-C693D0F69094}" name="Day72" dataDxfId="295"/>
    <tableColumn id="131" xr3:uid="{9C4FEE9C-BE45-4250-92FE-8DABD7B3BCEF}" name="Day73" dataDxfId="294"/>
    <tableColumn id="132" xr3:uid="{21BE18FF-FE31-422F-822D-21711A0E00EA}" name="Day74" dataDxfId="293"/>
    <tableColumn id="133" xr3:uid="{688112ED-BF4D-4E6F-9BAD-C00E763738A6}" name="Day75" dataDxfId="292"/>
    <tableColumn id="134" xr3:uid="{8E898DFD-9662-447B-AE75-0B06838AA217}" name="Day76" dataDxfId="291"/>
    <tableColumn id="135" xr3:uid="{EA1BD077-0B84-420A-97D0-AA5D14ECAEEE}" name="Day77" dataDxfId="290"/>
    <tableColumn id="136" xr3:uid="{18662269-8455-44A2-BF84-CB67941FAA79}" name="Day78" dataDxfId="289"/>
    <tableColumn id="137" xr3:uid="{2D44C4B9-68BA-4C53-8613-D334D35DD5F9}" name="Day79" dataDxfId="288"/>
    <tableColumn id="138" xr3:uid="{295C534B-3AFE-4F63-8468-8F6E99305221}" name="Day80" dataDxfId="287"/>
    <tableColumn id="139" xr3:uid="{85F51D06-B605-47FF-9A57-F191152A828E}" name="Day81" dataDxfId="286"/>
    <tableColumn id="140" xr3:uid="{F259D1F3-E75F-4CD9-85A7-9787077F1EC7}" name="Day82" dataDxfId="285"/>
    <tableColumn id="141" xr3:uid="{D87BCB7B-B904-4BDC-B7B3-527C75537F53}" name="Day83" dataDxfId="284"/>
    <tableColumn id="142" xr3:uid="{24260304-C88A-417D-B9D1-A721B62839DA}" name="Day84" dataDxfId="283"/>
    <tableColumn id="143" xr3:uid="{DF4A645A-01E1-4051-B8E0-7F28A3F6CB41}" name="Day85" dataDxfId="282"/>
    <tableColumn id="144" xr3:uid="{8E2D23F8-4D01-4C36-A779-F384D9BB91CD}" name="Day86" dataDxfId="281"/>
    <tableColumn id="145" xr3:uid="{D4FC9FD7-7A00-44A6-87B5-7092AC37C606}" name="Day87" dataDxfId="280"/>
    <tableColumn id="146" xr3:uid="{9A5CBED8-6CA1-4A5A-B91E-93B196DBF237}" name="Day88" dataDxfId="279"/>
    <tableColumn id="147" xr3:uid="{00802BEA-B1F6-4AFA-852B-09320C602CE8}" name="Day89" dataDxfId="278"/>
    <tableColumn id="148" xr3:uid="{AA4F5927-F0CD-45AD-8795-17C259F1A440}" name="Day90" dataDxfId="277"/>
    <tableColumn id="149" xr3:uid="{FC590892-F78F-4D25-902E-CE6DBCD52B8A}" name="Day91" dataDxfId="276"/>
    <tableColumn id="150" xr3:uid="{75FEC9E4-97DD-407A-B7F0-6CDD347A292E}" name="Day92" dataDxfId="275"/>
    <tableColumn id="151" xr3:uid="{6E2A5CFA-7655-4E57-AE0C-E573F14EE1E0}" name="Day93" dataDxfId="274"/>
    <tableColumn id="152" xr3:uid="{0284D8A0-6C04-466F-82E9-560374D3BE05}" name="Day94" dataDxfId="273"/>
    <tableColumn id="153" xr3:uid="{B61518E5-98A2-42CD-A073-B0E94886863B}" name="Day95" dataDxfId="272"/>
    <tableColumn id="154" xr3:uid="{F310A092-4C4F-4E2F-A155-EB069DB159AB}" name="Day96" dataDxfId="271"/>
    <tableColumn id="155" xr3:uid="{E6C5BF32-6695-4608-BA70-823FC7FB83C0}" name="Day97" dataDxfId="270"/>
    <tableColumn id="156" xr3:uid="{757BB393-99D4-4877-A5F9-BC65D4AEF59F}" name="Day98" dataDxfId="269"/>
    <tableColumn id="157" xr3:uid="{AB95CC03-083C-4D89-9029-85B83F484769}" name="Day99" dataDxfId="268"/>
    <tableColumn id="158" xr3:uid="{3E3583A6-ECE0-4A66-B436-636C24934C1E}" name="Day100" dataDxfId="267"/>
    <tableColumn id="159" xr3:uid="{43DF7C92-C4C7-44D6-BCAC-50E88F8EE8B9}" name="Day101" dataDxfId="266"/>
    <tableColumn id="160" xr3:uid="{90F89996-60E7-416D-BDC5-09CBF287BCCA}" name="Day102" dataDxfId="265"/>
    <tableColumn id="161" xr3:uid="{C6BD476E-92E0-43DF-9D54-FACB6AEFD276}" name="Day103" dataDxfId="264"/>
    <tableColumn id="162" xr3:uid="{A89C937C-C874-4DE3-A4BB-DBCF4392A4D6}" name="Day104" dataDxfId="263"/>
    <tableColumn id="163" xr3:uid="{7736FC1F-3976-4CD3-A9CA-B5B66D2D70A2}" name="Day105" dataDxfId="262"/>
    <tableColumn id="164" xr3:uid="{C9E180AC-CA30-4236-8545-38AC69991B31}" name="Day106" dataDxfId="261"/>
    <tableColumn id="165" xr3:uid="{C069AB4C-B5FE-45A2-9133-3C95B3CE812B}" name="Day107" dataDxfId="260"/>
    <tableColumn id="166" xr3:uid="{9F47A54D-5ED2-411D-A2C9-26757EEFDEA5}" name="Day108" dataDxfId="259"/>
    <tableColumn id="167" xr3:uid="{0D33724D-5877-4017-922B-1D79C134324F}" name="Day109" dataDxfId="258"/>
    <tableColumn id="168" xr3:uid="{6832C1D5-DE9B-4DCF-81D6-2FFF8850C3C2}" name="Day110" dataDxfId="257"/>
    <tableColumn id="169" xr3:uid="{4583AA13-FDD2-478E-84B8-69005492476F}" name="Day111" dataDxfId="256"/>
    <tableColumn id="170" xr3:uid="{AD2A9578-A60F-4F0D-A1A2-AB448BD9D655}" name="Day112" dataDxfId="255"/>
    <tableColumn id="171" xr3:uid="{E96C6AD9-E7C9-40EA-916C-8AED72110164}" name="Day113" dataDxfId="254"/>
    <tableColumn id="172" xr3:uid="{350AD9A4-E3CF-4D92-9239-574CC20D3325}" name="Day114" dataDxfId="253"/>
    <tableColumn id="173" xr3:uid="{BB2044C2-2B6F-48D1-982D-EC38694D4644}" name="Day115" dataDxfId="252"/>
    <tableColumn id="174" xr3:uid="{25D7C70D-0919-404B-AB55-6F7B3D67173B}" name="Day116" dataDxfId="251"/>
    <tableColumn id="175" xr3:uid="{D49EA857-1529-49A3-8E88-3C9537803767}" name="Day117" dataDxfId="250"/>
    <tableColumn id="176" xr3:uid="{16F3F05A-CD72-4699-80E5-0AC7A523E4B8}" name="Day118" dataDxfId="249"/>
    <tableColumn id="177" xr3:uid="{FF1D36CA-C391-4BF5-BA81-207B9E7FA04F}" name="Day119" dataDxfId="248"/>
    <tableColumn id="178" xr3:uid="{4E3F3975-5D00-4250-9923-B4D44AB6D677}" name="Day120" dataDxfId="247"/>
    <tableColumn id="179" xr3:uid="{60B8FC24-6229-489D-B5EF-8D99432DEF92}" name="Day121" dataDxfId="246"/>
    <tableColumn id="180" xr3:uid="{C86D2901-C7EF-473F-8A00-9A867E6C46A1}" name="Day122" dataDxfId="245"/>
    <tableColumn id="181" xr3:uid="{64795E74-FFAF-4919-B239-7ACD87CD9536}" name="Day123" dataDxfId="244"/>
    <tableColumn id="182" xr3:uid="{26DAB8BD-4FBD-491E-BD3C-C5AFA0B50BAC}" name="Day124" dataDxfId="243"/>
    <tableColumn id="183" xr3:uid="{3A176FE5-6A85-4BB9-9C23-420A6B66AB03}" name="Day125" dataDxfId="242"/>
    <tableColumn id="184" xr3:uid="{B1DA0FC1-5D0F-4E3B-AA87-625809A9B31B}" name="Day126" dataDxfId="241"/>
    <tableColumn id="185" xr3:uid="{3BCBD041-7A3F-406C-8DD6-4D1A13C0E986}" name="Day127" dataDxfId="240"/>
    <tableColumn id="186" xr3:uid="{9D2FF57A-7A91-4A12-B641-05A181FD5E15}" name="Day128" dataDxfId="239"/>
    <tableColumn id="187" xr3:uid="{EBBFA0B5-A944-4EEE-AED5-8FF42B5E0150}" name="Day129" dataDxfId="238"/>
    <tableColumn id="188" xr3:uid="{2C5B5C99-8A45-4E35-8195-68CB0F3350E2}" name="Day130" dataDxfId="237"/>
    <tableColumn id="189" xr3:uid="{14D57563-534F-456E-9961-7023E22A6B34}" name="Day131" dataDxfId="236"/>
    <tableColumn id="190" xr3:uid="{433867CD-1056-4E40-AFE9-7986FB58C51F}" name="Day132" dataDxfId="235"/>
    <tableColumn id="191" xr3:uid="{83D1A457-FD0F-455D-B42C-6A9989201845}" name="Day133" dataDxfId="234"/>
    <tableColumn id="192" xr3:uid="{FA10A8F8-AC2C-4F8F-83E4-C570D8E7C3AC}" name="Day134" dataDxfId="233"/>
    <tableColumn id="193" xr3:uid="{2DC8B795-8AFF-48ED-B150-A18B2D066FE4}" name="Day135" dataDxfId="232"/>
    <tableColumn id="194" xr3:uid="{0C0A77B8-5315-433F-8927-56E2575E286C}" name="Day136" dataDxfId="231"/>
    <tableColumn id="195" xr3:uid="{5BFE50A1-1F85-4292-91A3-D2FB8CAB15D0}" name="Day137" dataDxfId="230"/>
    <tableColumn id="196" xr3:uid="{F5750D7F-6446-4764-99C4-1B5B25DEE687}" name="Day138" dataDxfId="229"/>
    <tableColumn id="197" xr3:uid="{168962BC-FA26-4B2D-A0C9-9ADC40D8EFED}" name="Day139" dataDxfId="228"/>
    <tableColumn id="198" xr3:uid="{FF5134AB-F9CD-4E53-8342-71BB67F0F984}" name="Day140" dataDxfId="227"/>
    <tableColumn id="199" xr3:uid="{2778D82E-B6C3-4DD6-849F-9A577A088F99}" name="Day141" dataDxfId="226"/>
    <tableColumn id="200" xr3:uid="{F0635504-A7F1-48C7-85EE-BAA0F0AB8308}" name="Day142" dataDxfId="225"/>
    <tableColumn id="201" xr3:uid="{D16C9904-922C-4203-B9E9-D851BE0FF40B}" name="Day143" dataDxfId="224"/>
    <tableColumn id="202" xr3:uid="{DBBD23A2-2CAE-4DDA-B987-B09A7D7ECA5F}" name="Day144" dataDxfId="223"/>
    <tableColumn id="203" xr3:uid="{A01265D7-1010-4A27-A552-A6417099D191}" name="Day145" dataDxfId="222"/>
    <tableColumn id="204" xr3:uid="{7EC15684-D07D-4FFB-BF2B-2C4A55FAC254}" name="Day146" dataDxfId="221"/>
    <tableColumn id="205" xr3:uid="{1EBE2DAA-BBB1-4AE0-8480-2B26B8FB9206}" name="Day147" dataDxfId="220"/>
    <tableColumn id="206" xr3:uid="{1CD4B41C-D499-4D2F-940D-4C57B23074AF}" name="Day148" dataDxfId="219"/>
    <tableColumn id="207" xr3:uid="{686435F6-5398-4615-989F-A453A432A597}" name="Day149" dataDxfId="218"/>
    <tableColumn id="208" xr3:uid="{9A908C29-B2A9-4EE9-BA92-61AA48586860}" name="Day150" dataDxfId="217"/>
    <tableColumn id="209" xr3:uid="{4716E2F0-F516-4A77-9AC5-57E794D922AF}" name="Column21" dataDxfId="216"/>
    <tableColumn id="210" xr3:uid="{C2D230EF-82BB-49DC-8AA9-136A6081B8FC}" name="Column22" dataDxfId="215"/>
    <tableColumn id="211" xr3:uid="{8DE68790-F629-4F73-A6D6-4EBA9BA9A77F}" name="Column23" dataDxfId="2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609895-F46A-456D-AF39-87524CD21F03}" name="RK_2" displayName="RK_2" ref="A1:HC250" totalsRowShown="0" headerRowDxfId="213" dataDxfId="212">
  <autoFilter ref="A1:HC250" xr:uid="{E3609895-F46A-456D-AF39-87524CD21F03}"/>
  <tableColumns count="211">
    <tableColumn id="1" xr3:uid="{33DB0AF9-40EA-4B9E-A11D-F9A8DCFB463B}" name="No" dataDxfId="211"/>
    <tableColumn id="2" xr3:uid="{AE3C1581-1154-4EDE-AF35-C845ACA349FC}" name="DATE" dataDxfId="210"/>
    <tableColumn id="3" xr3:uid="{E7D1CF91-6103-467A-A603-82C17341E156}" name="Recipient _x000a_egg" dataDxfId="209"/>
    <tableColumn id="4" xr3:uid="{83FCC6AD-6576-43F0-9272-62197A657A56}" name="Natural breeding " dataDxfId="208"/>
    <tableColumn id="5" xr3:uid="{F35027FD-E735-43DE-8BA3-1777A9444358}" name="Column1" dataDxfId="207"/>
    <tableColumn id="6" xr3:uid="{E2F4DCE2-7655-4970-BAD6-32FB72EA5646}" name="Column2" dataDxfId="206"/>
    <tableColumn id="7" xr3:uid="{2DA768F7-B13B-4977-903E-D3AC396CA37D}" name="Column3" dataDxfId="205"/>
    <tableColumn id="8" xr3:uid="{82152945-A92C-481A-BB72-53FC72886827}" name="Column4" dataDxfId="204"/>
    <tableColumn id="9" xr3:uid="{3A6F45C2-674D-4291-A853-A12129B17E2E}" name="Column5" dataDxfId="203"/>
    <tableColumn id="10" xr3:uid="{0E7370FC-F12F-4882-8542-11FB9FB221BB}" name="Column6" dataDxfId="202"/>
    <tableColumn id="11" xr3:uid="{93AF3684-8642-402D-9430-F1B5FC67B775}" name="Column7" dataDxfId="201"/>
    <tableColumn id="12" xr3:uid="{1234DF53-80CD-4DA0-B5AF-406892D3E384}" name="Column8" dataDxfId="200"/>
    <tableColumn id="13" xr3:uid="{DDA1720B-C350-40DB-B753-A3D7F37F05E3}" name="Column9" dataDxfId="199"/>
    <tableColumn id="14" xr3:uid="{78579C00-2A15-436B-8725-4BFA508662D1}" name="IVF" dataDxfId="198"/>
    <tableColumn id="15" xr3:uid="{E90447E7-59E6-41EB-8362-B094361F2269}" name="Column10" dataDxfId="197"/>
    <tableColumn id="16" xr3:uid="{70D0CAFB-75C5-49A5-BAD5-175B9B7FB54C}" name="Column11" dataDxfId="196"/>
    <tableColumn id="17" xr3:uid="{1BAF6869-EAF0-45D7-A187-6E4B28D4C252}" name="Column12" dataDxfId="195"/>
    <tableColumn id="18" xr3:uid="{4FAE831B-6046-40A0-B3B9-208726EA2533}" name="Column13" dataDxfId="194"/>
    <tableColumn id="19" xr3:uid="{D2AAD3EE-B6FA-4516-B419-E9320F4DB96E}" name="Column14" dataDxfId="193"/>
    <tableColumn id="20" xr3:uid="{E1372D75-C9BD-4C02-8843-3B1512B072A2}" name="Column15" dataDxfId="192"/>
    <tableColumn id="21" xr3:uid="{2674131D-0EEA-496A-8FFB-72E26690014A}" name="Column16" dataDxfId="191"/>
    <tableColumn id="22" xr3:uid="{D87C0B66-0A08-4650-9B2B-6B3D699635CA}" name="Lot of _x000a_CSOF" dataDxfId="190"/>
    <tableColumn id="23" xr3:uid="{89D0CBFD-108E-4447-A9AB-A31F4DB2D64E}" name="Code_x000a_of Egg " dataDxfId="189"/>
    <tableColumn id="24" xr3:uid="{9531C613-5861-4B8F-8AE0-B7B9A6A7E53C}" name="Group" dataDxfId="188"/>
    <tableColumn id="25" xr3:uid="{22568EBE-427C-4482-B681-C4AC9710E5E1}" name="Injection" dataDxfId="187"/>
    <tableColumn id="26" xr3:uid="{27935C76-92A1-454A-AB77-416BCA1FE3D8}" name="Column17" dataDxfId="186"/>
    <tableColumn id="27" xr3:uid="{868A616F-AD8D-4B79-A846-4E7E34D69A93}" name="Column18" dataDxfId="185"/>
    <tableColumn id="28" xr3:uid="{A6C2F2B1-41C9-4A13-B98D-3AE63375CDCA}" name="Column19" dataDxfId="184"/>
    <tableColumn id="29" xr3:uid="{3CA6A892-B052-4EDC-A90B-C280C75CCD00}" name="Lot_x000a_No." dataDxfId="183"/>
    <tableColumn id="30" xr3:uid="{F9BEE360-7DA9-45B1-ADB9-EA5EF645A5F3}" name="Name" dataDxfId="182"/>
    <tableColumn id="31" xr3:uid="{50373508-FD82-4C4E-92C0-CACC32097E6D}" name="N in Lot" dataDxfId="181"/>
    <tableColumn id="32" xr3:uid="{78868927-3B5F-43F5-8722-23E3A3219A0A}" name="Activated time" dataDxfId="180"/>
    <tableColumn id="33" xr3:uid="{9A45AF90-3037-4F29-9228-60169384353B}" name="Time" dataDxfId="179"/>
    <tableColumn id="34" xr3:uid="{EED4CB23-C231-476F-BC6C-E2BAFD3FB3A6}" name="Column20" dataDxfId="178"/>
    <tableColumn id="35" xr3:uid="{A0649E3B-A649-4448-A97C-736C9578A22B}" name="well_x000a_(96-well)" dataDxfId="177"/>
    <tableColumn id="36" xr3:uid="{18AA1FE7-8A45-44A4-822D-4F90BE3960E0}" name="Running number" dataDxfId="176"/>
    <tableColumn id="37" xr3:uid="{13D2F4C1-859D-4EAE-9F1E-7C2DD74C9A7A}" name="Activated" dataDxfId="175"/>
    <tableColumn id="38" xr3:uid="{EB8832FB-3971-4D0D-AC40-4C2282ABCC02}" name="2-cell_x000a_(1 h)" dataDxfId="174"/>
    <tableColumn id="39" xr3:uid="{1F6D7F9A-90C9-4971-A4FB-6CB00870D408}" name="4-cell_x000a_(1 h)" dataDxfId="173"/>
    <tableColumn id="40" xr3:uid="{E108E125-BE27-4511-878A-CF4F673DE8B6}" name="8-cell_x000a_(1.25 h)" dataDxfId="172"/>
    <tableColumn id="41" xr3:uid="{312C3994-C45F-4B49-AB72-5E787EE7463F}" name="16-cell_x000a_(1.5 h)" dataDxfId="171"/>
    <tableColumn id="42" xr3:uid="{85B23EEE-8C96-4520-A1BF-8DF7C98D0CDD}" name="32-cell_x000a_(1.75 h)" dataDxfId="170"/>
    <tableColumn id="43" xr3:uid="{D814EBC6-8338-4CC9-BAE6-E6FA31C39871}" name="64-cell_x000a_(2 h)" dataDxfId="169"/>
    <tableColumn id="44" xr3:uid="{0168DC28-A128-44AD-8B76-F7DC7424F702}" name="128-cell_x000a_(2.25 h)" dataDxfId="168"/>
    <tableColumn id="45" xr3:uid="{BEE38A1E-8759-41C0-9B91-EBFD9740A0D4}" name="256-cell_x000a_(2.5 h)" dataDxfId="167"/>
    <tableColumn id="46" xr3:uid="{06D68679-AE36-4840-B171-3A6FF264FAEA}" name="512-cell_x000a_(2.75 h)" dataDxfId="166"/>
    <tableColumn id="47" xr3:uid="{69BC6DF8-BFAC-40EE-A20A-80150B5DA1C1}" name="1k-cell_x000a_(3 h)" dataDxfId="165"/>
    <tableColumn id="48" xr3:uid="{C1919932-9A7F-4E0F-9010-4C524C348436}" name="High_x000a_(3.3 h)" dataDxfId="164"/>
    <tableColumn id="49" xr3:uid="{00A3DD6A-5EBD-4449-8750-39CADE32FBFA}" name="Oblong_x000a_(3.7 h)" dataDxfId="163"/>
    <tableColumn id="50" xr3:uid="{21271671-AA70-4BC9-A325-A9EB8AFED8F9}" name="Sphere_x000a_(4 h)" dataDxfId="162"/>
    <tableColumn id="51" xr3:uid="{F2DD3440-FC02-40A1-90EA-8BA0D575CDC3}" name="Dome_x000a_(4.3 h)" dataDxfId="161"/>
    <tableColumn id="52" xr3:uid="{AD8F3EE9-3877-4A8D-BE76-A47E9DFD3806}" name="30%epi_x000a_(4.7 h)" dataDxfId="160"/>
    <tableColumn id="53" xr3:uid="{A5FC5CC2-5602-48B6-8CD8-635B15C87EEC}" name="50%epi_x000a_(5.3 h)" dataDxfId="159"/>
    <tableColumn id="54" xr3:uid="{E68534FC-DDA1-40A5-955A-20D520B32F76}" name="Germ ring_x000a_(5.7 h)" dataDxfId="158"/>
    <tableColumn id="55" xr3:uid="{C16892D8-C080-4410-B19C-11798C60505C}" name="Shield_x000a_(6 h)" dataDxfId="157"/>
    <tableColumn id="56" xr3:uid="{C2C390CB-8516-4EB0-B5B3-8D04A02991E5}" name="75%epi_x000a_(8 h)" dataDxfId="156"/>
    <tableColumn id="57" xr3:uid="{535FC137-FFF4-413A-B5F2-474E1D9B4008}" name="90%epi_x000a_(9 h)" dataDxfId="155"/>
    <tableColumn id="58" xr3:uid="{D3BA6743-7B5A-481B-885D-A40BC8316FC1}" name="Age of clone" dataDxfId="154"/>
    <tableColumn id="59" xr3:uid="{050C47A1-924C-41B2-BA39-B0BAFF95A989}" name="Day1" dataDxfId="153"/>
    <tableColumn id="60" xr3:uid="{AA75B18A-092A-4D1F-8D35-29004935A12A}" name="Day2" dataDxfId="152"/>
    <tableColumn id="61" xr3:uid="{BB2B45D5-1399-418E-904E-61239CB98902}" name="Day3" dataDxfId="151"/>
    <tableColumn id="62" xr3:uid="{2AE4E400-BCEC-41E4-A19C-5A31F2D51C50}" name="Day4" dataDxfId="150"/>
    <tableColumn id="63" xr3:uid="{8847C630-0515-4880-B530-44477C71FA4D}" name="Day5" dataDxfId="149"/>
    <tableColumn id="64" xr3:uid="{CC9F7E35-CE8C-4204-9877-055482712FD5}" name="Day6" dataDxfId="148"/>
    <tableColumn id="65" xr3:uid="{686C218E-E733-44E6-9C63-49BDDF2523F7}" name="Day7" dataDxfId="147"/>
    <tableColumn id="66" xr3:uid="{49F0EDBF-7B78-45CF-8781-1B74BA200908}" name="Day8" dataDxfId="146"/>
    <tableColumn id="67" xr3:uid="{6D7F81B2-D91D-4910-B73B-38B309E93F56}" name="Day9" dataDxfId="145"/>
    <tableColumn id="68" xr3:uid="{F50255D4-6468-4F7B-9D51-57E9DBD07D86}" name="Day10" dataDxfId="144"/>
    <tableColumn id="69" xr3:uid="{7B2D4316-97B8-4C4C-BF53-1AE509807C79}" name="Day11" dataDxfId="143"/>
    <tableColumn id="70" xr3:uid="{371B31D7-5E1D-4825-8F3F-1DCAB3A3185C}" name="Day12" dataDxfId="142"/>
    <tableColumn id="71" xr3:uid="{E18F9DD1-BD37-4EAD-A3FC-9F5709EE6B19}" name="Day13" dataDxfId="141"/>
    <tableColumn id="72" xr3:uid="{B0EFFA84-3A14-4E00-9DEF-714CD960B062}" name="Day14" dataDxfId="140"/>
    <tableColumn id="73" xr3:uid="{59A4419F-751F-4B0B-BB76-787C8913E1BC}" name="Day15" dataDxfId="139"/>
    <tableColumn id="74" xr3:uid="{4A885303-E537-4856-ACC6-DB0501B01AA0}" name="Day16" dataDxfId="138"/>
    <tableColumn id="75" xr3:uid="{D767112B-90DA-462F-A222-5504A4A3543C}" name="Day17" dataDxfId="137"/>
    <tableColumn id="76" xr3:uid="{CBCF62FF-A3AC-45D8-B835-14EA271A05A2}" name="Day18" dataDxfId="136"/>
    <tableColumn id="77" xr3:uid="{4E9E16FF-EEAF-4B93-BEB1-787E9B747917}" name="Day19" dataDxfId="135"/>
    <tableColumn id="78" xr3:uid="{1A1734EE-73C1-4F33-B4AE-A99F8F280620}" name="Day20" dataDxfId="134"/>
    <tableColumn id="79" xr3:uid="{C48E765A-AB9E-4919-A4A4-6BEA564D1F09}" name="Day21" dataDxfId="133"/>
    <tableColumn id="80" xr3:uid="{DE4ED177-2562-408B-9657-A23A8655002A}" name="Day22" dataDxfId="132"/>
    <tableColumn id="81" xr3:uid="{07ABEE11-EB2E-4CD5-80AC-F95F959EE03E}" name="Day23" dataDxfId="131"/>
    <tableColumn id="82" xr3:uid="{8D7BD952-4E54-4693-AF2D-C5DDC7ABC436}" name="Day24" dataDxfId="130"/>
    <tableColumn id="83" xr3:uid="{FB9CB07C-92C3-494B-AF05-A1D074477757}" name="Day25" dataDxfId="129"/>
    <tableColumn id="84" xr3:uid="{EF93BB40-B037-4428-B126-F252B96F7314}" name="Day26" dataDxfId="128"/>
    <tableColumn id="85" xr3:uid="{6F8533E1-B83D-45A3-9D8F-8A496F0DA757}" name="Day27" dataDxfId="127"/>
    <tableColumn id="86" xr3:uid="{7E8D25B5-F72B-478F-A044-73178F7E186F}" name="Day28" dataDxfId="126"/>
    <tableColumn id="87" xr3:uid="{80806F6F-CF8D-4D03-B403-00BAE73968B2}" name="Day29" dataDxfId="125"/>
    <tableColumn id="88" xr3:uid="{8F3896E5-A41D-46A2-A000-8B5070BE5786}" name="Day30" dataDxfId="124"/>
    <tableColumn id="89" xr3:uid="{5E04506B-594B-4BAC-9A06-878548C70662}" name="Day31" dataDxfId="123"/>
    <tableColumn id="90" xr3:uid="{D0F3BB49-1288-43EF-AD3E-E4949EA37A32}" name="Day32" dataDxfId="122"/>
    <tableColumn id="91" xr3:uid="{00A07168-9B48-42A7-8D53-15BF73C9A27E}" name="Day33" dataDxfId="121"/>
    <tableColumn id="92" xr3:uid="{A76AAE71-F392-4322-8B38-00FB164DF16A}" name="Day34" dataDxfId="120"/>
    <tableColumn id="93" xr3:uid="{4917C011-51EE-46D1-86E9-8B7728BEF7DA}" name="Day35" dataDxfId="119"/>
    <tableColumn id="94" xr3:uid="{4EB7ACAD-023F-407D-8CD9-886A5327EBD5}" name="Day36" dataDxfId="118"/>
    <tableColumn id="95" xr3:uid="{4D61B135-C096-46B4-B449-442714D07A91}" name="Day37" dataDxfId="117"/>
    <tableColumn id="96" xr3:uid="{F441270C-AD04-44E7-9B1B-24C9D6F78DD4}" name="Day38" dataDxfId="116"/>
    <tableColumn id="97" xr3:uid="{8600696F-051D-4456-8AE1-26D08D7C3845}" name="Day39" dataDxfId="115"/>
    <tableColumn id="98" xr3:uid="{966776E9-1998-4A9E-84E0-7406F0C43604}" name="Day40" dataDxfId="114"/>
    <tableColumn id="99" xr3:uid="{60317CD9-3FC8-425F-B42B-F2D0C37E1E3F}" name="Day41" dataDxfId="113"/>
    <tableColumn id="100" xr3:uid="{AD279465-DC3C-4124-98BC-D8FC0CA22AD3}" name="Day42" dataDxfId="112"/>
    <tableColumn id="101" xr3:uid="{0426C9D5-1DA7-4895-B087-33D6B448ACEE}" name="Day43" dataDxfId="111"/>
    <tableColumn id="102" xr3:uid="{15DBB0A3-B2A0-4780-9456-B0E7462EAED9}" name="Day44" dataDxfId="110"/>
    <tableColumn id="103" xr3:uid="{E5616EC9-16E9-4487-98A6-AC444AA37F31}" name="Day45" dataDxfId="109"/>
    <tableColumn id="104" xr3:uid="{096F1CBA-D259-40E9-8CC7-705E29BDE828}" name="Day46" dataDxfId="108"/>
    <tableColumn id="105" xr3:uid="{7F4031A7-5114-4BFE-ADF8-4F264D2B88DD}" name="Day47" dataDxfId="107"/>
    <tableColumn id="106" xr3:uid="{A222AEB2-B07E-4F35-A6DB-5B7394CA1EDE}" name="Day48" dataDxfId="106"/>
    <tableColumn id="107" xr3:uid="{8F03E2B4-8A76-402E-A76A-14EFCA35312D}" name="Day49" dataDxfId="105"/>
    <tableColumn id="108" xr3:uid="{EBC11298-0458-4105-8580-C0EA76C4BBF0}" name="Day50" dataDxfId="104"/>
    <tableColumn id="109" xr3:uid="{139C0BA9-DDC4-4E76-B88B-6356760B801A}" name="Day51" dataDxfId="103"/>
    <tableColumn id="110" xr3:uid="{5291667A-C868-4FE4-A598-FBEE1603FA56}" name="Day52" dataDxfId="102"/>
    <tableColumn id="111" xr3:uid="{58DF26AA-964B-433E-824C-6F663F4B1546}" name="Day53" dataDxfId="101"/>
    <tableColumn id="112" xr3:uid="{D8832252-8531-4C2B-91F3-6564858A33FC}" name="Day54" dataDxfId="100"/>
    <tableColumn id="113" xr3:uid="{6B7E65AA-BB3F-4428-87BC-B5A5D5F93539}" name="Day55" dataDxfId="99"/>
    <tableColumn id="114" xr3:uid="{F1A01469-1B0F-4FCC-A820-DB6C26CE1CE3}" name="Day56" dataDxfId="98"/>
    <tableColumn id="115" xr3:uid="{F990644F-1BDE-418E-A6E5-18BABC1CC8DE}" name="Day57" dataDxfId="97"/>
    <tableColumn id="116" xr3:uid="{209973E3-6E0D-4C69-BFE6-F3719F410117}" name="Day58" dataDxfId="96"/>
    <tableColumn id="117" xr3:uid="{5CAE2B49-871C-41EA-802B-DE5F131757A9}" name="Day59" dataDxfId="95"/>
    <tableColumn id="118" xr3:uid="{58273E1D-C0B7-473B-A4AF-E9D2EBE8FE7D}" name="Day60" dataDxfId="94"/>
    <tableColumn id="119" xr3:uid="{15E2B749-4499-454E-BD7A-4A33555F2C13}" name="Day61" dataDxfId="93"/>
    <tableColumn id="120" xr3:uid="{657F4F0D-4586-4DD6-AA03-A30567C35205}" name="Day62" dataDxfId="92"/>
    <tableColumn id="121" xr3:uid="{335B2364-6269-43F3-9971-6092A77EB492}" name="Day63" dataDxfId="91"/>
    <tableColumn id="122" xr3:uid="{80DFE354-5076-415F-9975-31017A1B10A0}" name="Day64" dataDxfId="90"/>
    <tableColumn id="123" xr3:uid="{2BA4B5AC-B067-4FAC-85F5-1E78A36262E7}" name="Day65" dataDxfId="89"/>
    <tableColumn id="124" xr3:uid="{548DFA5F-EBD5-49BF-A484-EECF747AAF68}" name="Day66" dataDxfId="88"/>
    <tableColumn id="125" xr3:uid="{9B2F0D4F-C5AB-4108-B10C-77AB36758BED}" name="Day67" dataDxfId="87"/>
    <tableColumn id="126" xr3:uid="{508C39A3-BC69-480E-A330-7413395F3A43}" name="Day68" dataDxfId="86"/>
    <tableColumn id="127" xr3:uid="{C17B089B-ED50-4D05-95FF-26F8B2BCA22D}" name="Day69" dataDxfId="85"/>
    <tableColumn id="128" xr3:uid="{77889144-DDF7-48FB-94BC-F49D1FFB0442}" name="Day70" dataDxfId="84"/>
    <tableColumn id="129" xr3:uid="{5526F9EC-4522-4A7C-894A-5D06AD70C872}" name="Day71" dataDxfId="83"/>
    <tableColumn id="130" xr3:uid="{4C7F6AEA-9A51-41D7-BABB-0D9CC069847E}" name="Day72" dataDxfId="82"/>
    <tableColumn id="131" xr3:uid="{CEBD936B-5785-44B3-A8B1-8D963FCFA1B3}" name="Day73" dataDxfId="81"/>
    <tableColumn id="132" xr3:uid="{F5445F39-41AC-4F63-9A77-4F8A831F6AF7}" name="Day74" dataDxfId="80"/>
    <tableColumn id="133" xr3:uid="{FE91E383-98A0-471A-A1E2-644BBEF0EAD4}" name="Day75" dataDxfId="79"/>
    <tableColumn id="134" xr3:uid="{96F4FAD1-AA0A-4937-B759-9C7B70358CD3}" name="Day76" dataDxfId="78"/>
    <tableColumn id="135" xr3:uid="{C5A042C5-13B3-4F7F-B71C-CC75E037B520}" name="Day77" dataDxfId="77"/>
    <tableColumn id="136" xr3:uid="{E36CBCC5-6341-4865-985F-18FEAF2459C6}" name="Day78" dataDxfId="76"/>
    <tableColumn id="137" xr3:uid="{3A3B039F-6F2F-46CF-86F5-3B4700FFAA2A}" name="Day79" dataDxfId="75"/>
    <tableColumn id="138" xr3:uid="{B55DFD11-D981-4811-B8C3-ACFC163FF555}" name="Day80" dataDxfId="74"/>
    <tableColumn id="139" xr3:uid="{616ECE24-6460-4ED0-BEFD-F2F28A470E68}" name="Day81" dataDxfId="73"/>
    <tableColumn id="140" xr3:uid="{9E64FDDF-80D6-4B4E-9A69-1A25B51F7E51}" name="Day82" dataDxfId="72"/>
    <tableColumn id="141" xr3:uid="{DFC9AA00-0A02-4F82-99A3-E2E54E0089DC}" name="Day83" dataDxfId="71"/>
    <tableColumn id="142" xr3:uid="{B5940FE0-ABB7-480D-8D55-42D9356DC52C}" name="Day84" dataDxfId="70"/>
    <tableColumn id="143" xr3:uid="{05C88221-60B7-4BFA-805A-FDC135EDDD03}" name="Day85" dataDxfId="69"/>
    <tableColumn id="144" xr3:uid="{65CB49B9-43CE-472E-B795-B11756F0F05C}" name="Day86" dataDxfId="68"/>
    <tableColumn id="145" xr3:uid="{6B427D7A-378C-4C85-80CC-526F90B91F58}" name="Day87" dataDxfId="67"/>
    <tableColumn id="146" xr3:uid="{3E9752F5-A45A-4B02-81B8-F2A7E5D1138C}" name="Day88" dataDxfId="66"/>
    <tableColumn id="147" xr3:uid="{6C2A65EC-4F68-4EC7-A728-1CD8574B3973}" name="Day89" dataDxfId="65"/>
    <tableColumn id="148" xr3:uid="{9BE10D03-7304-4CA1-A624-E8E6AC6D7BA6}" name="Day90" dataDxfId="64"/>
    <tableColumn id="149" xr3:uid="{5F8210C0-2004-4269-B831-B0953E521702}" name="Day91" dataDxfId="63"/>
    <tableColumn id="150" xr3:uid="{AF893E68-CA3A-4275-AB3A-88314C00A0E9}" name="Day92" dataDxfId="62"/>
    <tableColumn id="151" xr3:uid="{A36D1281-2CBE-48E9-A94D-C90900057453}" name="Day93" dataDxfId="61"/>
    <tableColumn id="152" xr3:uid="{D9B37E2D-30E6-469E-BEBA-20A7016D004C}" name="Day94" dataDxfId="60"/>
    <tableColumn id="153" xr3:uid="{29E6847A-8F8E-402C-9863-15462E67882C}" name="Day95" dataDxfId="59"/>
    <tableColumn id="154" xr3:uid="{FD781460-E33C-4BB4-9FE7-003C4DD45F44}" name="Day96" dataDxfId="58"/>
    <tableColumn id="155" xr3:uid="{9AD3BDF8-4ECA-457A-B1A1-98B0793A1580}" name="Day97" dataDxfId="57"/>
    <tableColumn id="156" xr3:uid="{AFBDA3BD-97C3-440F-B06B-2FA85E7FB9A5}" name="Day98" dataDxfId="56"/>
    <tableColumn id="157" xr3:uid="{34E2C30A-801A-4A3E-8354-251FF5664454}" name="Day99" dataDxfId="55"/>
    <tableColumn id="158" xr3:uid="{336380FB-155F-4B4B-8FFF-CB3D76562220}" name="Day100" dataDxfId="54"/>
    <tableColumn id="159" xr3:uid="{C65C0A42-1132-48B2-98A7-BF37A4781A64}" name="Day101" dataDxfId="53"/>
    <tableColumn id="160" xr3:uid="{E4E66F7F-2FE3-4CF9-B74B-8F1B34BDDE0C}" name="Day102" dataDxfId="52"/>
    <tableColumn id="161" xr3:uid="{9B7F8106-9C7D-41BC-B4F3-5EB6B40DDD7F}" name="Day103" dataDxfId="51"/>
    <tableColumn id="162" xr3:uid="{04DC9154-89DE-4129-AB75-7C3B15E20A6A}" name="Day104" dataDxfId="50"/>
    <tableColumn id="163" xr3:uid="{5BD5B074-4BCC-4E80-897D-691D7AE9A829}" name="Day105" dataDxfId="49"/>
    <tableColumn id="164" xr3:uid="{F397AABE-46C9-431B-BE63-DF6E9F8DCC4D}" name="Day106" dataDxfId="48"/>
    <tableColumn id="165" xr3:uid="{CD6653C3-BD08-4D5A-A245-C1CB9616DD44}" name="Day107" dataDxfId="47"/>
    <tableColumn id="166" xr3:uid="{95C63276-6200-4AAC-8C2C-D4BACC2AAAF5}" name="Day108" dataDxfId="46"/>
    <tableColumn id="167" xr3:uid="{C5CE47AD-05AB-46CA-A831-33515A427FE6}" name="Day109" dataDxfId="45"/>
    <tableColumn id="168" xr3:uid="{6626D8C1-C3D5-4850-BF49-C3868E081444}" name="Day110" dataDxfId="44"/>
    <tableColumn id="169" xr3:uid="{6E9D3E6A-A08E-45FB-938D-AAF4C1471C3D}" name="Day111" dataDxfId="43"/>
    <tableColumn id="170" xr3:uid="{86693CCF-9E75-4441-AF75-18C0927151D3}" name="Day112" dataDxfId="42"/>
    <tableColumn id="171" xr3:uid="{0863EB52-5036-41DA-8357-5F8EABE188EB}" name="Day113" dataDxfId="41"/>
    <tableColumn id="172" xr3:uid="{4757A76A-4CC3-4E48-BEC9-A55D0C8D8039}" name="Day114" dataDxfId="40"/>
    <tableColumn id="173" xr3:uid="{34EF9C7B-1771-485D-91D6-CAEE51904CDA}" name="Day115" dataDxfId="39"/>
    <tableColumn id="174" xr3:uid="{029C61C0-B00C-4F3F-A9E7-A3A0671F6890}" name="Day116" dataDxfId="38"/>
    <tableColumn id="175" xr3:uid="{24D37103-C767-4149-97D8-F457BBA9CEB2}" name="Day117" dataDxfId="37"/>
    <tableColumn id="176" xr3:uid="{4602B40F-B17A-4B70-88D8-A4D871BF17BE}" name="Day118" dataDxfId="36"/>
    <tableColumn id="177" xr3:uid="{4AC5025F-6E29-4585-A572-AA57802CD7FA}" name="Day119" dataDxfId="35"/>
    <tableColumn id="178" xr3:uid="{BAEC5CF4-C711-4074-8855-225A2027652F}" name="Day120" dataDxfId="34"/>
    <tableColumn id="179" xr3:uid="{BEAECA0D-90A4-4C2C-A5C6-D0AB1E5410BE}" name="Day121" dataDxfId="33"/>
    <tableColumn id="180" xr3:uid="{71465F34-FCB9-477A-84D6-B459440324D4}" name="Day122" dataDxfId="32"/>
    <tableColumn id="181" xr3:uid="{9044A7F2-DDCC-4074-90FB-472C60715BE4}" name="Day123" dataDxfId="31"/>
    <tableColumn id="182" xr3:uid="{44DCD401-A89C-44C7-890F-402CA0993C5F}" name="Day124" dataDxfId="30"/>
    <tableColumn id="183" xr3:uid="{66D0CCA9-784A-42CA-85D3-C49F3FDCAB4D}" name="Day125" dataDxfId="29"/>
    <tableColumn id="184" xr3:uid="{249EA5C4-7357-4B5F-A6B2-91D8B13A4B2E}" name="Day126" dataDxfId="28"/>
    <tableColumn id="185" xr3:uid="{8631B70D-8338-4521-8BED-6B71F8D9854D}" name="Day127" dataDxfId="27"/>
    <tableColumn id="186" xr3:uid="{47B9C21F-6C4B-49F0-937D-0D31179C55C0}" name="Day128" dataDxfId="26"/>
    <tableColumn id="187" xr3:uid="{9C11829C-AEC9-4D3C-AF47-8B8864D8CC57}" name="Day129" dataDxfId="25"/>
    <tableColumn id="188" xr3:uid="{047265F3-85BE-4D36-9616-3E184D19FA95}" name="Day130" dataDxfId="24"/>
    <tableColumn id="189" xr3:uid="{0E66AF09-8C6C-402D-A5D1-8821992508E9}" name="Day131" dataDxfId="23"/>
    <tableColumn id="190" xr3:uid="{DB416100-3A21-4782-AFCB-742FEE3212BF}" name="Day132" dataDxfId="22"/>
    <tableColumn id="191" xr3:uid="{CA6CD078-53FD-4ACD-9040-CE834619DA76}" name="Day133" dataDxfId="21"/>
    <tableColumn id="192" xr3:uid="{2A039C9B-C433-42DD-9121-10B7111F1E2C}" name="Day134" dataDxfId="20"/>
    <tableColumn id="193" xr3:uid="{154920D6-9B94-4F7E-93AE-9CB939242549}" name="Day135" dataDxfId="19"/>
    <tableColumn id="194" xr3:uid="{EA719434-F125-41C2-88A2-1F5AE0AF1EF1}" name="Day136" dataDxfId="18"/>
    <tableColumn id="195" xr3:uid="{0F026794-6450-4C26-A849-445D0DAD376D}" name="Day137" dataDxfId="17"/>
    <tableColumn id="196" xr3:uid="{88070DDF-6E03-43DB-BEBA-0CD2E6D9B9BA}" name="Day138" dataDxfId="16"/>
    <tableColumn id="197" xr3:uid="{2C26CA93-EC0E-4EC8-9692-09636D14876B}" name="Day139" dataDxfId="15"/>
    <tableColumn id="198" xr3:uid="{9F15BB23-7815-49D3-9BFF-338B7CF2550E}" name="Day140" dataDxfId="14"/>
    <tableColumn id="199" xr3:uid="{022B459F-24B2-4074-963E-4598A3F65244}" name="Day141" dataDxfId="13"/>
    <tableColumn id="200" xr3:uid="{1A099C9A-9945-42A8-94BC-F5D659F08EBD}" name="Day142" dataDxfId="12"/>
    <tableColumn id="201" xr3:uid="{D1459FAB-5C0C-4BFB-A503-2B1F73559CEF}" name="Day143" dataDxfId="11"/>
    <tableColumn id="202" xr3:uid="{3DEA2F73-DE72-4C60-8CAB-99779D8D559A}" name="Day144" dataDxfId="10"/>
    <tableColumn id="203" xr3:uid="{B5277D6A-D3A4-48B4-BE09-B23D9501207A}" name="Day145" dataDxfId="9"/>
    <tableColumn id="204" xr3:uid="{6103C4B9-1CE5-43D7-B743-38163DA3ED82}" name="Day146" dataDxfId="8"/>
    <tableColumn id="205" xr3:uid="{147B8043-1D94-4800-8D8E-DB89B1735DD2}" name="Day147" dataDxfId="7"/>
    <tableColumn id="206" xr3:uid="{A1DE4E76-408D-428E-B314-C0E4135972A7}" name="Day148" dataDxfId="6"/>
    <tableColumn id="207" xr3:uid="{5354F766-0F49-4B44-907A-4C623A87A316}" name="Day149" dataDxfId="5"/>
    <tableColumn id="208" xr3:uid="{DA009DFC-60D6-4005-8260-20DD8D1DC58C}" name="Day150" dataDxfId="4"/>
    <tableColumn id="209" xr3:uid="{58DDB97A-A627-4BB2-B6D8-B9763B77D7F9}" name="Column21" dataDxfId="3"/>
    <tableColumn id="210" xr3:uid="{4E3ACD49-9703-415B-BA8A-8935BC7383B4}" name="Column22" dataDxfId="2"/>
    <tableColumn id="211" xr3:uid="{3DF68721-FAFE-47BD-A8AC-39AB60A9ABE8}" name="Column2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9-30T02:42:30.53" personId="{225171EE-44CF-4013-B2DB-53FC08B45FC1}" id="{659B3E8C-63F9-48C2-89AA-2995C24F7FE8}">
    <text>Result of %NBD  @ sheet NBD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5-09-30T02:42:30.53" personId="{225171EE-44CF-4013-B2DB-53FC08B45FC1}" id="{A34D431F-FEA8-4C9F-B1BE-F8F4C4D6F1AF}">
    <text>Result of %NBD  @ sheet NBD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5-09-30T02:42:30.53" personId="{225171EE-44CF-4013-B2DB-53FC08B45FC1}" id="{5D5C8C1A-6AE4-44C0-BC3B-9CD9E46CDE23}">
    <text>Result of %NBD  @ sheet NBD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5-09-30T02:42:30.53" personId="{225171EE-44CF-4013-B2DB-53FC08B45FC1}" id="{62B08312-6B00-4ECA-98C2-33B3E667D0EA}">
    <text>Result of %NBD  @ sheet NBD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2" dT="2025-09-30T02:42:30.53" personId="{225171EE-44CF-4013-B2DB-53FC08B45FC1}" id="{624F61DE-7925-43BE-9DA6-316862C68719}">
    <text>Result of %NBD  @ sheet NBD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" dT="2025-09-30T02:42:30.53" personId="{225171EE-44CF-4013-B2DB-53FC08B45FC1}" id="{ADDB7048-5E83-4659-B08E-BCA3A44E003C}">
    <text>Result of %NBD  @ sheet NBD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1" dT="2025-09-30T02:42:30.53" personId="{225171EE-44CF-4013-B2DB-53FC08B45FC1}" id="{60A9C55C-C1CF-49B4-BB0B-9A13677D90DD}">
    <text>Result of %NBD  @ sheet NBD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CC06-BA90-4F08-B1B0-A4885E9CCD06}">
  <sheetPr>
    <tabColor theme="2" tint="-0.499984740745262"/>
  </sheetPr>
  <dimension ref="A1:GZ72"/>
  <sheetViews>
    <sheetView workbookViewId="0">
      <selection sqref="A1:A3"/>
    </sheetView>
  </sheetViews>
  <sheetFormatPr defaultColWidth="9.140625" defaultRowHeight="15" x14ac:dyDescent="0.25"/>
  <cols>
    <col min="1" max="1" width="5.7109375" style="23" customWidth="1"/>
    <col min="2" max="2" width="13.7109375" style="37" customWidth="1"/>
    <col min="3" max="3" width="19.7109375" style="23" customWidth="1"/>
    <col min="4" max="4" width="7.28515625" style="23" customWidth="1"/>
    <col min="5" max="6" width="8.85546875" style="23" customWidth="1"/>
    <col min="7" max="8" width="14" style="23" customWidth="1"/>
    <col min="9" max="14" width="10.28515625" style="23" customWidth="1"/>
    <col min="15" max="16" width="13.28515625" style="23" customWidth="1"/>
    <col min="17" max="20" width="10.28515625" style="23" customWidth="1"/>
    <col min="21" max="22" width="8.85546875" style="23" bestFit="1" customWidth="1"/>
    <col min="23" max="23" width="14.42578125" style="23" customWidth="1"/>
    <col min="24" max="24" width="13.5703125" style="23" customWidth="1"/>
    <col min="25" max="25" width="17" style="23" customWidth="1"/>
    <col min="26" max="26" width="10.28515625" style="23" customWidth="1"/>
    <col min="27" max="27" width="10.7109375" style="23" customWidth="1"/>
    <col min="28" max="28" width="8.85546875" style="23" bestFit="1" customWidth="1"/>
    <col min="29" max="30" width="8.140625" style="23" customWidth="1"/>
    <col min="31" max="31" width="7.28515625" style="23" customWidth="1"/>
    <col min="32" max="32" width="9.140625" style="23" customWidth="1"/>
    <col min="33" max="33" width="8.140625" style="23" customWidth="1"/>
    <col min="34" max="34" width="19.7109375" style="23" customWidth="1"/>
    <col min="35" max="16384" width="9.140625" style="23"/>
  </cols>
  <sheetData>
    <row r="1" spans="1:208" ht="14.45" customHeight="1" x14ac:dyDescent="0.25">
      <c r="A1" s="180" t="s">
        <v>38</v>
      </c>
      <c r="B1" s="182" t="s">
        <v>39</v>
      </c>
      <c r="C1" s="183" t="s">
        <v>40</v>
      </c>
      <c r="D1" s="184" t="s">
        <v>41</v>
      </c>
      <c r="E1" s="184"/>
      <c r="F1" s="184"/>
      <c r="G1" s="184"/>
      <c r="H1" s="184"/>
      <c r="I1" s="184"/>
      <c r="J1" s="184"/>
      <c r="K1" s="184"/>
      <c r="L1" s="184"/>
      <c r="M1" s="184"/>
      <c r="N1" s="178" t="s">
        <v>42</v>
      </c>
      <c r="O1" s="178"/>
      <c r="P1" s="178"/>
      <c r="Q1" s="178"/>
      <c r="R1" s="178"/>
      <c r="S1" s="178"/>
      <c r="T1" s="178"/>
      <c r="U1" s="178"/>
      <c r="V1" s="183" t="s">
        <v>43</v>
      </c>
      <c r="W1" s="177" t="s">
        <v>44</v>
      </c>
      <c r="X1" s="180" t="s">
        <v>45</v>
      </c>
      <c r="Y1" s="180" t="s">
        <v>46</v>
      </c>
      <c r="Z1" s="180"/>
      <c r="AA1" s="180"/>
      <c r="AB1" s="180"/>
      <c r="AC1" s="177" t="s">
        <v>47</v>
      </c>
      <c r="AD1" s="177" t="s">
        <v>48</v>
      </c>
      <c r="AE1" s="181" t="s">
        <v>49</v>
      </c>
      <c r="AF1" s="177" t="s">
        <v>50</v>
      </c>
      <c r="AG1" s="177" t="s">
        <v>4</v>
      </c>
      <c r="AH1" s="177" t="s">
        <v>51</v>
      </c>
      <c r="AI1" s="180" t="s">
        <v>52</v>
      </c>
      <c r="AJ1" s="180"/>
      <c r="AK1" s="180" t="s">
        <v>6</v>
      </c>
      <c r="AL1" s="177" t="s">
        <v>53</v>
      </c>
      <c r="AM1" s="177" t="s">
        <v>8</v>
      </c>
      <c r="AN1" s="177" t="s">
        <v>9</v>
      </c>
      <c r="AO1" s="177" t="s">
        <v>10</v>
      </c>
      <c r="AP1" s="177" t="s">
        <v>11</v>
      </c>
      <c r="AQ1" s="177" t="s">
        <v>12</v>
      </c>
      <c r="AR1" s="177" t="s">
        <v>13</v>
      </c>
      <c r="AS1" s="177" t="s">
        <v>14</v>
      </c>
      <c r="AT1" s="177" t="s">
        <v>15</v>
      </c>
      <c r="AU1" s="177" t="s">
        <v>16</v>
      </c>
      <c r="AV1" s="177" t="s">
        <v>17</v>
      </c>
      <c r="AW1" s="177" t="s">
        <v>18</v>
      </c>
      <c r="AX1" s="177" t="s">
        <v>19</v>
      </c>
      <c r="AY1" s="177" t="s">
        <v>20</v>
      </c>
      <c r="AZ1" s="177" t="s">
        <v>21</v>
      </c>
      <c r="BA1" s="177" t="s">
        <v>22</v>
      </c>
      <c r="BB1" s="177" t="s">
        <v>23</v>
      </c>
      <c r="BC1" s="177" t="s">
        <v>24</v>
      </c>
      <c r="BD1" s="177" t="s">
        <v>25</v>
      </c>
      <c r="BE1" s="177" t="s">
        <v>26</v>
      </c>
      <c r="BF1" s="177" t="s">
        <v>54</v>
      </c>
      <c r="BG1" s="177" t="s">
        <v>55</v>
      </c>
      <c r="BH1" s="177" t="s">
        <v>56</v>
      </c>
      <c r="BI1" s="177" t="s">
        <v>57</v>
      </c>
      <c r="BJ1" s="177" t="s">
        <v>58</v>
      </c>
      <c r="BK1" s="177" t="s">
        <v>59</v>
      </c>
      <c r="BL1" s="177" t="s">
        <v>60</v>
      </c>
      <c r="BM1" s="177" t="s">
        <v>61</v>
      </c>
      <c r="BN1" s="177" t="s">
        <v>62</v>
      </c>
      <c r="BO1" s="177" t="s">
        <v>63</v>
      </c>
      <c r="BP1" s="177" t="s">
        <v>64</v>
      </c>
      <c r="BQ1" s="177" t="s">
        <v>65</v>
      </c>
      <c r="BR1" s="177" t="s">
        <v>66</v>
      </c>
      <c r="BS1" s="177" t="s">
        <v>67</v>
      </c>
      <c r="BT1" s="177" t="s">
        <v>68</v>
      </c>
      <c r="BU1" s="177" t="s">
        <v>69</v>
      </c>
      <c r="BV1" s="177" t="s">
        <v>70</v>
      </c>
      <c r="BW1" s="177" t="s">
        <v>71</v>
      </c>
      <c r="BX1" s="177" t="s">
        <v>72</v>
      </c>
      <c r="BY1" s="177" t="s">
        <v>73</v>
      </c>
      <c r="BZ1" s="177" t="s">
        <v>74</v>
      </c>
      <c r="CA1" s="177" t="s">
        <v>75</v>
      </c>
      <c r="CB1" s="177" t="s">
        <v>76</v>
      </c>
      <c r="CC1" s="177" t="s">
        <v>77</v>
      </c>
      <c r="CD1" s="177" t="s">
        <v>78</v>
      </c>
      <c r="CE1" s="177" t="s">
        <v>79</v>
      </c>
      <c r="CF1" s="177" t="s">
        <v>80</v>
      </c>
      <c r="CG1" s="177" t="s">
        <v>81</v>
      </c>
      <c r="CH1" s="177" t="s">
        <v>82</v>
      </c>
      <c r="CI1" s="177" t="s">
        <v>83</v>
      </c>
      <c r="CJ1" s="177" t="s">
        <v>84</v>
      </c>
      <c r="CK1" s="177" t="s">
        <v>85</v>
      </c>
      <c r="CL1" s="177" t="s">
        <v>86</v>
      </c>
      <c r="CM1" s="177" t="s">
        <v>87</v>
      </c>
      <c r="CN1" s="177" t="s">
        <v>88</v>
      </c>
      <c r="CO1" s="177" t="s">
        <v>89</v>
      </c>
      <c r="CP1" s="177" t="s">
        <v>90</v>
      </c>
      <c r="CQ1" s="177" t="s">
        <v>91</v>
      </c>
      <c r="CR1" s="177" t="s">
        <v>92</v>
      </c>
      <c r="CS1" s="177" t="s">
        <v>93</v>
      </c>
      <c r="CT1" s="177" t="s">
        <v>94</v>
      </c>
      <c r="CU1" s="177" t="s">
        <v>95</v>
      </c>
      <c r="CV1" s="177" t="s">
        <v>96</v>
      </c>
      <c r="CW1" s="177" t="s">
        <v>97</v>
      </c>
      <c r="CX1" s="177" t="s">
        <v>98</v>
      </c>
      <c r="CY1" s="177" t="s">
        <v>99</v>
      </c>
      <c r="CZ1" s="177" t="s">
        <v>100</v>
      </c>
      <c r="DA1" s="177" t="s">
        <v>101</v>
      </c>
      <c r="DB1" s="177" t="s">
        <v>102</v>
      </c>
      <c r="DC1" s="177" t="s">
        <v>103</v>
      </c>
      <c r="DD1" s="177" t="s">
        <v>104</v>
      </c>
      <c r="DE1" s="177" t="s">
        <v>105</v>
      </c>
      <c r="DF1" s="177" t="s">
        <v>106</v>
      </c>
      <c r="DG1" s="177" t="s">
        <v>107</v>
      </c>
      <c r="DH1" s="177" t="s">
        <v>108</v>
      </c>
      <c r="DI1" s="177" t="s">
        <v>109</v>
      </c>
      <c r="DJ1" s="177" t="s">
        <v>110</v>
      </c>
      <c r="DK1" s="177" t="s">
        <v>111</v>
      </c>
      <c r="DL1" s="177" t="s">
        <v>112</v>
      </c>
      <c r="DM1" s="177" t="s">
        <v>113</v>
      </c>
      <c r="DN1" s="177" t="s">
        <v>114</v>
      </c>
      <c r="DO1" s="177" t="s">
        <v>115</v>
      </c>
      <c r="DP1" s="177" t="s">
        <v>116</v>
      </c>
      <c r="DQ1" s="177" t="s">
        <v>117</v>
      </c>
      <c r="DR1" s="177" t="s">
        <v>118</v>
      </c>
      <c r="DS1" s="177" t="s">
        <v>119</v>
      </c>
      <c r="DT1" s="177" t="s">
        <v>120</v>
      </c>
      <c r="DU1" s="177" t="s">
        <v>121</v>
      </c>
      <c r="DV1" s="177" t="s">
        <v>122</v>
      </c>
      <c r="DW1" s="177" t="s">
        <v>123</v>
      </c>
      <c r="DX1" s="177" t="s">
        <v>124</v>
      </c>
      <c r="DY1" s="177" t="s">
        <v>125</v>
      </c>
      <c r="DZ1" s="177" t="s">
        <v>126</v>
      </c>
      <c r="EA1" s="177" t="s">
        <v>127</v>
      </c>
      <c r="EB1" s="177" t="s">
        <v>128</v>
      </c>
      <c r="EC1" s="177" t="s">
        <v>129</v>
      </c>
      <c r="ED1" s="177" t="s">
        <v>130</v>
      </c>
      <c r="EE1" s="177" t="s">
        <v>131</v>
      </c>
      <c r="EF1" s="177" t="s">
        <v>132</v>
      </c>
      <c r="EG1" s="177" t="s">
        <v>133</v>
      </c>
      <c r="EH1" s="177" t="s">
        <v>134</v>
      </c>
      <c r="EI1" s="177" t="s">
        <v>135</v>
      </c>
      <c r="EJ1" s="177" t="s">
        <v>136</v>
      </c>
      <c r="EK1" s="177" t="s">
        <v>137</v>
      </c>
      <c r="EL1" s="177" t="s">
        <v>138</v>
      </c>
      <c r="EM1" s="177" t="s">
        <v>139</v>
      </c>
      <c r="EN1" s="177" t="s">
        <v>140</v>
      </c>
      <c r="EO1" s="177" t="s">
        <v>141</v>
      </c>
      <c r="EP1" s="177" t="s">
        <v>142</v>
      </c>
      <c r="EQ1" s="177" t="s">
        <v>143</v>
      </c>
      <c r="ER1" s="177" t="s">
        <v>144</v>
      </c>
      <c r="ES1" s="177" t="s">
        <v>145</v>
      </c>
      <c r="ET1" s="177" t="s">
        <v>146</v>
      </c>
      <c r="EU1" s="177" t="s">
        <v>147</v>
      </c>
      <c r="EV1" s="177" t="s">
        <v>148</v>
      </c>
      <c r="EW1" s="177" t="s">
        <v>149</v>
      </c>
      <c r="EX1" s="177" t="s">
        <v>150</v>
      </c>
      <c r="EY1" s="177" t="s">
        <v>151</v>
      </c>
      <c r="EZ1" s="177" t="s">
        <v>152</v>
      </c>
      <c r="FA1" s="177" t="s">
        <v>153</v>
      </c>
      <c r="FB1" s="177" t="s">
        <v>154</v>
      </c>
      <c r="FC1" s="177" t="s">
        <v>155</v>
      </c>
      <c r="FD1" s="177" t="s">
        <v>156</v>
      </c>
      <c r="FE1" s="177" t="s">
        <v>157</v>
      </c>
      <c r="FF1" s="177" t="s">
        <v>158</v>
      </c>
      <c r="FG1" s="177" t="s">
        <v>159</v>
      </c>
      <c r="FH1" s="177" t="s">
        <v>160</v>
      </c>
      <c r="FI1" s="177" t="s">
        <v>161</v>
      </c>
      <c r="FJ1" s="177" t="s">
        <v>162</v>
      </c>
      <c r="FK1" s="177" t="s">
        <v>163</v>
      </c>
      <c r="FL1" s="177" t="s">
        <v>164</v>
      </c>
      <c r="FM1" s="177" t="s">
        <v>165</v>
      </c>
      <c r="FN1" s="177" t="s">
        <v>166</v>
      </c>
      <c r="FO1" s="177" t="s">
        <v>167</v>
      </c>
      <c r="FP1" s="177" t="s">
        <v>168</v>
      </c>
      <c r="FQ1" s="177" t="s">
        <v>169</v>
      </c>
      <c r="FR1" s="177" t="s">
        <v>170</v>
      </c>
      <c r="FS1" s="177" t="s">
        <v>171</v>
      </c>
      <c r="FT1" s="177" t="s">
        <v>172</v>
      </c>
      <c r="FU1" s="177" t="s">
        <v>173</v>
      </c>
      <c r="FV1" s="177" t="s">
        <v>174</v>
      </c>
      <c r="FW1" s="177" t="s">
        <v>175</v>
      </c>
      <c r="FX1" s="177" t="s">
        <v>176</v>
      </c>
      <c r="FY1" s="177" t="s">
        <v>177</v>
      </c>
      <c r="FZ1" s="177" t="s">
        <v>178</v>
      </c>
      <c r="GA1" s="177" t="s">
        <v>179</v>
      </c>
      <c r="GB1" s="177" t="s">
        <v>180</v>
      </c>
      <c r="GC1" s="177" t="s">
        <v>181</v>
      </c>
      <c r="GD1" s="177" t="s">
        <v>182</v>
      </c>
      <c r="GE1" s="177" t="s">
        <v>183</v>
      </c>
      <c r="GF1" s="177" t="s">
        <v>184</v>
      </c>
      <c r="GG1" s="177" t="s">
        <v>185</v>
      </c>
      <c r="GH1" s="177" t="s">
        <v>186</v>
      </c>
      <c r="GI1" s="177" t="s">
        <v>187</v>
      </c>
      <c r="GJ1" s="177" t="s">
        <v>188</v>
      </c>
      <c r="GK1" s="177" t="s">
        <v>189</v>
      </c>
      <c r="GL1" s="177" t="s">
        <v>190</v>
      </c>
      <c r="GM1" s="177" t="s">
        <v>191</v>
      </c>
      <c r="GN1" s="177" t="s">
        <v>192</v>
      </c>
      <c r="GO1" s="177" t="s">
        <v>193</v>
      </c>
      <c r="GP1" s="177" t="s">
        <v>194</v>
      </c>
      <c r="GQ1" s="177" t="s">
        <v>195</v>
      </c>
      <c r="GR1" s="177" t="s">
        <v>196</v>
      </c>
      <c r="GS1" s="177" t="s">
        <v>197</v>
      </c>
      <c r="GT1" s="177" t="s">
        <v>198</v>
      </c>
      <c r="GU1" s="177" t="s">
        <v>199</v>
      </c>
      <c r="GV1" s="177" t="s">
        <v>200</v>
      </c>
      <c r="GW1" s="177" t="s">
        <v>201</v>
      </c>
      <c r="GX1" s="177" t="s">
        <v>202</v>
      </c>
      <c r="GY1" s="177" t="s">
        <v>203</v>
      </c>
      <c r="GZ1" s="177" t="s">
        <v>204</v>
      </c>
    </row>
    <row r="2" spans="1:208" ht="31.15" customHeight="1" x14ac:dyDescent="0.25">
      <c r="A2" s="180"/>
      <c r="B2" s="182"/>
      <c r="C2" s="183"/>
      <c r="D2" s="178" t="s">
        <v>205</v>
      </c>
      <c r="E2" s="178"/>
      <c r="F2" s="179" t="s">
        <v>206</v>
      </c>
      <c r="G2" s="179"/>
      <c r="H2" s="178" t="s">
        <v>207</v>
      </c>
      <c r="I2" s="178"/>
      <c r="J2" s="178" t="s">
        <v>208</v>
      </c>
      <c r="K2" s="178"/>
      <c r="L2" s="178" t="s">
        <v>209</v>
      </c>
      <c r="M2" s="178"/>
      <c r="N2" s="179" t="s">
        <v>206</v>
      </c>
      <c r="O2" s="179"/>
      <c r="P2" s="178" t="s">
        <v>207</v>
      </c>
      <c r="Q2" s="178"/>
      <c r="R2" s="178" t="s">
        <v>208</v>
      </c>
      <c r="S2" s="178"/>
      <c r="T2" s="178" t="s">
        <v>209</v>
      </c>
      <c r="U2" s="178"/>
      <c r="V2" s="183"/>
      <c r="W2" s="177"/>
      <c r="X2" s="180"/>
      <c r="Y2" s="177" t="s">
        <v>210</v>
      </c>
      <c r="Z2" s="180" t="s">
        <v>211</v>
      </c>
      <c r="AA2" s="180"/>
      <c r="AB2" s="180"/>
      <c r="AC2" s="177"/>
      <c r="AD2" s="177"/>
      <c r="AE2" s="181"/>
      <c r="AF2" s="177"/>
      <c r="AG2" s="177"/>
      <c r="AH2" s="177"/>
      <c r="AI2" s="20" t="s">
        <v>212</v>
      </c>
      <c r="AJ2" s="20" t="s">
        <v>213</v>
      </c>
      <c r="AK2" s="180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7"/>
      <c r="BQ2" s="177"/>
      <c r="BR2" s="177"/>
      <c r="BS2" s="177"/>
      <c r="BT2" s="177"/>
      <c r="BU2" s="177"/>
      <c r="BV2" s="177"/>
      <c r="BW2" s="177"/>
      <c r="BX2" s="177"/>
      <c r="BY2" s="177"/>
      <c r="BZ2" s="177"/>
      <c r="CA2" s="177"/>
      <c r="CB2" s="177"/>
      <c r="CC2" s="177"/>
      <c r="CD2" s="177"/>
      <c r="CE2" s="177"/>
      <c r="CF2" s="177"/>
      <c r="CG2" s="177"/>
      <c r="CH2" s="177"/>
      <c r="CI2" s="177"/>
      <c r="CJ2" s="177"/>
      <c r="CK2" s="177"/>
      <c r="CL2" s="177"/>
      <c r="CM2" s="177"/>
      <c r="CN2" s="177"/>
      <c r="CO2" s="177"/>
      <c r="CP2" s="177"/>
      <c r="CQ2" s="177"/>
      <c r="CR2" s="177"/>
      <c r="CS2" s="177"/>
      <c r="CT2" s="177"/>
      <c r="CU2" s="177"/>
      <c r="CV2" s="177"/>
      <c r="CW2" s="177"/>
      <c r="CX2" s="177"/>
      <c r="CY2" s="177"/>
      <c r="CZ2" s="177"/>
      <c r="DA2" s="177"/>
      <c r="DB2" s="177"/>
      <c r="DC2" s="177"/>
      <c r="DD2" s="177"/>
      <c r="DE2" s="177"/>
      <c r="DF2" s="177"/>
      <c r="DG2" s="177"/>
      <c r="DH2" s="177"/>
      <c r="DI2" s="177"/>
      <c r="DJ2" s="177"/>
      <c r="DK2" s="177"/>
      <c r="DL2" s="177"/>
      <c r="DM2" s="177"/>
      <c r="DN2" s="177"/>
      <c r="DO2" s="177"/>
      <c r="DP2" s="177"/>
      <c r="DQ2" s="177"/>
      <c r="DR2" s="177"/>
      <c r="DS2" s="177"/>
      <c r="DT2" s="177"/>
      <c r="DU2" s="177"/>
      <c r="DV2" s="177"/>
      <c r="DW2" s="177"/>
      <c r="DX2" s="177"/>
      <c r="DY2" s="177"/>
      <c r="DZ2" s="177"/>
      <c r="EA2" s="177"/>
      <c r="EB2" s="177"/>
      <c r="EC2" s="177"/>
      <c r="ED2" s="177"/>
      <c r="EE2" s="177"/>
      <c r="EF2" s="177"/>
      <c r="EG2" s="177"/>
      <c r="EH2" s="177"/>
      <c r="EI2" s="177"/>
      <c r="EJ2" s="177"/>
      <c r="EK2" s="177"/>
      <c r="EL2" s="177"/>
      <c r="EM2" s="177"/>
      <c r="EN2" s="177"/>
      <c r="EO2" s="177"/>
      <c r="EP2" s="177"/>
      <c r="EQ2" s="177"/>
      <c r="ER2" s="177"/>
      <c r="ES2" s="177"/>
      <c r="ET2" s="177"/>
      <c r="EU2" s="177"/>
      <c r="EV2" s="177"/>
      <c r="EW2" s="177"/>
      <c r="EX2" s="177"/>
      <c r="EY2" s="177"/>
      <c r="EZ2" s="177"/>
      <c r="FA2" s="177"/>
      <c r="FB2" s="177"/>
      <c r="FC2" s="177"/>
      <c r="FD2" s="177"/>
      <c r="FE2" s="177"/>
      <c r="FF2" s="177"/>
      <c r="FG2" s="177"/>
      <c r="FH2" s="177"/>
      <c r="FI2" s="177"/>
      <c r="FJ2" s="177"/>
      <c r="FK2" s="177"/>
      <c r="FL2" s="177"/>
      <c r="FM2" s="177"/>
      <c r="FN2" s="177"/>
      <c r="FO2" s="177"/>
      <c r="FP2" s="177"/>
      <c r="FQ2" s="177"/>
      <c r="FR2" s="177"/>
      <c r="FS2" s="177"/>
      <c r="FT2" s="177"/>
      <c r="FU2" s="177"/>
      <c r="FV2" s="177"/>
      <c r="FW2" s="177"/>
      <c r="FX2" s="177"/>
      <c r="FY2" s="177"/>
      <c r="FZ2" s="177"/>
      <c r="GA2" s="177"/>
      <c r="GB2" s="177"/>
      <c r="GC2" s="177"/>
      <c r="GD2" s="177"/>
      <c r="GE2" s="177"/>
      <c r="GF2" s="177"/>
      <c r="GG2" s="177"/>
      <c r="GH2" s="177"/>
      <c r="GI2" s="177"/>
      <c r="GJ2" s="177"/>
      <c r="GK2" s="177"/>
      <c r="GL2" s="177"/>
      <c r="GM2" s="177"/>
      <c r="GN2" s="177"/>
      <c r="GO2" s="177"/>
      <c r="GP2" s="177"/>
      <c r="GQ2" s="177"/>
      <c r="GR2" s="177"/>
      <c r="GS2" s="177"/>
      <c r="GT2" s="177"/>
      <c r="GU2" s="177"/>
      <c r="GV2" s="177"/>
      <c r="GW2" s="177"/>
      <c r="GX2" s="177"/>
      <c r="GY2" s="177"/>
      <c r="GZ2" s="177"/>
    </row>
    <row r="3" spans="1:208" ht="22.9" customHeight="1" x14ac:dyDescent="0.25">
      <c r="A3" s="180"/>
      <c r="B3" s="182"/>
      <c r="C3" s="183"/>
      <c r="D3" s="35" t="s">
        <v>214</v>
      </c>
      <c r="E3" s="35" t="s">
        <v>215</v>
      </c>
      <c r="F3" s="35" t="s">
        <v>214</v>
      </c>
      <c r="G3" s="35" t="s">
        <v>215</v>
      </c>
      <c r="H3" s="35" t="s">
        <v>214</v>
      </c>
      <c r="I3" s="35" t="s">
        <v>215</v>
      </c>
      <c r="J3" s="35" t="s">
        <v>214</v>
      </c>
      <c r="K3" s="35" t="s">
        <v>215</v>
      </c>
      <c r="L3" s="35" t="s">
        <v>214</v>
      </c>
      <c r="M3" s="35" t="s">
        <v>215</v>
      </c>
      <c r="N3" s="35" t="s">
        <v>214</v>
      </c>
      <c r="O3" s="35" t="s">
        <v>215</v>
      </c>
      <c r="P3" s="35" t="s">
        <v>214</v>
      </c>
      <c r="Q3" s="35" t="s">
        <v>215</v>
      </c>
      <c r="R3" s="35" t="s">
        <v>214</v>
      </c>
      <c r="S3" s="35" t="s">
        <v>215</v>
      </c>
      <c r="T3" s="35" t="s">
        <v>214</v>
      </c>
      <c r="U3" s="35" t="s">
        <v>215</v>
      </c>
      <c r="V3" s="183"/>
      <c r="W3" s="177"/>
      <c r="X3" s="180"/>
      <c r="Y3" s="177"/>
      <c r="Z3" s="21" t="s">
        <v>216</v>
      </c>
      <c r="AA3" s="21" t="s">
        <v>217</v>
      </c>
      <c r="AB3" s="21" t="s">
        <v>218</v>
      </c>
    </row>
    <row r="4" spans="1:208" x14ac:dyDescent="0.25">
      <c r="A4" s="96">
        <v>1</v>
      </c>
      <c r="B4" s="97">
        <v>46136</v>
      </c>
      <c r="C4" s="35" t="s">
        <v>219</v>
      </c>
      <c r="AC4" s="19" t="s">
        <v>30</v>
      </c>
      <c r="AD4" s="19"/>
      <c r="AE4" s="19"/>
      <c r="AF4" s="19"/>
      <c r="AG4" s="19"/>
      <c r="AH4" s="36" t="s">
        <v>31</v>
      </c>
    </row>
    <row r="5" spans="1:208" x14ac:dyDescent="0.25">
      <c r="AC5" s="19" t="s">
        <v>32</v>
      </c>
      <c r="AD5" s="19"/>
      <c r="AE5" s="19"/>
      <c r="AF5" s="19"/>
      <c r="AG5" s="19"/>
      <c r="AH5" s="36" t="s">
        <v>33</v>
      </c>
    </row>
    <row r="6" spans="1:208" x14ac:dyDescent="0.25">
      <c r="AC6" s="19" t="s">
        <v>34</v>
      </c>
      <c r="AD6" s="19"/>
      <c r="AE6" s="19"/>
      <c r="AF6" s="19"/>
      <c r="AG6" s="19"/>
      <c r="AH6" s="36" t="s">
        <v>35</v>
      </c>
    </row>
    <row r="7" spans="1:208" x14ac:dyDescent="0.25">
      <c r="AC7" s="22" t="s">
        <v>36</v>
      </c>
      <c r="AD7" s="22"/>
      <c r="AE7" s="22"/>
      <c r="AF7" s="22"/>
      <c r="AG7" s="22"/>
      <c r="AH7" s="36" t="s">
        <v>37</v>
      </c>
    </row>
    <row r="9" spans="1:208" x14ac:dyDescent="0.25">
      <c r="AC9" s="19" t="s">
        <v>30</v>
      </c>
      <c r="AD9" s="19"/>
      <c r="AE9" s="19"/>
      <c r="AF9" s="19"/>
      <c r="AG9" s="19"/>
      <c r="AH9" s="36" t="s">
        <v>31</v>
      </c>
    </row>
    <row r="10" spans="1:208" x14ac:dyDescent="0.25">
      <c r="AC10" s="19" t="s">
        <v>32</v>
      </c>
      <c r="AD10" s="19"/>
      <c r="AE10" s="19"/>
      <c r="AF10" s="19"/>
      <c r="AG10" s="19"/>
      <c r="AH10" s="36" t="s">
        <v>33</v>
      </c>
    </row>
    <row r="11" spans="1:208" x14ac:dyDescent="0.25">
      <c r="AC11" s="19" t="s">
        <v>34</v>
      </c>
      <c r="AD11" s="19"/>
      <c r="AE11" s="19"/>
      <c r="AF11" s="19"/>
      <c r="AG11" s="19"/>
      <c r="AH11" s="36" t="s">
        <v>35</v>
      </c>
    </row>
    <row r="12" spans="1:208" x14ac:dyDescent="0.25">
      <c r="AC12" s="22" t="s">
        <v>36</v>
      </c>
      <c r="AD12" s="22"/>
      <c r="AE12" s="22"/>
      <c r="AF12" s="22"/>
      <c r="AG12" s="22"/>
      <c r="AH12" s="36" t="s">
        <v>37</v>
      </c>
    </row>
    <row r="14" spans="1:208" x14ac:dyDescent="0.25">
      <c r="AC14" s="19" t="s">
        <v>30</v>
      </c>
      <c r="AD14" s="19"/>
      <c r="AE14" s="19"/>
      <c r="AF14" s="19"/>
      <c r="AG14" s="19"/>
      <c r="AH14" s="36" t="s">
        <v>31</v>
      </c>
    </row>
    <row r="15" spans="1:208" x14ac:dyDescent="0.25">
      <c r="AC15" s="19" t="s">
        <v>32</v>
      </c>
      <c r="AD15" s="19"/>
      <c r="AE15" s="19"/>
      <c r="AF15" s="19"/>
      <c r="AG15" s="19"/>
      <c r="AH15" s="36" t="s">
        <v>33</v>
      </c>
    </row>
    <row r="16" spans="1:208" x14ac:dyDescent="0.25">
      <c r="AC16" s="19" t="s">
        <v>34</v>
      </c>
      <c r="AD16" s="19"/>
      <c r="AE16" s="19"/>
      <c r="AF16" s="19"/>
      <c r="AG16" s="19"/>
      <c r="AH16" s="36" t="s">
        <v>35</v>
      </c>
    </row>
    <row r="17" spans="29:34" x14ac:dyDescent="0.25">
      <c r="AC17" s="22" t="s">
        <v>36</v>
      </c>
      <c r="AD17" s="22"/>
      <c r="AE17" s="22"/>
      <c r="AF17" s="22"/>
      <c r="AG17" s="22"/>
      <c r="AH17" s="36" t="s">
        <v>37</v>
      </c>
    </row>
    <row r="19" spans="29:34" x14ac:dyDescent="0.25">
      <c r="AC19" s="19" t="s">
        <v>30</v>
      </c>
      <c r="AD19" s="19"/>
      <c r="AE19" s="19"/>
      <c r="AF19" s="19"/>
      <c r="AG19" s="19"/>
      <c r="AH19" s="36" t="s">
        <v>31</v>
      </c>
    </row>
    <row r="20" spans="29:34" x14ac:dyDescent="0.25">
      <c r="AC20" s="19" t="s">
        <v>32</v>
      </c>
      <c r="AD20" s="19"/>
      <c r="AE20" s="19"/>
      <c r="AF20" s="19"/>
      <c r="AG20" s="19"/>
      <c r="AH20" s="36" t="s">
        <v>33</v>
      </c>
    </row>
    <row r="21" spans="29:34" x14ac:dyDescent="0.25">
      <c r="AC21" s="19" t="s">
        <v>34</v>
      </c>
      <c r="AD21" s="19"/>
      <c r="AE21" s="19"/>
      <c r="AF21" s="19"/>
      <c r="AG21" s="19"/>
      <c r="AH21" s="36" t="s">
        <v>35</v>
      </c>
    </row>
    <row r="22" spans="29:34" x14ac:dyDescent="0.25">
      <c r="AC22" s="22" t="s">
        <v>36</v>
      </c>
      <c r="AD22" s="22"/>
      <c r="AE22" s="22"/>
      <c r="AF22" s="22"/>
      <c r="AG22" s="22"/>
      <c r="AH22" s="36" t="s">
        <v>37</v>
      </c>
    </row>
    <row r="24" spans="29:34" x14ac:dyDescent="0.25">
      <c r="AC24" s="19" t="s">
        <v>30</v>
      </c>
      <c r="AD24" s="19"/>
      <c r="AE24" s="19"/>
      <c r="AF24" s="19"/>
      <c r="AG24" s="19"/>
      <c r="AH24" s="36" t="s">
        <v>31</v>
      </c>
    </row>
    <row r="25" spans="29:34" x14ac:dyDescent="0.25">
      <c r="AC25" s="19" t="s">
        <v>32</v>
      </c>
      <c r="AD25" s="19"/>
      <c r="AE25" s="19"/>
      <c r="AF25" s="19"/>
      <c r="AG25" s="19"/>
      <c r="AH25" s="36" t="s">
        <v>33</v>
      </c>
    </row>
    <row r="26" spans="29:34" x14ac:dyDescent="0.25">
      <c r="AC26" s="19" t="s">
        <v>34</v>
      </c>
      <c r="AD26" s="19"/>
      <c r="AE26" s="19"/>
      <c r="AF26" s="19"/>
      <c r="AG26" s="19"/>
      <c r="AH26" s="36" t="s">
        <v>35</v>
      </c>
    </row>
    <row r="27" spans="29:34" x14ac:dyDescent="0.25">
      <c r="AC27" s="22" t="s">
        <v>36</v>
      </c>
      <c r="AD27" s="22"/>
      <c r="AE27" s="22"/>
      <c r="AF27" s="22"/>
      <c r="AG27" s="22"/>
      <c r="AH27" s="36" t="s">
        <v>37</v>
      </c>
    </row>
    <row r="29" spans="29:34" x14ac:dyDescent="0.25">
      <c r="AC29" s="19" t="s">
        <v>30</v>
      </c>
      <c r="AD29" s="19"/>
      <c r="AE29" s="19"/>
      <c r="AF29" s="19"/>
      <c r="AG29" s="19"/>
      <c r="AH29" s="36" t="s">
        <v>31</v>
      </c>
    </row>
    <row r="30" spans="29:34" x14ac:dyDescent="0.25">
      <c r="AC30" s="19" t="s">
        <v>32</v>
      </c>
      <c r="AD30" s="19"/>
      <c r="AE30" s="19"/>
      <c r="AF30" s="19"/>
      <c r="AG30" s="19"/>
      <c r="AH30" s="36" t="s">
        <v>33</v>
      </c>
    </row>
    <row r="31" spans="29:34" x14ac:dyDescent="0.25">
      <c r="AC31" s="19" t="s">
        <v>34</v>
      </c>
      <c r="AD31" s="19"/>
      <c r="AE31" s="19"/>
      <c r="AF31" s="19"/>
      <c r="AG31" s="19"/>
      <c r="AH31" s="36" t="s">
        <v>35</v>
      </c>
    </row>
    <row r="32" spans="29:34" x14ac:dyDescent="0.25">
      <c r="AC32" s="22" t="s">
        <v>36</v>
      </c>
      <c r="AD32" s="22"/>
      <c r="AE32" s="22"/>
      <c r="AF32" s="22"/>
      <c r="AG32" s="22"/>
      <c r="AH32" s="36" t="s">
        <v>37</v>
      </c>
    </row>
    <row r="34" spans="29:34" x14ac:dyDescent="0.25">
      <c r="AC34" s="19" t="s">
        <v>30</v>
      </c>
      <c r="AD34" s="19"/>
      <c r="AE34" s="19"/>
      <c r="AF34" s="19"/>
      <c r="AG34" s="19"/>
      <c r="AH34" s="36" t="s">
        <v>31</v>
      </c>
    </row>
    <row r="35" spans="29:34" x14ac:dyDescent="0.25">
      <c r="AC35" s="19" t="s">
        <v>32</v>
      </c>
      <c r="AD35" s="19"/>
      <c r="AE35" s="19"/>
      <c r="AF35" s="19"/>
      <c r="AG35" s="19"/>
      <c r="AH35" s="36" t="s">
        <v>33</v>
      </c>
    </row>
    <row r="36" spans="29:34" x14ac:dyDescent="0.25">
      <c r="AC36" s="19" t="s">
        <v>34</v>
      </c>
      <c r="AD36" s="19"/>
      <c r="AE36" s="19"/>
      <c r="AF36" s="19"/>
      <c r="AG36" s="19"/>
      <c r="AH36" s="36" t="s">
        <v>35</v>
      </c>
    </row>
    <row r="37" spans="29:34" x14ac:dyDescent="0.25">
      <c r="AC37" s="22" t="s">
        <v>36</v>
      </c>
      <c r="AD37" s="22"/>
      <c r="AE37" s="22"/>
      <c r="AF37" s="22"/>
      <c r="AG37" s="22"/>
      <c r="AH37" s="36" t="s">
        <v>37</v>
      </c>
    </row>
    <row r="39" spans="29:34" x14ac:dyDescent="0.25">
      <c r="AC39" s="19" t="s">
        <v>30</v>
      </c>
      <c r="AD39" s="19"/>
      <c r="AE39" s="19"/>
      <c r="AF39" s="19"/>
      <c r="AG39" s="19"/>
      <c r="AH39" s="36" t="s">
        <v>31</v>
      </c>
    </row>
    <row r="40" spans="29:34" x14ac:dyDescent="0.25">
      <c r="AC40" s="19" t="s">
        <v>32</v>
      </c>
      <c r="AD40" s="19"/>
      <c r="AE40" s="19"/>
      <c r="AF40" s="19"/>
      <c r="AG40" s="19"/>
      <c r="AH40" s="36" t="s">
        <v>33</v>
      </c>
    </row>
    <row r="41" spans="29:34" x14ac:dyDescent="0.25">
      <c r="AC41" s="19" t="s">
        <v>34</v>
      </c>
      <c r="AD41" s="19"/>
      <c r="AE41" s="19"/>
      <c r="AF41" s="19"/>
      <c r="AG41" s="19"/>
      <c r="AH41" s="36" t="s">
        <v>35</v>
      </c>
    </row>
    <row r="42" spans="29:34" x14ac:dyDescent="0.25">
      <c r="AC42" s="22" t="s">
        <v>36</v>
      </c>
      <c r="AD42" s="22"/>
      <c r="AE42" s="22"/>
      <c r="AF42" s="22"/>
      <c r="AG42" s="22"/>
      <c r="AH42" s="36" t="s">
        <v>37</v>
      </c>
    </row>
    <row r="44" spans="29:34" x14ac:dyDescent="0.25">
      <c r="AC44" s="19" t="s">
        <v>30</v>
      </c>
      <c r="AD44" s="19"/>
      <c r="AE44" s="19"/>
      <c r="AF44" s="19"/>
      <c r="AG44" s="19"/>
      <c r="AH44" s="36" t="s">
        <v>31</v>
      </c>
    </row>
    <row r="45" spans="29:34" x14ac:dyDescent="0.25">
      <c r="AC45" s="19" t="s">
        <v>32</v>
      </c>
      <c r="AD45" s="19"/>
      <c r="AE45" s="19"/>
      <c r="AF45" s="19"/>
      <c r="AG45" s="19"/>
      <c r="AH45" s="36" t="s">
        <v>33</v>
      </c>
    </row>
    <row r="46" spans="29:34" x14ac:dyDescent="0.25">
      <c r="AC46" s="19" t="s">
        <v>34</v>
      </c>
      <c r="AD46" s="19"/>
      <c r="AE46" s="19"/>
      <c r="AF46" s="19"/>
      <c r="AG46" s="19"/>
      <c r="AH46" s="36" t="s">
        <v>35</v>
      </c>
    </row>
    <row r="47" spans="29:34" x14ac:dyDescent="0.25">
      <c r="AC47" s="22" t="s">
        <v>36</v>
      </c>
      <c r="AD47" s="22"/>
      <c r="AE47" s="22"/>
      <c r="AF47" s="22"/>
      <c r="AG47" s="22"/>
      <c r="AH47" s="36" t="s">
        <v>37</v>
      </c>
    </row>
    <row r="49" spans="29:34" x14ac:dyDescent="0.25">
      <c r="AC49" s="19" t="s">
        <v>30</v>
      </c>
      <c r="AD49" s="19"/>
      <c r="AE49" s="19"/>
      <c r="AF49" s="19"/>
      <c r="AG49" s="19"/>
      <c r="AH49" s="36" t="s">
        <v>31</v>
      </c>
    </row>
    <row r="50" spans="29:34" x14ac:dyDescent="0.25">
      <c r="AC50" s="19" t="s">
        <v>32</v>
      </c>
      <c r="AD50" s="19"/>
      <c r="AE50" s="19"/>
      <c r="AF50" s="19"/>
      <c r="AG50" s="19"/>
      <c r="AH50" s="36" t="s">
        <v>33</v>
      </c>
    </row>
    <row r="51" spans="29:34" x14ac:dyDescent="0.25">
      <c r="AC51" s="19" t="s">
        <v>34</v>
      </c>
      <c r="AD51" s="19"/>
      <c r="AE51" s="19"/>
      <c r="AF51" s="19"/>
      <c r="AG51" s="19"/>
      <c r="AH51" s="36" t="s">
        <v>35</v>
      </c>
    </row>
    <row r="52" spans="29:34" x14ac:dyDescent="0.25">
      <c r="AC52" s="22" t="s">
        <v>36</v>
      </c>
      <c r="AD52" s="22"/>
      <c r="AE52" s="22"/>
      <c r="AF52" s="22"/>
      <c r="AG52" s="22"/>
      <c r="AH52" s="36" t="s">
        <v>37</v>
      </c>
    </row>
    <row r="54" spans="29:34" x14ac:dyDescent="0.25">
      <c r="AC54" s="19" t="s">
        <v>30</v>
      </c>
      <c r="AD54" s="19"/>
      <c r="AE54" s="19"/>
      <c r="AF54" s="19"/>
      <c r="AG54" s="19"/>
      <c r="AH54" s="36" t="s">
        <v>31</v>
      </c>
    </row>
    <row r="55" spans="29:34" x14ac:dyDescent="0.25">
      <c r="AC55" s="19" t="s">
        <v>32</v>
      </c>
      <c r="AD55" s="19"/>
      <c r="AE55" s="19"/>
      <c r="AF55" s="19"/>
      <c r="AG55" s="19"/>
      <c r="AH55" s="36" t="s">
        <v>33</v>
      </c>
    </row>
    <row r="56" spans="29:34" x14ac:dyDescent="0.25">
      <c r="AC56" s="19" t="s">
        <v>34</v>
      </c>
      <c r="AD56" s="19"/>
      <c r="AE56" s="19"/>
      <c r="AF56" s="19"/>
      <c r="AG56" s="19"/>
      <c r="AH56" s="36" t="s">
        <v>35</v>
      </c>
    </row>
    <row r="57" spans="29:34" x14ac:dyDescent="0.25">
      <c r="AC57" s="22" t="s">
        <v>36</v>
      </c>
      <c r="AD57" s="22"/>
      <c r="AE57" s="22"/>
      <c r="AF57" s="22"/>
      <c r="AG57" s="22"/>
      <c r="AH57" s="36" t="s">
        <v>37</v>
      </c>
    </row>
    <row r="59" spans="29:34" x14ac:dyDescent="0.25">
      <c r="AC59" s="19" t="s">
        <v>30</v>
      </c>
      <c r="AD59" s="19"/>
      <c r="AE59" s="19"/>
      <c r="AF59" s="19"/>
      <c r="AG59" s="19"/>
      <c r="AH59" s="36" t="s">
        <v>31</v>
      </c>
    </row>
    <row r="60" spans="29:34" x14ac:dyDescent="0.25">
      <c r="AC60" s="19" t="s">
        <v>32</v>
      </c>
      <c r="AD60" s="19"/>
      <c r="AE60" s="19"/>
      <c r="AF60" s="19"/>
      <c r="AG60" s="19"/>
      <c r="AH60" s="36" t="s">
        <v>33</v>
      </c>
    </row>
    <row r="61" spans="29:34" x14ac:dyDescent="0.25">
      <c r="AC61" s="19" t="s">
        <v>34</v>
      </c>
      <c r="AD61" s="19"/>
      <c r="AE61" s="19"/>
      <c r="AF61" s="19"/>
      <c r="AG61" s="19"/>
      <c r="AH61" s="36" t="s">
        <v>35</v>
      </c>
    </row>
    <row r="62" spans="29:34" x14ac:dyDescent="0.25">
      <c r="AC62" s="22" t="s">
        <v>36</v>
      </c>
      <c r="AD62" s="22"/>
      <c r="AE62" s="22"/>
      <c r="AF62" s="22"/>
      <c r="AG62" s="22"/>
      <c r="AH62" s="36" t="s">
        <v>37</v>
      </c>
    </row>
    <row r="64" spans="29:34" x14ac:dyDescent="0.25">
      <c r="AC64" s="19" t="s">
        <v>30</v>
      </c>
      <c r="AD64" s="19"/>
      <c r="AE64" s="19"/>
      <c r="AF64" s="19"/>
      <c r="AG64" s="19"/>
      <c r="AH64" s="36" t="s">
        <v>31</v>
      </c>
    </row>
    <row r="65" spans="29:34" x14ac:dyDescent="0.25">
      <c r="AC65" s="19" t="s">
        <v>32</v>
      </c>
      <c r="AD65" s="19"/>
      <c r="AE65" s="19"/>
      <c r="AF65" s="19"/>
      <c r="AG65" s="19"/>
      <c r="AH65" s="36" t="s">
        <v>33</v>
      </c>
    </row>
    <row r="66" spans="29:34" x14ac:dyDescent="0.25">
      <c r="AC66" s="19" t="s">
        <v>34</v>
      </c>
      <c r="AD66" s="19"/>
      <c r="AE66" s="19"/>
      <c r="AF66" s="19"/>
      <c r="AG66" s="19"/>
      <c r="AH66" s="36" t="s">
        <v>35</v>
      </c>
    </row>
    <row r="67" spans="29:34" x14ac:dyDescent="0.25">
      <c r="AC67" s="22" t="s">
        <v>36</v>
      </c>
      <c r="AD67" s="22"/>
      <c r="AE67" s="22"/>
      <c r="AF67" s="22"/>
      <c r="AG67" s="22"/>
      <c r="AH67" s="36" t="s">
        <v>37</v>
      </c>
    </row>
    <row r="69" spans="29:34" x14ac:dyDescent="0.25">
      <c r="AC69" s="19" t="s">
        <v>30</v>
      </c>
      <c r="AD69" s="19"/>
      <c r="AE69" s="19"/>
      <c r="AF69" s="19"/>
      <c r="AG69" s="19"/>
      <c r="AH69" s="36" t="s">
        <v>31</v>
      </c>
    </row>
    <row r="70" spans="29:34" x14ac:dyDescent="0.25">
      <c r="AC70" s="19" t="s">
        <v>32</v>
      </c>
      <c r="AD70" s="19"/>
      <c r="AE70" s="19"/>
      <c r="AF70" s="19"/>
      <c r="AG70" s="19"/>
      <c r="AH70" s="36" t="s">
        <v>33</v>
      </c>
    </row>
    <row r="71" spans="29:34" x14ac:dyDescent="0.25">
      <c r="AC71" s="19" t="s">
        <v>34</v>
      </c>
      <c r="AD71" s="19"/>
      <c r="AE71" s="19"/>
      <c r="AF71" s="19"/>
      <c r="AG71" s="19"/>
      <c r="AH71" s="36" t="s">
        <v>35</v>
      </c>
    </row>
    <row r="72" spans="29:34" x14ac:dyDescent="0.25">
      <c r="AC72" s="22" t="s">
        <v>36</v>
      </c>
      <c r="AD72" s="22"/>
      <c r="AE72" s="22"/>
      <c r="AF72" s="22"/>
      <c r="AG72" s="22"/>
      <c r="AH72" s="36" t="s">
        <v>37</v>
      </c>
    </row>
  </sheetData>
  <mergeCells count="199">
    <mergeCell ref="A1:A3"/>
    <mergeCell ref="B1:B3"/>
    <mergeCell ref="C1:C3"/>
    <mergeCell ref="D1:M1"/>
    <mergeCell ref="N1:U1"/>
    <mergeCell ref="V1:V3"/>
    <mergeCell ref="T2:U2"/>
    <mergeCell ref="AF1:AF2"/>
    <mergeCell ref="AG1:AG2"/>
    <mergeCell ref="AH1:AH2"/>
    <mergeCell ref="AI1:AJ1"/>
    <mergeCell ref="AK1:AK2"/>
    <mergeCell ref="AL1:AL2"/>
    <mergeCell ref="W1:W3"/>
    <mergeCell ref="X1:X3"/>
    <mergeCell ref="Y1:AB1"/>
    <mergeCell ref="AC1:AC2"/>
    <mergeCell ref="AD1:AD2"/>
    <mergeCell ref="AE1:AE2"/>
    <mergeCell ref="Y2:Y3"/>
    <mergeCell ref="Z2:AB2"/>
    <mergeCell ref="AS1:AS2"/>
    <mergeCell ref="AT1:AT2"/>
    <mergeCell ref="AU1:AU2"/>
    <mergeCell ref="AV1:AV2"/>
    <mergeCell ref="AW1:AW2"/>
    <mergeCell ref="AX1:AX2"/>
    <mergeCell ref="AM1:AM2"/>
    <mergeCell ref="AN1:AN2"/>
    <mergeCell ref="AO1:AO2"/>
    <mergeCell ref="AP1:AP2"/>
    <mergeCell ref="AQ1:AQ2"/>
    <mergeCell ref="AR1:AR2"/>
    <mergeCell ref="BE1:BE2"/>
    <mergeCell ref="BF1:BF2"/>
    <mergeCell ref="BG1:BG2"/>
    <mergeCell ref="BH1:BH2"/>
    <mergeCell ref="BI1:BI2"/>
    <mergeCell ref="BJ1:BJ2"/>
    <mergeCell ref="AY1:AY2"/>
    <mergeCell ref="AZ1:AZ2"/>
    <mergeCell ref="BA1:BA2"/>
    <mergeCell ref="BB1:BB2"/>
    <mergeCell ref="BC1:BC2"/>
    <mergeCell ref="BD1:BD2"/>
    <mergeCell ref="BQ1:BQ2"/>
    <mergeCell ref="BR1:BR2"/>
    <mergeCell ref="BS1:BS2"/>
    <mergeCell ref="BT1:BT2"/>
    <mergeCell ref="BU1:BU2"/>
    <mergeCell ref="BV1:BV2"/>
    <mergeCell ref="BK1:BK2"/>
    <mergeCell ref="BL1:BL2"/>
    <mergeCell ref="BM1:BM2"/>
    <mergeCell ref="BN1:BN2"/>
    <mergeCell ref="BO1:BO2"/>
    <mergeCell ref="BP1:BP2"/>
    <mergeCell ref="CC1:CC2"/>
    <mergeCell ref="CD1:CD2"/>
    <mergeCell ref="CE1:CE2"/>
    <mergeCell ref="CF1:CF2"/>
    <mergeCell ref="CG1:CG2"/>
    <mergeCell ref="CH1:CH2"/>
    <mergeCell ref="BW1:BW2"/>
    <mergeCell ref="BX1:BX2"/>
    <mergeCell ref="BY1:BY2"/>
    <mergeCell ref="BZ1:BZ2"/>
    <mergeCell ref="CA1:CA2"/>
    <mergeCell ref="CB1:CB2"/>
    <mergeCell ref="CO1:CO2"/>
    <mergeCell ref="CP1:CP2"/>
    <mergeCell ref="CQ1:CQ2"/>
    <mergeCell ref="CR1:CR2"/>
    <mergeCell ref="CS1:CS2"/>
    <mergeCell ref="CT1:CT2"/>
    <mergeCell ref="CI1:CI2"/>
    <mergeCell ref="CJ1:CJ2"/>
    <mergeCell ref="CK1:CK2"/>
    <mergeCell ref="CL1:CL2"/>
    <mergeCell ref="CM1:CM2"/>
    <mergeCell ref="CN1:CN2"/>
    <mergeCell ref="DA1:DA2"/>
    <mergeCell ref="DB1:DB2"/>
    <mergeCell ref="DC1:DC2"/>
    <mergeCell ref="DD1:DD2"/>
    <mergeCell ref="DE1:DE2"/>
    <mergeCell ref="DF1:DF2"/>
    <mergeCell ref="CU1:CU2"/>
    <mergeCell ref="CV1:CV2"/>
    <mergeCell ref="CW1:CW2"/>
    <mergeCell ref="CX1:CX2"/>
    <mergeCell ref="CY1:CY2"/>
    <mergeCell ref="CZ1:CZ2"/>
    <mergeCell ref="DM1:DM2"/>
    <mergeCell ref="DN1:DN2"/>
    <mergeCell ref="DO1:DO2"/>
    <mergeCell ref="DP1:DP2"/>
    <mergeCell ref="DQ1:DQ2"/>
    <mergeCell ref="DR1:DR2"/>
    <mergeCell ref="DG1:DG2"/>
    <mergeCell ref="DH1:DH2"/>
    <mergeCell ref="DI1:DI2"/>
    <mergeCell ref="DJ1:DJ2"/>
    <mergeCell ref="DK1:DK2"/>
    <mergeCell ref="DL1:DL2"/>
    <mergeCell ref="DY1:DY2"/>
    <mergeCell ref="DZ1:DZ2"/>
    <mergeCell ref="EA1:EA2"/>
    <mergeCell ref="EB1:EB2"/>
    <mergeCell ref="EC1:EC2"/>
    <mergeCell ref="ED1:ED2"/>
    <mergeCell ref="DS1:DS2"/>
    <mergeCell ref="DT1:DT2"/>
    <mergeCell ref="DU1:DU2"/>
    <mergeCell ref="DV1:DV2"/>
    <mergeCell ref="DW1:DW2"/>
    <mergeCell ref="DX1:DX2"/>
    <mergeCell ref="EK1:EK2"/>
    <mergeCell ref="EL1:EL2"/>
    <mergeCell ref="EM1:EM2"/>
    <mergeCell ref="EN1:EN2"/>
    <mergeCell ref="EO1:EO2"/>
    <mergeCell ref="EP1:EP2"/>
    <mergeCell ref="EE1:EE2"/>
    <mergeCell ref="EF1:EF2"/>
    <mergeCell ref="EG1:EG2"/>
    <mergeCell ref="EH1:EH2"/>
    <mergeCell ref="EI1:EI2"/>
    <mergeCell ref="EJ1:EJ2"/>
    <mergeCell ref="EW1:EW2"/>
    <mergeCell ref="EX1:EX2"/>
    <mergeCell ref="EY1:EY2"/>
    <mergeCell ref="EZ1:EZ2"/>
    <mergeCell ref="FA1:FA2"/>
    <mergeCell ref="FB1:FB2"/>
    <mergeCell ref="EQ1:EQ2"/>
    <mergeCell ref="ER1:ER2"/>
    <mergeCell ref="ES1:ES2"/>
    <mergeCell ref="ET1:ET2"/>
    <mergeCell ref="EU1:EU2"/>
    <mergeCell ref="EV1:EV2"/>
    <mergeCell ref="FI1:FI2"/>
    <mergeCell ref="FJ1:FJ2"/>
    <mergeCell ref="FK1:FK2"/>
    <mergeCell ref="FL1:FL2"/>
    <mergeCell ref="FM1:FM2"/>
    <mergeCell ref="FN1:FN2"/>
    <mergeCell ref="FC1:FC2"/>
    <mergeCell ref="FD1:FD2"/>
    <mergeCell ref="FE1:FE2"/>
    <mergeCell ref="FF1:FF2"/>
    <mergeCell ref="FG1:FG2"/>
    <mergeCell ref="FH1:FH2"/>
    <mergeCell ref="FU1:FU2"/>
    <mergeCell ref="FV1:FV2"/>
    <mergeCell ref="FW1:FW2"/>
    <mergeCell ref="FX1:FX2"/>
    <mergeCell ref="FY1:FY2"/>
    <mergeCell ref="FZ1:FZ2"/>
    <mergeCell ref="FO1:FO2"/>
    <mergeCell ref="FP1:FP2"/>
    <mergeCell ref="FQ1:FQ2"/>
    <mergeCell ref="FR1:FR2"/>
    <mergeCell ref="FS1:FS2"/>
    <mergeCell ref="FT1:FT2"/>
    <mergeCell ref="GI1:GI2"/>
    <mergeCell ref="GJ1:GJ2"/>
    <mergeCell ref="GK1:GK2"/>
    <mergeCell ref="GL1:GL2"/>
    <mergeCell ref="GA1:GA2"/>
    <mergeCell ref="GB1:GB2"/>
    <mergeCell ref="GC1:GC2"/>
    <mergeCell ref="GD1:GD2"/>
    <mergeCell ref="GE1:GE2"/>
    <mergeCell ref="GF1:GF2"/>
    <mergeCell ref="GY1:GY2"/>
    <mergeCell ref="GZ1:GZ2"/>
    <mergeCell ref="D2:E2"/>
    <mergeCell ref="F2:G2"/>
    <mergeCell ref="H2:I2"/>
    <mergeCell ref="J2:K2"/>
    <mergeCell ref="L2:M2"/>
    <mergeCell ref="N2:O2"/>
    <mergeCell ref="P2:Q2"/>
    <mergeCell ref="R2:S2"/>
    <mergeCell ref="GS1:GS2"/>
    <mergeCell ref="GT1:GT2"/>
    <mergeCell ref="GU1:GU2"/>
    <mergeCell ref="GV1:GV2"/>
    <mergeCell ref="GW1:GW2"/>
    <mergeCell ref="GX1:GX2"/>
    <mergeCell ref="GM1:GM2"/>
    <mergeCell ref="GN1:GN2"/>
    <mergeCell ref="GO1:GO2"/>
    <mergeCell ref="GP1:GP2"/>
    <mergeCell ref="GQ1:GQ2"/>
    <mergeCell ref="GR1:GR2"/>
    <mergeCell ref="GG1:GG2"/>
    <mergeCell ref="GH1:GH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02B1-14A1-4A29-8644-B051422F153D}">
  <sheetPr>
    <tabColor theme="2" tint="-0.499984740745262"/>
  </sheetPr>
  <dimension ref="A1:AD52"/>
  <sheetViews>
    <sheetView workbookViewId="0">
      <selection sqref="A1:A3"/>
    </sheetView>
  </sheetViews>
  <sheetFormatPr defaultColWidth="8.85546875" defaultRowHeight="15" x14ac:dyDescent="0.25"/>
  <cols>
    <col min="1" max="1" width="18.140625" style="2" customWidth="1"/>
    <col min="2" max="2" width="12.28515625" style="2" customWidth="1"/>
    <col min="3" max="3" width="17.140625" style="2" customWidth="1"/>
    <col min="4" max="4" width="17.28515625" style="2" customWidth="1"/>
    <col min="5" max="5" width="12.7109375" style="2" customWidth="1"/>
    <col min="6" max="6" width="28" style="2" customWidth="1"/>
    <col min="7" max="27" width="18.140625" style="2" customWidth="1"/>
    <col min="28" max="30" width="13.28515625" style="2" customWidth="1"/>
    <col min="31" max="16384" width="8.85546875" style="2"/>
  </cols>
  <sheetData>
    <row r="1" spans="1:30" ht="30" customHeight="1" x14ac:dyDescent="0.25">
      <c r="A1" s="189" t="s">
        <v>0</v>
      </c>
      <c r="B1" s="191" t="s">
        <v>1</v>
      </c>
      <c r="C1" s="193" t="s">
        <v>2</v>
      </c>
      <c r="D1" s="193" t="s">
        <v>3</v>
      </c>
      <c r="E1" s="177" t="s">
        <v>4</v>
      </c>
      <c r="F1" s="196" t="s">
        <v>5</v>
      </c>
      <c r="G1" s="204" t="s">
        <v>6</v>
      </c>
      <c r="H1" s="208" t="s">
        <v>7</v>
      </c>
      <c r="I1" s="202" t="s">
        <v>8</v>
      </c>
      <c r="J1" s="202" t="s">
        <v>9</v>
      </c>
      <c r="K1" s="211" t="s">
        <v>10</v>
      </c>
      <c r="L1" s="211" t="s">
        <v>11</v>
      </c>
      <c r="M1" s="202" t="s">
        <v>12</v>
      </c>
      <c r="N1" s="185" t="s">
        <v>13</v>
      </c>
      <c r="O1" s="185" t="s">
        <v>14</v>
      </c>
      <c r="P1" s="185" t="s">
        <v>15</v>
      </c>
      <c r="Q1" s="185" t="s">
        <v>16</v>
      </c>
      <c r="R1" s="198" t="s">
        <v>17</v>
      </c>
      <c r="S1" s="198" t="s">
        <v>18</v>
      </c>
      <c r="T1" s="198" t="s">
        <v>19</v>
      </c>
      <c r="U1" s="185" t="s">
        <v>20</v>
      </c>
      <c r="V1" s="185" t="s">
        <v>21</v>
      </c>
      <c r="W1" s="187" t="s">
        <v>22</v>
      </c>
      <c r="X1" s="187" t="s">
        <v>23</v>
      </c>
      <c r="Y1" s="187" t="s">
        <v>24</v>
      </c>
      <c r="Z1" s="206" t="s">
        <v>25</v>
      </c>
      <c r="AA1" s="206" t="s">
        <v>26</v>
      </c>
      <c r="AB1" s="200" t="s">
        <v>27</v>
      </c>
      <c r="AC1" s="200" t="s">
        <v>28</v>
      </c>
      <c r="AD1" s="200" t="s">
        <v>29</v>
      </c>
    </row>
    <row r="2" spans="1:30" ht="30" customHeight="1" thickBot="1" x14ac:dyDescent="0.3">
      <c r="A2" s="190"/>
      <c r="B2" s="192"/>
      <c r="C2" s="192"/>
      <c r="D2" s="194"/>
      <c r="E2" s="195"/>
      <c r="F2" s="197"/>
      <c r="G2" s="205"/>
      <c r="H2" s="209"/>
      <c r="I2" s="210"/>
      <c r="J2" s="210"/>
      <c r="K2" s="212"/>
      <c r="L2" s="212"/>
      <c r="M2" s="203"/>
      <c r="N2" s="186"/>
      <c r="O2" s="186"/>
      <c r="P2" s="186"/>
      <c r="Q2" s="186"/>
      <c r="R2" s="199"/>
      <c r="S2" s="199"/>
      <c r="T2" s="199"/>
      <c r="U2" s="186"/>
      <c r="V2" s="186"/>
      <c r="W2" s="188"/>
      <c r="X2" s="188"/>
      <c r="Y2" s="188"/>
      <c r="Z2" s="207"/>
      <c r="AA2" s="207"/>
      <c r="AB2" s="201"/>
      <c r="AC2" s="201"/>
      <c r="AD2" s="201"/>
    </row>
    <row r="3" spans="1:30" ht="27" x14ac:dyDescent="0.3">
      <c r="A3" s="9"/>
      <c r="B3" s="1"/>
      <c r="C3" s="1"/>
      <c r="D3" s="1"/>
      <c r="E3" s="1"/>
      <c r="F3" s="6"/>
      <c r="G3" s="3"/>
      <c r="H3" s="10"/>
      <c r="I3" s="10"/>
      <c r="J3" s="10"/>
      <c r="K3" s="10"/>
      <c r="L3" s="10"/>
      <c r="M3" s="10"/>
      <c r="N3" s="10"/>
      <c r="O3" s="10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</row>
    <row r="4" spans="1:30" ht="20.25" x14ac:dyDescent="0.3">
      <c r="A4" s="27"/>
      <c r="B4" s="28" t="s">
        <v>30</v>
      </c>
      <c r="C4" s="29"/>
      <c r="D4" s="29"/>
      <c r="E4" s="30"/>
      <c r="F4" s="24" t="s">
        <v>31</v>
      </c>
      <c r="G4" s="7"/>
      <c r="H4" s="7"/>
      <c r="I4" s="7"/>
      <c r="J4" s="7"/>
      <c r="K4" s="7"/>
      <c r="L4" s="7"/>
      <c r="M4" s="7"/>
      <c r="N4" s="7"/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14"/>
    </row>
    <row r="5" spans="1:30" ht="20.25" x14ac:dyDescent="0.3">
      <c r="A5" s="27"/>
      <c r="B5" s="28" t="s">
        <v>32</v>
      </c>
      <c r="C5" s="29"/>
      <c r="D5" s="29"/>
      <c r="E5" s="30"/>
      <c r="F5" s="24" t="s">
        <v>33</v>
      </c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14"/>
    </row>
    <row r="6" spans="1:30" ht="20.25" x14ac:dyDescent="0.3">
      <c r="A6" s="27"/>
      <c r="B6" s="28" t="s">
        <v>34</v>
      </c>
      <c r="C6" s="29"/>
      <c r="D6" s="29"/>
      <c r="E6" s="30"/>
      <c r="F6" s="24" t="s">
        <v>35</v>
      </c>
      <c r="G6" s="7"/>
      <c r="H6" s="7"/>
      <c r="I6" s="7"/>
      <c r="J6" s="7"/>
      <c r="K6" s="7"/>
      <c r="L6" s="7"/>
      <c r="M6" s="7"/>
      <c r="N6" s="7"/>
      <c r="O6" s="7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14"/>
    </row>
    <row r="7" spans="1:30" ht="21" thickBot="1" x14ac:dyDescent="0.35">
      <c r="A7" s="31"/>
      <c r="B7" s="32" t="s">
        <v>36</v>
      </c>
      <c r="C7" s="33"/>
      <c r="D7" s="33"/>
      <c r="E7" s="34"/>
      <c r="F7" s="25" t="s">
        <v>37</v>
      </c>
      <c r="G7" s="16"/>
      <c r="H7" s="16"/>
      <c r="I7" s="16"/>
      <c r="J7" s="16"/>
      <c r="K7" s="16"/>
      <c r="L7" s="16"/>
      <c r="M7" s="16"/>
      <c r="N7" s="16"/>
      <c r="O7" s="1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8"/>
    </row>
    <row r="8" spans="1:30" ht="27" x14ac:dyDescent="0.3">
      <c r="A8" s="9"/>
      <c r="B8" s="26"/>
      <c r="C8" s="26"/>
      <c r="D8" s="26"/>
      <c r="E8" s="26"/>
      <c r="F8" s="6"/>
      <c r="G8" s="3"/>
      <c r="H8" s="10"/>
      <c r="I8" s="10"/>
      <c r="J8" s="10"/>
      <c r="K8" s="10"/>
      <c r="L8" s="10"/>
      <c r="M8" s="10"/>
      <c r="N8" s="10"/>
      <c r="O8" s="1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2"/>
    </row>
    <row r="9" spans="1:30" ht="20.25" x14ac:dyDescent="0.3">
      <c r="A9" s="4"/>
      <c r="B9" s="28" t="s">
        <v>30</v>
      </c>
      <c r="C9" s="29"/>
      <c r="D9" s="29"/>
      <c r="E9" s="30"/>
      <c r="F9" s="13" t="s">
        <v>31</v>
      </c>
      <c r="G9" s="7"/>
      <c r="H9" s="7"/>
      <c r="I9" s="7"/>
      <c r="J9" s="7"/>
      <c r="K9" s="7"/>
      <c r="L9" s="7"/>
      <c r="M9" s="7"/>
      <c r="N9" s="7"/>
      <c r="O9" s="7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14"/>
    </row>
    <row r="10" spans="1:30" ht="20.25" x14ac:dyDescent="0.3">
      <c r="A10" s="4"/>
      <c r="B10" s="28" t="s">
        <v>32</v>
      </c>
      <c r="C10" s="29"/>
      <c r="D10" s="29"/>
      <c r="E10" s="30"/>
      <c r="F10" s="13" t="s">
        <v>33</v>
      </c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14"/>
    </row>
    <row r="11" spans="1:30" ht="20.25" x14ac:dyDescent="0.3">
      <c r="A11" s="4"/>
      <c r="B11" s="28" t="s">
        <v>34</v>
      </c>
      <c r="C11" s="29"/>
      <c r="D11" s="29"/>
      <c r="E11" s="30"/>
      <c r="F11" s="13" t="s">
        <v>35</v>
      </c>
      <c r="G11" s="7"/>
      <c r="H11" s="7"/>
      <c r="I11" s="7"/>
      <c r="J11" s="7"/>
      <c r="K11" s="7"/>
      <c r="L11" s="7"/>
      <c r="M11" s="7"/>
      <c r="N11" s="7"/>
      <c r="O11" s="7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14"/>
    </row>
    <row r="12" spans="1:30" ht="21" thickBot="1" x14ac:dyDescent="0.35">
      <c r="A12" s="5"/>
      <c r="B12" s="32" t="s">
        <v>36</v>
      </c>
      <c r="C12" s="33"/>
      <c r="D12" s="33"/>
      <c r="E12" s="34"/>
      <c r="F12" s="15" t="s">
        <v>37</v>
      </c>
      <c r="G12" s="16"/>
      <c r="H12" s="16"/>
      <c r="I12" s="16"/>
      <c r="J12" s="16"/>
      <c r="K12" s="16"/>
      <c r="L12" s="16"/>
      <c r="M12" s="16"/>
      <c r="N12" s="16"/>
      <c r="O12" s="16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8"/>
    </row>
    <row r="13" spans="1:30" ht="27" x14ac:dyDescent="0.3">
      <c r="A13" s="9"/>
      <c r="B13" s="1"/>
      <c r="C13" s="1"/>
      <c r="D13" s="1"/>
      <c r="E13" s="1"/>
      <c r="F13" s="6"/>
      <c r="G13" s="3"/>
      <c r="H13" s="10"/>
      <c r="I13" s="10"/>
      <c r="J13" s="10"/>
      <c r="K13" s="10"/>
      <c r="L13" s="10"/>
      <c r="M13" s="10"/>
      <c r="N13" s="10"/>
      <c r="O13" s="10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2"/>
    </row>
    <row r="14" spans="1:30" ht="20.25" x14ac:dyDescent="0.3">
      <c r="A14" s="4"/>
      <c r="B14" s="28" t="s">
        <v>30</v>
      </c>
      <c r="C14" s="29"/>
      <c r="D14" s="29"/>
      <c r="E14" s="30"/>
      <c r="F14" s="13" t="s">
        <v>31</v>
      </c>
      <c r="G14" s="7"/>
      <c r="H14" s="7"/>
      <c r="I14" s="7"/>
      <c r="J14" s="7"/>
      <c r="K14" s="7"/>
      <c r="L14" s="7"/>
      <c r="M14" s="7"/>
      <c r="N14" s="7"/>
      <c r="O14" s="7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14"/>
    </row>
    <row r="15" spans="1:30" ht="20.25" x14ac:dyDescent="0.3">
      <c r="A15" s="4"/>
      <c r="B15" s="28" t="s">
        <v>32</v>
      </c>
      <c r="C15" s="29"/>
      <c r="D15" s="29"/>
      <c r="E15" s="30"/>
      <c r="F15" s="13" t="s">
        <v>33</v>
      </c>
      <c r="G15" s="7"/>
      <c r="H15" s="7"/>
      <c r="I15" s="7"/>
      <c r="J15" s="7"/>
      <c r="K15" s="7"/>
      <c r="L15" s="7"/>
      <c r="M15" s="7"/>
      <c r="N15" s="7"/>
      <c r="O15" s="7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14"/>
    </row>
    <row r="16" spans="1:30" ht="20.25" x14ac:dyDescent="0.3">
      <c r="A16" s="4"/>
      <c r="B16" s="28" t="s">
        <v>34</v>
      </c>
      <c r="C16" s="29"/>
      <c r="D16" s="29"/>
      <c r="E16" s="30"/>
      <c r="F16" s="13" t="s">
        <v>35</v>
      </c>
      <c r="G16" s="7"/>
      <c r="H16" s="7"/>
      <c r="I16" s="7"/>
      <c r="J16" s="7"/>
      <c r="K16" s="7"/>
      <c r="L16" s="7"/>
      <c r="M16" s="7"/>
      <c r="N16" s="7"/>
      <c r="O16" s="7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4"/>
    </row>
    <row r="17" spans="1:30" ht="21" thickBot="1" x14ac:dyDescent="0.35">
      <c r="A17" s="5"/>
      <c r="B17" s="32" t="s">
        <v>36</v>
      </c>
      <c r="C17" s="33"/>
      <c r="D17" s="33"/>
      <c r="E17" s="34"/>
      <c r="F17" s="15" t="s">
        <v>37</v>
      </c>
      <c r="G17" s="16"/>
      <c r="H17" s="16"/>
      <c r="I17" s="16"/>
      <c r="J17" s="16"/>
      <c r="K17" s="16"/>
      <c r="L17" s="16"/>
      <c r="M17" s="16"/>
      <c r="N17" s="16"/>
      <c r="O17" s="16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8"/>
    </row>
    <row r="18" spans="1:30" ht="27" x14ac:dyDescent="0.3">
      <c r="A18" s="9"/>
      <c r="B18" s="1"/>
      <c r="C18" s="1"/>
      <c r="D18" s="1"/>
      <c r="E18" s="1"/>
      <c r="F18" s="6"/>
      <c r="G18" s="3"/>
      <c r="H18" s="10"/>
      <c r="I18" s="10"/>
      <c r="J18" s="10"/>
      <c r="K18" s="10"/>
      <c r="L18" s="10"/>
      <c r="M18" s="10"/>
      <c r="N18" s="10"/>
      <c r="O18" s="10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2"/>
    </row>
    <row r="19" spans="1:30" ht="20.25" x14ac:dyDescent="0.3">
      <c r="A19" s="4"/>
      <c r="B19" s="28" t="s">
        <v>30</v>
      </c>
      <c r="C19" s="29"/>
      <c r="D19" s="29"/>
      <c r="E19" s="30"/>
      <c r="F19" s="13" t="s">
        <v>31</v>
      </c>
      <c r="G19" s="7"/>
      <c r="H19" s="7"/>
      <c r="I19" s="7"/>
      <c r="J19" s="7"/>
      <c r="K19" s="7"/>
      <c r="L19" s="7"/>
      <c r="M19" s="7"/>
      <c r="N19" s="7"/>
      <c r="O19" s="7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14"/>
    </row>
    <row r="20" spans="1:30" ht="20.25" x14ac:dyDescent="0.3">
      <c r="A20" s="4"/>
      <c r="B20" s="28" t="s">
        <v>32</v>
      </c>
      <c r="C20" s="29"/>
      <c r="D20" s="29"/>
      <c r="E20" s="30"/>
      <c r="F20" s="13" t="s">
        <v>33</v>
      </c>
      <c r="G20" s="7"/>
      <c r="H20" s="7"/>
      <c r="I20" s="7"/>
      <c r="J20" s="7"/>
      <c r="K20" s="7"/>
      <c r="L20" s="7"/>
      <c r="M20" s="7"/>
      <c r="N20" s="7"/>
      <c r="O20" s="7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14"/>
    </row>
    <row r="21" spans="1:30" ht="20.25" x14ac:dyDescent="0.3">
      <c r="A21" s="4"/>
      <c r="B21" s="28" t="s">
        <v>34</v>
      </c>
      <c r="C21" s="29"/>
      <c r="D21" s="29"/>
      <c r="E21" s="30"/>
      <c r="F21" s="13" t="s">
        <v>35</v>
      </c>
      <c r="G21" s="7"/>
      <c r="H21" s="7"/>
      <c r="I21" s="7"/>
      <c r="J21" s="7"/>
      <c r="K21" s="7"/>
      <c r="L21" s="7"/>
      <c r="M21" s="7"/>
      <c r="N21" s="7"/>
      <c r="O21" s="7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4"/>
    </row>
    <row r="22" spans="1:30" ht="21" thickBot="1" x14ac:dyDescent="0.35">
      <c r="A22" s="5"/>
      <c r="B22" s="32" t="s">
        <v>36</v>
      </c>
      <c r="C22" s="33"/>
      <c r="D22" s="33"/>
      <c r="E22" s="34"/>
      <c r="F22" s="15" t="s">
        <v>37</v>
      </c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8"/>
    </row>
    <row r="23" spans="1:30" ht="27" x14ac:dyDescent="0.3">
      <c r="A23" s="9"/>
      <c r="B23" s="1"/>
      <c r="C23" s="1"/>
      <c r="D23" s="1"/>
      <c r="E23" s="1"/>
      <c r="F23" s="6"/>
      <c r="G23" s="3"/>
      <c r="H23" s="10"/>
      <c r="I23" s="10"/>
      <c r="J23" s="10"/>
      <c r="K23" s="10"/>
      <c r="L23" s="10"/>
      <c r="M23" s="10"/>
      <c r="N23" s="10"/>
      <c r="O23" s="10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2"/>
    </row>
    <row r="24" spans="1:30" ht="20.25" x14ac:dyDescent="0.3">
      <c r="A24" s="4"/>
      <c r="B24" s="28" t="s">
        <v>30</v>
      </c>
      <c r="C24" s="29"/>
      <c r="D24" s="29"/>
      <c r="E24" s="30"/>
      <c r="F24" s="13" t="s">
        <v>31</v>
      </c>
      <c r="G24" s="7"/>
      <c r="H24" s="7"/>
      <c r="I24" s="7"/>
      <c r="J24" s="7"/>
      <c r="K24" s="7"/>
      <c r="L24" s="7"/>
      <c r="M24" s="7"/>
      <c r="N24" s="7"/>
      <c r="O24" s="7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14"/>
    </row>
    <row r="25" spans="1:30" ht="20.25" x14ac:dyDescent="0.3">
      <c r="A25" s="4"/>
      <c r="B25" s="28" t="s">
        <v>32</v>
      </c>
      <c r="C25" s="29"/>
      <c r="D25" s="29"/>
      <c r="E25" s="30"/>
      <c r="F25" s="13" t="s">
        <v>33</v>
      </c>
      <c r="G25" s="7"/>
      <c r="H25" s="7"/>
      <c r="I25" s="7"/>
      <c r="J25" s="7"/>
      <c r="K25" s="7"/>
      <c r="L25" s="7"/>
      <c r="M25" s="7"/>
      <c r="N25" s="7"/>
      <c r="O25" s="7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4"/>
    </row>
    <row r="26" spans="1:30" ht="20.25" x14ac:dyDescent="0.3">
      <c r="A26" s="4"/>
      <c r="B26" s="28" t="s">
        <v>34</v>
      </c>
      <c r="C26" s="29"/>
      <c r="D26" s="29"/>
      <c r="E26" s="30"/>
      <c r="F26" s="13" t="s">
        <v>35</v>
      </c>
      <c r="G26" s="7"/>
      <c r="H26" s="7"/>
      <c r="I26" s="7"/>
      <c r="J26" s="7"/>
      <c r="K26" s="7"/>
      <c r="L26" s="7"/>
      <c r="M26" s="7"/>
      <c r="N26" s="7"/>
      <c r="O26" s="7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14"/>
    </row>
    <row r="27" spans="1:30" ht="21" thickBot="1" x14ac:dyDescent="0.35">
      <c r="A27" s="5"/>
      <c r="B27" s="32" t="s">
        <v>36</v>
      </c>
      <c r="C27" s="33"/>
      <c r="D27" s="33"/>
      <c r="E27" s="34"/>
      <c r="F27" s="15" t="s">
        <v>37</v>
      </c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8"/>
    </row>
    <row r="28" spans="1:30" ht="27" x14ac:dyDescent="0.3">
      <c r="A28" s="9"/>
      <c r="B28" s="1"/>
      <c r="C28" s="1"/>
      <c r="D28" s="1"/>
      <c r="E28" s="1"/>
      <c r="F28" s="6"/>
      <c r="G28" s="3"/>
      <c r="H28" s="10"/>
      <c r="I28" s="10"/>
      <c r="J28" s="10"/>
      <c r="K28" s="10"/>
      <c r="L28" s="10"/>
      <c r="M28" s="10"/>
      <c r="N28" s="10"/>
      <c r="O28" s="10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2"/>
    </row>
    <row r="29" spans="1:30" ht="20.25" x14ac:dyDescent="0.3">
      <c r="A29" s="4"/>
      <c r="B29" s="28" t="s">
        <v>30</v>
      </c>
      <c r="C29" s="29"/>
      <c r="D29" s="29"/>
      <c r="E29" s="30"/>
      <c r="F29" s="13" t="s">
        <v>31</v>
      </c>
      <c r="G29" s="7"/>
      <c r="H29" s="7"/>
      <c r="I29" s="7"/>
      <c r="J29" s="7"/>
      <c r="K29" s="7"/>
      <c r="L29" s="7"/>
      <c r="M29" s="7"/>
      <c r="N29" s="7"/>
      <c r="O29" s="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14"/>
    </row>
    <row r="30" spans="1:30" ht="20.25" x14ac:dyDescent="0.3">
      <c r="A30" s="4"/>
      <c r="B30" s="28" t="s">
        <v>32</v>
      </c>
      <c r="C30" s="29"/>
      <c r="D30" s="29"/>
      <c r="E30" s="30"/>
      <c r="F30" s="13" t="s">
        <v>33</v>
      </c>
      <c r="G30" s="7"/>
      <c r="H30" s="7"/>
      <c r="I30" s="7"/>
      <c r="J30" s="7"/>
      <c r="K30" s="7"/>
      <c r="L30" s="7"/>
      <c r="M30" s="7"/>
      <c r="N30" s="7"/>
      <c r="O30" s="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4"/>
    </row>
    <row r="31" spans="1:30" ht="20.25" x14ac:dyDescent="0.3">
      <c r="A31" s="4"/>
      <c r="B31" s="28" t="s">
        <v>34</v>
      </c>
      <c r="C31" s="29"/>
      <c r="D31" s="29"/>
      <c r="E31" s="30"/>
      <c r="F31" s="13" t="s">
        <v>35</v>
      </c>
      <c r="G31" s="7"/>
      <c r="H31" s="7"/>
      <c r="I31" s="7"/>
      <c r="J31" s="7"/>
      <c r="K31" s="7"/>
      <c r="L31" s="7"/>
      <c r="M31" s="7"/>
      <c r="N31" s="7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4"/>
    </row>
    <row r="32" spans="1:30" ht="21" thickBot="1" x14ac:dyDescent="0.35">
      <c r="A32" s="5"/>
      <c r="B32" s="32" t="s">
        <v>36</v>
      </c>
      <c r="C32" s="33"/>
      <c r="D32" s="33"/>
      <c r="E32" s="34"/>
      <c r="F32" s="15" t="s">
        <v>37</v>
      </c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8"/>
    </row>
    <row r="33" spans="1:30" ht="27" x14ac:dyDescent="0.3">
      <c r="A33" s="9"/>
      <c r="B33" s="1"/>
      <c r="C33" s="1"/>
      <c r="D33" s="1"/>
      <c r="E33" s="1"/>
      <c r="F33" s="6"/>
      <c r="G33" s="3"/>
      <c r="H33" s="10"/>
      <c r="I33" s="10"/>
      <c r="J33" s="10"/>
      <c r="K33" s="10"/>
      <c r="L33" s="10"/>
      <c r="M33" s="10"/>
      <c r="N33" s="10"/>
      <c r="O33" s="10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2"/>
    </row>
    <row r="34" spans="1:30" ht="20.25" x14ac:dyDescent="0.3">
      <c r="A34" s="4"/>
      <c r="B34" s="28" t="s">
        <v>30</v>
      </c>
      <c r="C34" s="29"/>
      <c r="D34" s="29"/>
      <c r="E34" s="30"/>
      <c r="F34" s="13" t="s">
        <v>31</v>
      </c>
      <c r="G34" s="7"/>
      <c r="H34" s="7"/>
      <c r="I34" s="7"/>
      <c r="J34" s="7"/>
      <c r="K34" s="7"/>
      <c r="L34" s="7"/>
      <c r="M34" s="7"/>
      <c r="N34" s="7"/>
      <c r="O34" s="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14"/>
    </row>
    <row r="35" spans="1:30" ht="20.25" x14ac:dyDescent="0.3">
      <c r="A35" s="4"/>
      <c r="B35" s="28" t="s">
        <v>32</v>
      </c>
      <c r="C35" s="29"/>
      <c r="D35" s="29"/>
      <c r="E35" s="30"/>
      <c r="F35" s="13" t="s">
        <v>33</v>
      </c>
      <c r="G35" s="7"/>
      <c r="H35" s="7"/>
      <c r="I35" s="7"/>
      <c r="J35" s="7"/>
      <c r="K35" s="7"/>
      <c r="L35" s="7"/>
      <c r="M35" s="7"/>
      <c r="N35" s="7"/>
      <c r="O35" s="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14"/>
    </row>
    <row r="36" spans="1:30" ht="20.25" x14ac:dyDescent="0.3">
      <c r="A36" s="4"/>
      <c r="B36" s="28" t="s">
        <v>34</v>
      </c>
      <c r="C36" s="29"/>
      <c r="D36" s="29"/>
      <c r="E36" s="30"/>
      <c r="F36" s="13" t="s">
        <v>35</v>
      </c>
      <c r="G36" s="7"/>
      <c r="H36" s="7"/>
      <c r="I36" s="7"/>
      <c r="J36" s="7"/>
      <c r="K36" s="7"/>
      <c r="L36" s="7"/>
      <c r="M36" s="7"/>
      <c r="N36" s="7"/>
      <c r="O36" s="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14"/>
    </row>
    <row r="37" spans="1:30" ht="21" thickBot="1" x14ac:dyDescent="0.35">
      <c r="A37" s="5"/>
      <c r="B37" s="32" t="s">
        <v>36</v>
      </c>
      <c r="C37" s="33"/>
      <c r="D37" s="33"/>
      <c r="E37" s="34"/>
      <c r="F37" s="15" t="s">
        <v>37</v>
      </c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8"/>
    </row>
    <row r="38" spans="1:30" ht="27" x14ac:dyDescent="0.3">
      <c r="A38" s="9"/>
      <c r="B38" s="1"/>
      <c r="C38" s="1"/>
      <c r="D38" s="1"/>
      <c r="E38" s="1"/>
      <c r="F38" s="6"/>
      <c r="G38" s="3"/>
      <c r="H38" s="10"/>
      <c r="I38" s="10"/>
      <c r="J38" s="10"/>
      <c r="K38" s="10"/>
      <c r="L38" s="10"/>
      <c r="M38" s="10"/>
      <c r="N38" s="10"/>
      <c r="O38" s="10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2"/>
    </row>
    <row r="39" spans="1:30" ht="20.25" x14ac:dyDescent="0.3">
      <c r="A39" s="4"/>
      <c r="B39" s="28" t="s">
        <v>30</v>
      </c>
      <c r="C39" s="29"/>
      <c r="D39" s="29"/>
      <c r="E39" s="30"/>
      <c r="F39" s="13" t="s">
        <v>31</v>
      </c>
      <c r="G39" s="7"/>
      <c r="H39" s="7"/>
      <c r="I39" s="7"/>
      <c r="J39" s="7"/>
      <c r="K39" s="7"/>
      <c r="L39" s="7"/>
      <c r="M39" s="7"/>
      <c r="N39" s="7"/>
      <c r="O39" s="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14"/>
    </row>
    <row r="40" spans="1:30" ht="20.25" x14ac:dyDescent="0.3">
      <c r="A40" s="4"/>
      <c r="B40" s="28" t="s">
        <v>32</v>
      </c>
      <c r="C40" s="29"/>
      <c r="D40" s="29"/>
      <c r="E40" s="30"/>
      <c r="F40" s="13" t="s">
        <v>33</v>
      </c>
      <c r="G40" s="7"/>
      <c r="H40" s="7"/>
      <c r="I40" s="7"/>
      <c r="J40" s="7"/>
      <c r="K40" s="7"/>
      <c r="L40" s="7"/>
      <c r="M40" s="7"/>
      <c r="N40" s="7"/>
      <c r="O40" s="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14"/>
    </row>
    <row r="41" spans="1:30" ht="20.25" x14ac:dyDescent="0.3">
      <c r="A41" s="4"/>
      <c r="B41" s="28" t="s">
        <v>34</v>
      </c>
      <c r="C41" s="29"/>
      <c r="D41" s="29"/>
      <c r="E41" s="30"/>
      <c r="F41" s="13" t="s">
        <v>35</v>
      </c>
      <c r="G41" s="7"/>
      <c r="H41" s="7"/>
      <c r="I41" s="7"/>
      <c r="J41" s="7"/>
      <c r="K41" s="7"/>
      <c r="L41" s="7"/>
      <c r="M41" s="7"/>
      <c r="N41" s="7"/>
      <c r="O41" s="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4"/>
    </row>
    <row r="42" spans="1:30" ht="21" thickBot="1" x14ac:dyDescent="0.35">
      <c r="A42" s="5"/>
      <c r="B42" s="32" t="s">
        <v>36</v>
      </c>
      <c r="C42" s="33"/>
      <c r="D42" s="33"/>
      <c r="E42" s="34"/>
      <c r="F42" s="15" t="s">
        <v>37</v>
      </c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8"/>
    </row>
    <row r="43" spans="1:30" ht="27" x14ac:dyDescent="0.3">
      <c r="A43" s="9"/>
      <c r="B43" s="1"/>
      <c r="C43" s="1"/>
      <c r="D43" s="1"/>
      <c r="E43" s="1"/>
      <c r="F43" s="6"/>
      <c r="G43" s="3"/>
      <c r="H43" s="10"/>
      <c r="I43" s="10"/>
      <c r="J43" s="10"/>
      <c r="K43" s="10"/>
      <c r="L43" s="10"/>
      <c r="M43" s="10"/>
      <c r="N43" s="10"/>
      <c r="O43" s="10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2"/>
    </row>
    <row r="44" spans="1:30" ht="20.25" x14ac:dyDescent="0.3">
      <c r="A44" s="4"/>
      <c r="B44" s="28" t="s">
        <v>30</v>
      </c>
      <c r="C44" s="29"/>
      <c r="D44" s="29"/>
      <c r="E44" s="30"/>
      <c r="F44" s="13" t="s">
        <v>31</v>
      </c>
      <c r="G44" s="7"/>
      <c r="H44" s="7"/>
      <c r="I44" s="7"/>
      <c r="J44" s="7"/>
      <c r="K44" s="7"/>
      <c r="L44" s="7"/>
      <c r="M44" s="7"/>
      <c r="N44" s="7"/>
      <c r="O44" s="7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4"/>
    </row>
    <row r="45" spans="1:30" ht="20.25" x14ac:dyDescent="0.3">
      <c r="A45" s="4"/>
      <c r="B45" s="28" t="s">
        <v>32</v>
      </c>
      <c r="C45" s="29"/>
      <c r="D45" s="29"/>
      <c r="E45" s="30"/>
      <c r="F45" s="13" t="s">
        <v>33</v>
      </c>
      <c r="G45" s="7"/>
      <c r="H45" s="7"/>
      <c r="I45" s="7"/>
      <c r="J45" s="7"/>
      <c r="K45" s="7"/>
      <c r="L45" s="7"/>
      <c r="M45" s="7"/>
      <c r="N45" s="7"/>
      <c r="O45" s="7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14"/>
    </row>
    <row r="46" spans="1:30" ht="20.25" x14ac:dyDescent="0.3">
      <c r="A46" s="4"/>
      <c r="B46" s="28" t="s">
        <v>34</v>
      </c>
      <c r="C46" s="29"/>
      <c r="D46" s="29"/>
      <c r="E46" s="30"/>
      <c r="F46" s="13" t="s">
        <v>35</v>
      </c>
      <c r="G46" s="7"/>
      <c r="H46" s="7"/>
      <c r="I46" s="7"/>
      <c r="J46" s="7"/>
      <c r="K46" s="7"/>
      <c r="L46" s="7"/>
      <c r="M46" s="7"/>
      <c r="N46" s="7"/>
      <c r="O46" s="7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14"/>
    </row>
    <row r="47" spans="1:30" ht="21" thickBot="1" x14ac:dyDescent="0.35">
      <c r="A47" s="5"/>
      <c r="B47" s="32" t="s">
        <v>36</v>
      </c>
      <c r="C47" s="33"/>
      <c r="D47" s="33"/>
      <c r="E47" s="34"/>
      <c r="F47" s="15" t="s">
        <v>37</v>
      </c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8"/>
    </row>
    <row r="48" spans="1:30" ht="27" x14ac:dyDescent="0.3">
      <c r="A48" s="9"/>
      <c r="B48" s="1"/>
      <c r="C48" s="1"/>
      <c r="D48" s="1"/>
      <c r="E48" s="1"/>
      <c r="F48" s="6"/>
      <c r="G48" s="3"/>
      <c r="H48" s="10"/>
      <c r="I48" s="10"/>
      <c r="J48" s="10"/>
      <c r="K48" s="10"/>
      <c r="L48" s="10"/>
      <c r="M48" s="10"/>
      <c r="N48" s="10"/>
      <c r="O48" s="10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2"/>
    </row>
    <row r="49" spans="1:30" ht="20.25" x14ac:dyDescent="0.3">
      <c r="A49" s="4"/>
      <c r="B49" s="28" t="s">
        <v>30</v>
      </c>
      <c r="C49" s="29"/>
      <c r="D49" s="29"/>
      <c r="E49" s="30"/>
      <c r="F49" s="13" t="s">
        <v>31</v>
      </c>
      <c r="G49" s="7"/>
      <c r="H49" s="7"/>
      <c r="I49" s="7"/>
      <c r="J49" s="7"/>
      <c r="K49" s="7"/>
      <c r="L49" s="7"/>
      <c r="M49" s="7"/>
      <c r="N49" s="7"/>
      <c r="O49" s="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14"/>
    </row>
    <row r="50" spans="1:30" ht="20.25" x14ac:dyDescent="0.3">
      <c r="A50" s="4"/>
      <c r="B50" s="28" t="s">
        <v>32</v>
      </c>
      <c r="C50" s="29"/>
      <c r="D50" s="29"/>
      <c r="E50" s="30"/>
      <c r="F50" s="13" t="s">
        <v>33</v>
      </c>
      <c r="G50" s="7"/>
      <c r="H50" s="7"/>
      <c r="I50" s="7"/>
      <c r="J50" s="7"/>
      <c r="K50" s="7"/>
      <c r="L50" s="7"/>
      <c r="M50" s="7"/>
      <c r="N50" s="7"/>
      <c r="O50" s="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14"/>
    </row>
    <row r="51" spans="1:30" ht="20.25" x14ac:dyDescent="0.3">
      <c r="A51" s="4"/>
      <c r="B51" s="28" t="s">
        <v>34</v>
      </c>
      <c r="C51" s="29"/>
      <c r="D51" s="29"/>
      <c r="E51" s="30"/>
      <c r="F51" s="13" t="s">
        <v>35</v>
      </c>
      <c r="G51" s="7"/>
      <c r="H51" s="7"/>
      <c r="I51" s="7"/>
      <c r="J51" s="7"/>
      <c r="K51" s="7"/>
      <c r="L51" s="7"/>
      <c r="M51" s="7"/>
      <c r="N51" s="7"/>
      <c r="O51" s="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14"/>
    </row>
    <row r="52" spans="1:30" ht="21" thickBot="1" x14ac:dyDescent="0.35">
      <c r="A52" s="5"/>
      <c r="B52" s="32" t="s">
        <v>36</v>
      </c>
      <c r="C52" s="33"/>
      <c r="D52" s="33"/>
      <c r="E52" s="34"/>
      <c r="F52" s="15" t="s">
        <v>37</v>
      </c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8"/>
    </row>
  </sheetData>
  <mergeCells count="30">
    <mergeCell ref="AC1:AC2"/>
    <mergeCell ref="AD1:AD2"/>
    <mergeCell ref="M1:M2"/>
    <mergeCell ref="G1:G2"/>
    <mergeCell ref="Z1:Z2"/>
    <mergeCell ref="AA1:AA2"/>
    <mergeCell ref="AB1:AB2"/>
    <mergeCell ref="H1:H2"/>
    <mergeCell ref="I1:I2"/>
    <mergeCell ref="J1:J2"/>
    <mergeCell ref="K1:K2"/>
    <mergeCell ref="L1:L2"/>
    <mergeCell ref="X1:X2"/>
    <mergeCell ref="Y1:Y2"/>
    <mergeCell ref="N1:N2"/>
    <mergeCell ref="O1:O2"/>
    <mergeCell ref="U1:U2"/>
    <mergeCell ref="V1:V2"/>
    <mergeCell ref="W1:W2"/>
    <mergeCell ref="A1:A2"/>
    <mergeCell ref="B1:B2"/>
    <mergeCell ref="D1:D2"/>
    <mergeCell ref="E1:E2"/>
    <mergeCell ref="F1:F2"/>
    <mergeCell ref="C1:C2"/>
    <mergeCell ref="P1:P2"/>
    <mergeCell ref="Q1:Q2"/>
    <mergeCell ref="R1:R2"/>
    <mergeCell ref="S1:S2"/>
    <mergeCell ref="T1:T2"/>
  </mergeCells>
  <pageMargins left="0.7" right="0.7" top="0.75" bottom="0.75" header="0.3" footer="0.3"/>
  <pageSetup paperSize="8" scale="0" firstPageNumber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6DBD-8AC6-4F85-B2CE-6352067CEF22}">
  <sheetPr>
    <tabColor theme="2" tint="-0.499984740745262"/>
  </sheetPr>
  <dimension ref="A1:GZ72"/>
  <sheetViews>
    <sheetView workbookViewId="0">
      <selection sqref="A1:A3"/>
    </sheetView>
  </sheetViews>
  <sheetFormatPr defaultColWidth="9.140625" defaultRowHeight="15" x14ac:dyDescent="0.25"/>
  <cols>
    <col min="1" max="1" width="5.7109375" style="23" customWidth="1"/>
    <col min="2" max="2" width="10.7109375" style="23" customWidth="1"/>
    <col min="3" max="3" width="15.42578125" style="23" customWidth="1"/>
    <col min="4" max="4" width="7.28515625" style="23" customWidth="1"/>
    <col min="5" max="6" width="8.85546875" style="23" customWidth="1"/>
    <col min="7" max="8" width="14" style="23" customWidth="1"/>
    <col min="9" max="14" width="10.28515625" style="23" customWidth="1"/>
    <col min="15" max="16" width="13.28515625" style="23" customWidth="1"/>
    <col min="17" max="20" width="10.28515625" style="23" customWidth="1"/>
    <col min="21" max="25" width="9.140625" style="23"/>
    <col min="26" max="26" width="10.42578125" style="23" customWidth="1"/>
    <col min="27" max="27" width="10.7109375" style="23" customWidth="1"/>
    <col min="28" max="28" width="9.140625" style="23"/>
    <col min="29" max="30" width="8.140625" style="23" customWidth="1"/>
    <col min="31" max="31" width="7.28515625" style="23" customWidth="1"/>
    <col min="32" max="32" width="9.140625" style="23" customWidth="1"/>
    <col min="33" max="33" width="8.140625" style="23" customWidth="1"/>
    <col min="34" max="34" width="19.7109375" style="23" customWidth="1"/>
    <col min="35" max="16384" width="9.140625" style="23"/>
  </cols>
  <sheetData>
    <row r="1" spans="1:208" ht="14.45" customHeight="1" x14ac:dyDescent="0.25">
      <c r="A1" s="180" t="s">
        <v>38</v>
      </c>
      <c r="B1" s="178" t="s">
        <v>39</v>
      </c>
      <c r="C1" s="183" t="s">
        <v>40</v>
      </c>
      <c r="D1" s="184" t="s">
        <v>41</v>
      </c>
      <c r="E1" s="184"/>
      <c r="F1" s="184"/>
      <c r="G1" s="184"/>
      <c r="H1" s="184"/>
      <c r="I1" s="184"/>
      <c r="J1" s="184"/>
      <c r="K1" s="184"/>
      <c r="L1" s="184"/>
      <c r="M1" s="184"/>
      <c r="N1" s="178" t="s">
        <v>42</v>
      </c>
      <c r="O1" s="178"/>
      <c r="P1" s="178"/>
      <c r="Q1" s="178"/>
      <c r="R1" s="178"/>
      <c r="S1" s="178"/>
      <c r="T1" s="178"/>
      <c r="U1" s="178"/>
      <c r="V1" s="183" t="s">
        <v>43</v>
      </c>
      <c r="W1" s="177" t="s">
        <v>44</v>
      </c>
      <c r="X1" s="180" t="s">
        <v>45</v>
      </c>
      <c r="Y1" s="180" t="s">
        <v>46</v>
      </c>
      <c r="Z1" s="180"/>
      <c r="AA1" s="180"/>
      <c r="AB1" s="180"/>
      <c r="AC1" s="177" t="s">
        <v>47</v>
      </c>
      <c r="AD1" s="177" t="s">
        <v>48</v>
      </c>
      <c r="AE1" s="181" t="s">
        <v>49</v>
      </c>
      <c r="AF1" s="177" t="s">
        <v>50</v>
      </c>
      <c r="AG1" s="177" t="s">
        <v>4</v>
      </c>
      <c r="AH1" s="177" t="s">
        <v>51</v>
      </c>
      <c r="AI1" s="180" t="s">
        <v>52</v>
      </c>
      <c r="AJ1" s="180"/>
      <c r="AK1" s="180" t="s">
        <v>6</v>
      </c>
      <c r="AL1" s="177" t="s">
        <v>53</v>
      </c>
      <c r="AM1" s="213" t="s">
        <v>8</v>
      </c>
      <c r="AN1" s="213" t="s">
        <v>9</v>
      </c>
      <c r="AO1" s="213" t="s">
        <v>10</v>
      </c>
      <c r="AP1" s="213" t="s">
        <v>11</v>
      </c>
      <c r="AQ1" s="213" t="s">
        <v>12</v>
      </c>
      <c r="AR1" s="213" t="s">
        <v>13</v>
      </c>
      <c r="AS1" s="213" t="s">
        <v>14</v>
      </c>
      <c r="AT1" s="213" t="s">
        <v>15</v>
      </c>
      <c r="AU1" s="213" t="s">
        <v>16</v>
      </c>
      <c r="AV1" s="213" t="s">
        <v>17</v>
      </c>
      <c r="AW1" s="213" t="s">
        <v>18</v>
      </c>
      <c r="AX1" s="213" t="s">
        <v>19</v>
      </c>
      <c r="AY1" s="213" t="s">
        <v>20</v>
      </c>
      <c r="AZ1" s="213" t="s">
        <v>21</v>
      </c>
      <c r="BA1" s="213" t="s">
        <v>22</v>
      </c>
      <c r="BB1" s="213" t="s">
        <v>23</v>
      </c>
      <c r="BC1" s="213" t="s">
        <v>24</v>
      </c>
      <c r="BD1" s="213" t="s">
        <v>25</v>
      </c>
      <c r="BE1" s="177" t="s">
        <v>26</v>
      </c>
      <c r="BF1" s="177" t="s">
        <v>54</v>
      </c>
      <c r="BG1" s="177" t="s">
        <v>55</v>
      </c>
      <c r="BH1" s="177" t="s">
        <v>56</v>
      </c>
      <c r="BI1" s="177" t="s">
        <v>57</v>
      </c>
      <c r="BJ1" s="177" t="s">
        <v>58</v>
      </c>
      <c r="BK1" s="177" t="s">
        <v>59</v>
      </c>
      <c r="BL1" s="177" t="s">
        <v>60</v>
      </c>
      <c r="BM1" s="177" t="s">
        <v>61</v>
      </c>
      <c r="BN1" s="177" t="s">
        <v>62</v>
      </c>
      <c r="BO1" s="177" t="s">
        <v>63</v>
      </c>
      <c r="BP1" s="177" t="s">
        <v>64</v>
      </c>
      <c r="BQ1" s="177" t="s">
        <v>65</v>
      </c>
      <c r="BR1" s="177" t="s">
        <v>66</v>
      </c>
      <c r="BS1" s="177" t="s">
        <v>67</v>
      </c>
      <c r="BT1" s="177" t="s">
        <v>68</v>
      </c>
      <c r="BU1" s="177" t="s">
        <v>69</v>
      </c>
      <c r="BV1" s="177" t="s">
        <v>70</v>
      </c>
      <c r="BW1" s="177" t="s">
        <v>71</v>
      </c>
      <c r="BX1" s="177" t="s">
        <v>72</v>
      </c>
      <c r="BY1" s="177" t="s">
        <v>73</v>
      </c>
      <c r="BZ1" s="177" t="s">
        <v>74</v>
      </c>
      <c r="CA1" s="177" t="s">
        <v>75</v>
      </c>
      <c r="CB1" s="177" t="s">
        <v>76</v>
      </c>
      <c r="CC1" s="177" t="s">
        <v>77</v>
      </c>
      <c r="CD1" s="177" t="s">
        <v>78</v>
      </c>
      <c r="CE1" s="177" t="s">
        <v>79</v>
      </c>
      <c r="CF1" s="177" t="s">
        <v>80</v>
      </c>
      <c r="CG1" s="177" t="s">
        <v>81</v>
      </c>
      <c r="CH1" s="177" t="s">
        <v>82</v>
      </c>
      <c r="CI1" s="177" t="s">
        <v>83</v>
      </c>
      <c r="CJ1" s="177" t="s">
        <v>84</v>
      </c>
      <c r="CK1" s="177" t="s">
        <v>85</v>
      </c>
      <c r="CL1" s="177" t="s">
        <v>86</v>
      </c>
      <c r="CM1" s="177" t="s">
        <v>87</v>
      </c>
      <c r="CN1" s="177" t="s">
        <v>88</v>
      </c>
      <c r="CO1" s="177" t="s">
        <v>89</v>
      </c>
      <c r="CP1" s="177" t="s">
        <v>90</v>
      </c>
      <c r="CQ1" s="177" t="s">
        <v>91</v>
      </c>
      <c r="CR1" s="177" t="s">
        <v>92</v>
      </c>
      <c r="CS1" s="177" t="s">
        <v>93</v>
      </c>
      <c r="CT1" s="177" t="s">
        <v>94</v>
      </c>
      <c r="CU1" s="177" t="s">
        <v>95</v>
      </c>
      <c r="CV1" s="177" t="s">
        <v>96</v>
      </c>
      <c r="CW1" s="177" t="s">
        <v>97</v>
      </c>
      <c r="CX1" s="177" t="s">
        <v>98</v>
      </c>
      <c r="CY1" s="177" t="s">
        <v>99</v>
      </c>
      <c r="CZ1" s="177" t="s">
        <v>100</v>
      </c>
      <c r="DA1" s="177" t="s">
        <v>101</v>
      </c>
      <c r="DB1" s="177" t="s">
        <v>102</v>
      </c>
      <c r="DC1" s="177" t="s">
        <v>103</v>
      </c>
      <c r="DD1" s="177" t="s">
        <v>104</v>
      </c>
      <c r="DE1" s="177" t="s">
        <v>105</v>
      </c>
      <c r="DF1" s="177" t="s">
        <v>106</v>
      </c>
      <c r="DG1" s="177" t="s">
        <v>107</v>
      </c>
      <c r="DH1" s="177" t="s">
        <v>108</v>
      </c>
      <c r="DI1" s="177" t="s">
        <v>109</v>
      </c>
      <c r="DJ1" s="177" t="s">
        <v>110</v>
      </c>
      <c r="DK1" s="177" t="s">
        <v>111</v>
      </c>
      <c r="DL1" s="177" t="s">
        <v>112</v>
      </c>
      <c r="DM1" s="177" t="s">
        <v>113</v>
      </c>
      <c r="DN1" s="177" t="s">
        <v>114</v>
      </c>
      <c r="DO1" s="177" t="s">
        <v>115</v>
      </c>
      <c r="DP1" s="177" t="s">
        <v>116</v>
      </c>
      <c r="DQ1" s="177" t="s">
        <v>117</v>
      </c>
      <c r="DR1" s="177" t="s">
        <v>118</v>
      </c>
      <c r="DS1" s="177" t="s">
        <v>119</v>
      </c>
      <c r="DT1" s="177" t="s">
        <v>120</v>
      </c>
      <c r="DU1" s="177" t="s">
        <v>121</v>
      </c>
      <c r="DV1" s="177" t="s">
        <v>122</v>
      </c>
      <c r="DW1" s="177" t="s">
        <v>123</v>
      </c>
      <c r="DX1" s="177" t="s">
        <v>124</v>
      </c>
      <c r="DY1" s="177" t="s">
        <v>125</v>
      </c>
      <c r="DZ1" s="177" t="s">
        <v>126</v>
      </c>
      <c r="EA1" s="177" t="s">
        <v>127</v>
      </c>
      <c r="EB1" s="177" t="s">
        <v>128</v>
      </c>
      <c r="EC1" s="177" t="s">
        <v>129</v>
      </c>
      <c r="ED1" s="177" t="s">
        <v>130</v>
      </c>
      <c r="EE1" s="177" t="s">
        <v>131</v>
      </c>
      <c r="EF1" s="177" t="s">
        <v>132</v>
      </c>
      <c r="EG1" s="177" t="s">
        <v>133</v>
      </c>
      <c r="EH1" s="177" t="s">
        <v>134</v>
      </c>
      <c r="EI1" s="177" t="s">
        <v>135</v>
      </c>
      <c r="EJ1" s="177" t="s">
        <v>136</v>
      </c>
      <c r="EK1" s="177" t="s">
        <v>137</v>
      </c>
      <c r="EL1" s="177" t="s">
        <v>138</v>
      </c>
      <c r="EM1" s="177" t="s">
        <v>139</v>
      </c>
      <c r="EN1" s="177" t="s">
        <v>140</v>
      </c>
      <c r="EO1" s="177" t="s">
        <v>141</v>
      </c>
      <c r="EP1" s="177" t="s">
        <v>142</v>
      </c>
      <c r="EQ1" s="177" t="s">
        <v>143</v>
      </c>
      <c r="ER1" s="177" t="s">
        <v>144</v>
      </c>
      <c r="ES1" s="177" t="s">
        <v>145</v>
      </c>
      <c r="ET1" s="177" t="s">
        <v>146</v>
      </c>
      <c r="EU1" s="177" t="s">
        <v>147</v>
      </c>
      <c r="EV1" s="177" t="s">
        <v>148</v>
      </c>
      <c r="EW1" s="177" t="s">
        <v>149</v>
      </c>
      <c r="EX1" s="177" t="s">
        <v>150</v>
      </c>
      <c r="EY1" s="177" t="s">
        <v>151</v>
      </c>
      <c r="EZ1" s="177" t="s">
        <v>152</v>
      </c>
      <c r="FA1" s="177" t="s">
        <v>153</v>
      </c>
      <c r="FB1" s="177" t="s">
        <v>154</v>
      </c>
      <c r="FC1" s="177" t="s">
        <v>155</v>
      </c>
      <c r="FD1" s="177" t="s">
        <v>156</v>
      </c>
      <c r="FE1" s="177" t="s">
        <v>157</v>
      </c>
      <c r="FF1" s="177" t="s">
        <v>158</v>
      </c>
      <c r="FG1" s="177" t="s">
        <v>159</v>
      </c>
      <c r="FH1" s="177" t="s">
        <v>160</v>
      </c>
      <c r="FI1" s="177" t="s">
        <v>161</v>
      </c>
      <c r="FJ1" s="177" t="s">
        <v>162</v>
      </c>
      <c r="FK1" s="177" t="s">
        <v>163</v>
      </c>
      <c r="FL1" s="177" t="s">
        <v>164</v>
      </c>
      <c r="FM1" s="177" t="s">
        <v>165</v>
      </c>
      <c r="FN1" s="177" t="s">
        <v>166</v>
      </c>
      <c r="FO1" s="177" t="s">
        <v>167</v>
      </c>
      <c r="FP1" s="177" t="s">
        <v>168</v>
      </c>
      <c r="FQ1" s="177" t="s">
        <v>169</v>
      </c>
      <c r="FR1" s="177" t="s">
        <v>170</v>
      </c>
      <c r="FS1" s="177" t="s">
        <v>171</v>
      </c>
      <c r="FT1" s="177" t="s">
        <v>172</v>
      </c>
      <c r="FU1" s="177" t="s">
        <v>173</v>
      </c>
      <c r="FV1" s="177" t="s">
        <v>174</v>
      </c>
      <c r="FW1" s="177" t="s">
        <v>175</v>
      </c>
      <c r="FX1" s="177" t="s">
        <v>176</v>
      </c>
      <c r="FY1" s="177" t="s">
        <v>177</v>
      </c>
      <c r="FZ1" s="177" t="s">
        <v>178</v>
      </c>
      <c r="GA1" s="177" t="s">
        <v>179</v>
      </c>
      <c r="GB1" s="177" t="s">
        <v>180</v>
      </c>
      <c r="GC1" s="177" t="s">
        <v>181</v>
      </c>
      <c r="GD1" s="177" t="s">
        <v>182</v>
      </c>
      <c r="GE1" s="177" t="s">
        <v>183</v>
      </c>
      <c r="GF1" s="177" t="s">
        <v>184</v>
      </c>
      <c r="GG1" s="177" t="s">
        <v>185</v>
      </c>
      <c r="GH1" s="177" t="s">
        <v>186</v>
      </c>
      <c r="GI1" s="177" t="s">
        <v>187</v>
      </c>
      <c r="GJ1" s="177" t="s">
        <v>188</v>
      </c>
      <c r="GK1" s="177" t="s">
        <v>189</v>
      </c>
      <c r="GL1" s="177" t="s">
        <v>190</v>
      </c>
      <c r="GM1" s="177" t="s">
        <v>191</v>
      </c>
      <c r="GN1" s="177" t="s">
        <v>192</v>
      </c>
      <c r="GO1" s="177" t="s">
        <v>193</v>
      </c>
      <c r="GP1" s="177" t="s">
        <v>194</v>
      </c>
      <c r="GQ1" s="177" t="s">
        <v>195</v>
      </c>
      <c r="GR1" s="177" t="s">
        <v>196</v>
      </c>
      <c r="GS1" s="177" t="s">
        <v>197</v>
      </c>
      <c r="GT1" s="177" t="s">
        <v>198</v>
      </c>
      <c r="GU1" s="177" t="s">
        <v>199</v>
      </c>
      <c r="GV1" s="177" t="s">
        <v>200</v>
      </c>
      <c r="GW1" s="177" t="s">
        <v>201</v>
      </c>
      <c r="GX1" s="177" t="s">
        <v>202</v>
      </c>
      <c r="GY1" s="177" t="s">
        <v>203</v>
      </c>
      <c r="GZ1" s="177" t="s">
        <v>204</v>
      </c>
    </row>
    <row r="2" spans="1:208" ht="31.15" customHeight="1" x14ac:dyDescent="0.25">
      <c r="A2" s="180"/>
      <c r="B2" s="178"/>
      <c r="C2" s="183"/>
      <c r="D2" s="178" t="s">
        <v>205</v>
      </c>
      <c r="E2" s="178"/>
      <c r="F2" s="179" t="s">
        <v>206</v>
      </c>
      <c r="G2" s="179"/>
      <c r="H2" s="178" t="s">
        <v>207</v>
      </c>
      <c r="I2" s="178"/>
      <c r="J2" s="178" t="s">
        <v>208</v>
      </c>
      <c r="K2" s="178"/>
      <c r="L2" s="178" t="s">
        <v>209</v>
      </c>
      <c r="M2" s="178"/>
      <c r="N2" s="179" t="s">
        <v>206</v>
      </c>
      <c r="O2" s="179"/>
      <c r="P2" s="178" t="s">
        <v>207</v>
      </c>
      <c r="Q2" s="178"/>
      <c r="R2" s="178" t="s">
        <v>208</v>
      </c>
      <c r="S2" s="178"/>
      <c r="T2" s="178" t="s">
        <v>209</v>
      </c>
      <c r="U2" s="178"/>
      <c r="V2" s="183"/>
      <c r="W2" s="177"/>
      <c r="X2" s="180"/>
      <c r="Y2" s="177" t="s">
        <v>210</v>
      </c>
      <c r="Z2" s="180" t="s">
        <v>211</v>
      </c>
      <c r="AA2" s="180"/>
      <c r="AB2" s="180"/>
      <c r="AC2" s="177"/>
      <c r="AD2" s="177"/>
      <c r="AE2" s="181"/>
      <c r="AF2" s="177"/>
      <c r="AG2" s="177"/>
      <c r="AH2" s="177"/>
      <c r="AI2" s="20" t="s">
        <v>212</v>
      </c>
      <c r="AJ2" s="20" t="s">
        <v>213</v>
      </c>
      <c r="AK2" s="180"/>
      <c r="AL2" s="177"/>
      <c r="AM2" s="177"/>
      <c r="AN2" s="177"/>
      <c r="AO2" s="177"/>
      <c r="AP2" s="177"/>
      <c r="AQ2" s="177"/>
      <c r="AR2" s="177"/>
      <c r="AS2" s="177"/>
      <c r="AT2" s="177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7"/>
      <c r="BQ2" s="177"/>
      <c r="BR2" s="177"/>
      <c r="BS2" s="177"/>
      <c r="BT2" s="177"/>
      <c r="BU2" s="177"/>
      <c r="BV2" s="177"/>
      <c r="BW2" s="177"/>
      <c r="BX2" s="177"/>
      <c r="BY2" s="177"/>
      <c r="BZ2" s="177"/>
      <c r="CA2" s="177"/>
      <c r="CB2" s="177"/>
      <c r="CC2" s="177"/>
      <c r="CD2" s="177"/>
      <c r="CE2" s="177"/>
      <c r="CF2" s="177"/>
      <c r="CG2" s="177"/>
      <c r="CH2" s="177"/>
      <c r="CI2" s="177"/>
      <c r="CJ2" s="177"/>
      <c r="CK2" s="177"/>
      <c r="CL2" s="177"/>
      <c r="CM2" s="177"/>
      <c r="CN2" s="177"/>
      <c r="CO2" s="177"/>
      <c r="CP2" s="177"/>
      <c r="CQ2" s="177"/>
      <c r="CR2" s="177"/>
      <c r="CS2" s="177"/>
      <c r="CT2" s="177"/>
      <c r="CU2" s="177"/>
      <c r="CV2" s="177"/>
      <c r="CW2" s="177"/>
      <c r="CX2" s="177"/>
      <c r="CY2" s="177"/>
      <c r="CZ2" s="177"/>
      <c r="DA2" s="177"/>
      <c r="DB2" s="177"/>
      <c r="DC2" s="177"/>
      <c r="DD2" s="177"/>
      <c r="DE2" s="177"/>
      <c r="DF2" s="177"/>
      <c r="DG2" s="177"/>
      <c r="DH2" s="177"/>
      <c r="DI2" s="177"/>
      <c r="DJ2" s="177"/>
      <c r="DK2" s="177"/>
      <c r="DL2" s="177"/>
      <c r="DM2" s="177"/>
      <c r="DN2" s="177"/>
      <c r="DO2" s="177"/>
      <c r="DP2" s="177"/>
      <c r="DQ2" s="177"/>
      <c r="DR2" s="177"/>
      <c r="DS2" s="177"/>
      <c r="DT2" s="177"/>
      <c r="DU2" s="177"/>
      <c r="DV2" s="177"/>
      <c r="DW2" s="177"/>
      <c r="DX2" s="177"/>
      <c r="DY2" s="177"/>
      <c r="DZ2" s="177"/>
      <c r="EA2" s="177"/>
      <c r="EB2" s="177"/>
      <c r="EC2" s="177"/>
      <c r="ED2" s="177"/>
      <c r="EE2" s="177"/>
      <c r="EF2" s="177"/>
      <c r="EG2" s="177"/>
      <c r="EH2" s="177"/>
      <c r="EI2" s="177"/>
      <c r="EJ2" s="177"/>
      <c r="EK2" s="177"/>
      <c r="EL2" s="177"/>
      <c r="EM2" s="177"/>
      <c r="EN2" s="177"/>
      <c r="EO2" s="177"/>
      <c r="EP2" s="177"/>
      <c r="EQ2" s="177"/>
      <c r="ER2" s="177"/>
      <c r="ES2" s="177"/>
      <c r="ET2" s="177"/>
      <c r="EU2" s="177"/>
      <c r="EV2" s="177"/>
      <c r="EW2" s="177"/>
      <c r="EX2" s="177"/>
      <c r="EY2" s="177"/>
      <c r="EZ2" s="177"/>
      <c r="FA2" s="177"/>
      <c r="FB2" s="177"/>
      <c r="FC2" s="177"/>
      <c r="FD2" s="177"/>
      <c r="FE2" s="177"/>
      <c r="FF2" s="177"/>
      <c r="FG2" s="177"/>
      <c r="FH2" s="177"/>
      <c r="FI2" s="177"/>
      <c r="FJ2" s="177"/>
      <c r="FK2" s="177"/>
      <c r="FL2" s="177"/>
      <c r="FM2" s="177"/>
      <c r="FN2" s="177"/>
      <c r="FO2" s="177"/>
      <c r="FP2" s="177"/>
      <c r="FQ2" s="177"/>
      <c r="FR2" s="177"/>
      <c r="FS2" s="177"/>
      <c r="FT2" s="177"/>
      <c r="FU2" s="177"/>
      <c r="FV2" s="177"/>
      <c r="FW2" s="177"/>
      <c r="FX2" s="177"/>
      <c r="FY2" s="177"/>
      <c r="FZ2" s="177"/>
      <c r="GA2" s="177"/>
      <c r="GB2" s="177"/>
      <c r="GC2" s="177"/>
      <c r="GD2" s="177"/>
      <c r="GE2" s="177"/>
      <c r="GF2" s="177"/>
      <c r="GG2" s="177"/>
      <c r="GH2" s="177"/>
      <c r="GI2" s="177"/>
      <c r="GJ2" s="177"/>
      <c r="GK2" s="177"/>
      <c r="GL2" s="177"/>
      <c r="GM2" s="177"/>
      <c r="GN2" s="177"/>
      <c r="GO2" s="177"/>
      <c r="GP2" s="177"/>
      <c r="GQ2" s="177"/>
      <c r="GR2" s="177"/>
      <c r="GS2" s="177"/>
      <c r="GT2" s="177"/>
      <c r="GU2" s="177"/>
      <c r="GV2" s="177"/>
      <c r="GW2" s="177"/>
      <c r="GX2" s="177"/>
      <c r="GY2" s="177"/>
      <c r="GZ2" s="177"/>
    </row>
    <row r="3" spans="1:208" ht="22.9" customHeight="1" x14ac:dyDescent="0.25">
      <c r="A3" s="180"/>
      <c r="B3" s="178"/>
      <c r="C3" s="183"/>
      <c r="D3" s="35" t="s">
        <v>214</v>
      </c>
      <c r="E3" s="35" t="s">
        <v>215</v>
      </c>
      <c r="F3" s="35" t="s">
        <v>214</v>
      </c>
      <c r="G3" s="35" t="s">
        <v>215</v>
      </c>
      <c r="H3" s="35" t="s">
        <v>214</v>
      </c>
      <c r="I3" s="35" t="s">
        <v>215</v>
      </c>
      <c r="J3" s="35" t="s">
        <v>214</v>
      </c>
      <c r="K3" s="35" t="s">
        <v>215</v>
      </c>
      <c r="L3" s="35" t="s">
        <v>214</v>
      </c>
      <c r="M3" s="35" t="s">
        <v>215</v>
      </c>
      <c r="N3" s="35" t="s">
        <v>214</v>
      </c>
      <c r="O3" s="35" t="s">
        <v>215</v>
      </c>
      <c r="P3" s="35" t="s">
        <v>214</v>
      </c>
      <c r="Q3" s="35" t="s">
        <v>215</v>
      </c>
      <c r="R3" s="35" t="s">
        <v>214</v>
      </c>
      <c r="S3" s="35" t="s">
        <v>215</v>
      </c>
      <c r="T3" s="35" t="s">
        <v>214</v>
      </c>
      <c r="U3" s="35" t="s">
        <v>215</v>
      </c>
      <c r="V3" s="183"/>
      <c r="W3" s="177"/>
      <c r="X3" s="180"/>
      <c r="Y3" s="177"/>
      <c r="Z3" s="21" t="s">
        <v>216</v>
      </c>
      <c r="AA3" s="21" t="s">
        <v>217</v>
      </c>
      <c r="AB3" s="21" t="s">
        <v>218</v>
      </c>
    </row>
    <row r="4" spans="1:208" x14ac:dyDescent="0.25">
      <c r="AC4" s="19" t="s">
        <v>30</v>
      </c>
      <c r="AD4" s="19"/>
      <c r="AE4" s="19"/>
      <c r="AF4" s="19"/>
      <c r="AG4" s="19"/>
      <c r="AH4" s="36" t="s">
        <v>31</v>
      </c>
    </row>
    <row r="5" spans="1:208" x14ac:dyDescent="0.25">
      <c r="AC5" s="19" t="s">
        <v>32</v>
      </c>
      <c r="AD5" s="19"/>
      <c r="AE5" s="19"/>
      <c r="AF5" s="19"/>
      <c r="AG5" s="19"/>
      <c r="AH5" s="36" t="s">
        <v>33</v>
      </c>
    </row>
    <row r="6" spans="1:208" x14ac:dyDescent="0.25">
      <c r="AC6" s="19" t="s">
        <v>34</v>
      </c>
      <c r="AD6" s="19"/>
      <c r="AE6" s="19"/>
      <c r="AF6" s="19"/>
      <c r="AG6" s="19"/>
      <c r="AH6" s="36" t="s">
        <v>35</v>
      </c>
    </row>
    <row r="7" spans="1:208" x14ac:dyDescent="0.25">
      <c r="AC7" s="22" t="s">
        <v>36</v>
      </c>
      <c r="AD7" s="22"/>
      <c r="AE7" s="22"/>
      <c r="AF7" s="22"/>
      <c r="AG7" s="22"/>
      <c r="AH7" s="36" t="s">
        <v>37</v>
      </c>
    </row>
    <row r="9" spans="1:208" x14ac:dyDescent="0.25">
      <c r="AC9" s="19" t="s">
        <v>30</v>
      </c>
      <c r="AD9" s="19"/>
      <c r="AE9" s="19"/>
      <c r="AF9" s="19"/>
      <c r="AG9" s="19"/>
      <c r="AH9" s="36" t="s">
        <v>31</v>
      </c>
    </row>
    <row r="10" spans="1:208" x14ac:dyDescent="0.25">
      <c r="AC10" s="19" t="s">
        <v>32</v>
      </c>
      <c r="AD10" s="19"/>
      <c r="AE10" s="19"/>
      <c r="AF10" s="19"/>
      <c r="AG10" s="19"/>
      <c r="AH10" s="36" t="s">
        <v>33</v>
      </c>
    </row>
    <row r="11" spans="1:208" x14ac:dyDescent="0.25">
      <c r="AC11" s="19" t="s">
        <v>34</v>
      </c>
      <c r="AD11" s="19"/>
      <c r="AE11" s="19"/>
      <c r="AF11" s="19"/>
      <c r="AG11" s="19"/>
      <c r="AH11" s="36" t="s">
        <v>35</v>
      </c>
    </row>
    <row r="12" spans="1:208" x14ac:dyDescent="0.25">
      <c r="AC12" s="22" t="s">
        <v>36</v>
      </c>
      <c r="AD12" s="22"/>
      <c r="AE12" s="22"/>
      <c r="AF12" s="22"/>
      <c r="AG12" s="22"/>
      <c r="AH12" s="36" t="s">
        <v>37</v>
      </c>
    </row>
    <row r="14" spans="1:208" x14ac:dyDescent="0.25">
      <c r="AC14" s="19" t="s">
        <v>30</v>
      </c>
      <c r="AD14" s="19"/>
      <c r="AE14" s="19"/>
      <c r="AF14" s="19"/>
      <c r="AG14" s="19"/>
      <c r="AH14" s="36" t="s">
        <v>31</v>
      </c>
    </row>
    <row r="15" spans="1:208" x14ac:dyDescent="0.25">
      <c r="AC15" s="19" t="s">
        <v>32</v>
      </c>
      <c r="AD15" s="19"/>
      <c r="AE15" s="19"/>
      <c r="AF15" s="19"/>
      <c r="AG15" s="19"/>
      <c r="AH15" s="36" t="s">
        <v>33</v>
      </c>
    </row>
    <row r="16" spans="1:208" x14ac:dyDescent="0.25">
      <c r="AC16" s="19" t="s">
        <v>34</v>
      </c>
      <c r="AD16" s="19"/>
      <c r="AE16" s="19"/>
      <c r="AF16" s="19"/>
      <c r="AG16" s="19"/>
      <c r="AH16" s="36" t="s">
        <v>35</v>
      </c>
    </row>
    <row r="17" spans="29:34" x14ac:dyDescent="0.25">
      <c r="AC17" s="22" t="s">
        <v>36</v>
      </c>
      <c r="AD17" s="22"/>
      <c r="AE17" s="22"/>
      <c r="AF17" s="22"/>
      <c r="AG17" s="22"/>
      <c r="AH17" s="36" t="s">
        <v>37</v>
      </c>
    </row>
    <row r="19" spans="29:34" x14ac:dyDescent="0.25">
      <c r="AC19" s="19" t="s">
        <v>30</v>
      </c>
      <c r="AD19" s="19"/>
      <c r="AE19" s="19"/>
      <c r="AF19" s="19"/>
      <c r="AG19" s="19"/>
      <c r="AH19" s="36" t="s">
        <v>31</v>
      </c>
    </row>
    <row r="20" spans="29:34" x14ac:dyDescent="0.25">
      <c r="AC20" s="19" t="s">
        <v>32</v>
      </c>
      <c r="AD20" s="19"/>
      <c r="AE20" s="19"/>
      <c r="AF20" s="19"/>
      <c r="AG20" s="19"/>
      <c r="AH20" s="36" t="s">
        <v>33</v>
      </c>
    </row>
    <row r="21" spans="29:34" x14ac:dyDescent="0.25">
      <c r="AC21" s="19" t="s">
        <v>34</v>
      </c>
      <c r="AD21" s="19"/>
      <c r="AE21" s="19"/>
      <c r="AF21" s="19"/>
      <c r="AG21" s="19"/>
      <c r="AH21" s="36" t="s">
        <v>35</v>
      </c>
    </row>
    <row r="22" spans="29:34" x14ac:dyDescent="0.25">
      <c r="AC22" s="22" t="s">
        <v>36</v>
      </c>
      <c r="AD22" s="22"/>
      <c r="AE22" s="22"/>
      <c r="AF22" s="22"/>
      <c r="AG22" s="22"/>
      <c r="AH22" s="36" t="s">
        <v>37</v>
      </c>
    </row>
    <row r="24" spans="29:34" x14ac:dyDescent="0.25">
      <c r="AC24" s="19" t="s">
        <v>30</v>
      </c>
      <c r="AD24" s="19"/>
      <c r="AE24" s="19"/>
      <c r="AF24" s="19"/>
      <c r="AG24" s="19"/>
      <c r="AH24" s="36" t="s">
        <v>31</v>
      </c>
    </row>
    <row r="25" spans="29:34" x14ac:dyDescent="0.25">
      <c r="AC25" s="19" t="s">
        <v>32</v>
      </c>
      <c r="AD25" s="19"/>
      <c r="AE25" s="19"/>
      <c r="AF25" s="19"/>
      <c r="AG25" s="19"/>
      <c r="AH25" s="36" t="s">
        <v>33</v>
      </c>
    </row>
    <row r="26" spans="29:34" x14ac:dyDescent="0.25">
      <c r="AC26" s="19" t="s">
        <v>34</v>
      </c>
      <c r="AD26" s="19"/>
      <c r="AE26" s="19"/>
      <c r="AF26" s="19"/>
      <c r="AG26" s="19"/>
      <c r="AH26" s="36" t="s">
        <v>35</v>
      </c>
    </row>
    <row r="27" spans="29:34" x14ac:dyDescent="0.25">
      <c r="AC27" s="22" t="s">
        <v>36</v>
      </c>
      <c r="AD27" s="22"/>
      <c r="AE27" s="22"/>
      <c r="AF27" s="22"/>
      <c r="AG27" s="22"/>
      <c r="AH27" s="36" t="s">
        <v>37</v>
      </c>
    </row>
    <row r="29" spans="29:34" x14ac:dyDescent="0.25">
      <c r="AC29" s="19" t="s">
        <v>30</v>
      </c>
      <c r="AD29" s="19"/>
      <c r="AE29" s="19"/>
      <c r="AF29" s="19"/>
      <c r="AG29" s="19"/>
      <c r="AH29" s="36" t="s">
        <v>31</v>
      </c>
    </row>
    <row r="30" spans="29:34" x14ac:dyDescent="0.25">
      <c r="AC30" s="19" t="s">
        <v>32</v>
      </c>
      <c r="AD30" s="19"/>
      <c r="AE30" s="19"/>
      <c r="AF30" s="19"/>
      <c r="AG30" s="19"/>
      <c r="AH30" s="36" t="s">
        <v>33</v>
      </c>
    </row>
    <row r="31" spans="29:34" x14ac:dyDescent="0.25">
      <c r="AC31" s="19" t="s">
        <v>34</v>
      </c>
      <c r="AD31" s="19"/>
      <c r="AE31" s="19"/>
      <c r="AF31" s="19"/>
      <c r="AG31" s="19"/>
      <c r="AH31" s="36" t="s">
        <v>35</v>
      </c>
    </row>
    <row r="32" spans="29:34" x14ac:dyDescent="0.25">
      <c r="AC32" s="22" t="s">
        <v>36</v>
      </c>
      <c r="AD32" s="22"/>
      <c r="AE32" s="22"/>
      <c r="AF32" s="22"/>
      <c r="AG32" s="22"/>
      <c r="AH32" s="36" t="s">
        <v>37</v>
      </c>
    </row>
    <row r="34" spans="29:34" x14ac:dyDescent="0.25">
      <c r="AC34" s="19" t="s">
        <v>30</v>
      </c>
      <c r="AD34" s="19"/>
      <c r="AE34" s="19"/>
      <c r="AF34" s="19"/>
      <c r="AG34" s="19"/>
      <c r="AH34" s="36" t="s">
        <v>31</v>
      </c>
    </row>
    <row r="35" spans="29:34" x14ac:dyDescent="0.25">
      <c r="AC35" s="19" t="s">
        <v>32</v>
      </c>
      <c r="AD35" s="19"/>
      <c r="AE35" s="19"/>
      <c r="AF35" s="19"/>
      <c r="AG35" s="19"/>
      <c r="AH35" s="36" t="s">
        <v>33</v>
      </c>
    </row>
    <row r="36" spans="29:34" x14ac:dyDescent="0.25">
      <c r="AC36" s="19" t="s">
        <v>34</v>
      </c>
      <c r="AD36" s="19"/>
      <c r="AE36" s="19"/>
      <c r="AF36" s="19"/>
      <c r="AG36" s="19"/>
      <c r="AH36" s="36" t="s">
        <v>35</v>
      </c>
    </row>
    <row r="37" spans="29:34" x14ac:dyDescent="0.25">
      <c r="AC37" s="22" t="s">
        <v>36</v>
      </c>
      <c r="AD37" s="22"/>
      <c r="AE37" s="22"/>
      <c r="AF37" s="22"/>
      <c r="AG37" s="22"/>
      <c r="AH37" s="36" t="s">
        <v>37</v>
      </c>
    </row>
    <row r="39" spans="29:34" x14ac:dyDescent="0.25">
      <c r="AC39" s="19" t="s">
        <v>30</v>
      </c>
      <c r="AD39" s="19"/>
      <c r="AE39" s="19"/>
      <c r="AF39" s="19"/>
      <c r="AG39" s="19"/>
      <c r="AH39" s="36" t="s">
        <v>31</v>
      </c>
    </row>
    <row r="40" spans="29:34" x14ac:dyDescent="0.25">
      <c r="AC40" s="19" t="s">
        <v>32</v>
      </c>
      <c r="AD40" s="19"/>
      <c r="AE40" s="19"/>
      <c r="AF40" s="19"/>
      <c r="AG40" s="19"/>
      <c r="AH40" s="36" t="s">
        <v>33</v>
      </c>
    </row>
    <row r="41" spans="29:34" x14ac:dyDescent="0.25">
      <c r="AC41" s="19" t="s">
        <v>34</v>
      </c>
      <c r="AD41" s="19"/>
      <c r="AE41" s="19"/>
      <c r="AF41" s="19"/>
      <c r="AG41" s="19"/>
      <c r="AH41" s="36" t="s">
        <v>35</v>
      </c>
    </row>
    <row r="42" spans="29:34" x14ac:dyDescent="0.25">
      <c r="AC42" s="22" t="s">
        <v>36</v>
      </c>
      <c r="AD42" s="22"/>
      <c r="AE42" s="22"/>
      <c r="AF42" s="22"/>
      <c r="AG42" s="22"/>
      <c r="AH42" s="36" t="s">
        <v>37</v>
      </c>
    </row>
    <row r="44" spans="29:34" x14ac:dyDescent="0.25">
      <c r="AC44" s="19" t="s">
        <v>30</v>
      </c>
      <c r="AD44" s="19"/>
      <c r="AE44" s="19"/>
      <c r="AF44" s="19"/>
      <c r="AG44" s="19"/>
      <c r="AH44" s="36" t="s">
        <v>31</v>
      </c>
    </row>
    <row r="45" spans="29:34" x14ac:dyDescent="0.25">
      <c r="AC45" s="19" t="s">
        <v>32</v>
      </c>
      <c r="AD45" s="19"/>
      <c r="AE45" s="19"/>
      <c r="AF45" s="19"/>
      <c r="AG45" s="19"/>
      <c r="AH45" s="36" t="s">
        <v>33</v>
      </c>
    </row>
    <row r="46" spans="29:34" x14ac:dyDescent="0.25">
      <c r="AC46" s="19" t="s">
        <v>34</v>
      </c>
      <c r="AD46" s="19"/>
      <c r="AE46" s="19"/>
      <c r="AF46" s="19"/>
      <c r="AG46" s="19"/>
      <c r="AH46" s="36" t="s">
        <v>35</v>
      </c>
    </row>
    <row r="47" spans="29:34" x14ac:dyDescent="0.25">
      <c r="AC47" s="22" t="s">
        <v>36</v>
      </c>
      <c r="AD47" s="22"/>
      <c r="AE47" s="22"/>
      <c r="AF47" s="22"/>
      <c r="AG47" s="22"/>
      <c r="AH47" s="36" t="s">
        <v>37</v>
      </c>
    </row>
    <row r="49" spans="29:34" x14ac:dyDescent="0.25">
      <c r="AC49" s="19" t="s">
        <v>30</v>
      </c>
      <c r="AD49" s="19"/>
      <c r="AE49" s="19"/>
      <c r="AF49" s="19"/>
      <c r="AG49" s="19"/>
      <c r="AH49" s="36" t="s">
        <v>31</v>
      </c>
    </row>
    <row r="50" spans="29:34" x14ac:dyDescent="0.25">
      <c r="AC50" s="19" t="s">
        <v>32</v>
      </c>
      <c r="AD50" s="19"/>
      <c r="AE50" s="19"/>
      <c r="AF50" s="19"/>
      <c r="AG50" s="19"/>
      <c r="AH50" s="36" t="s">
        <v>33</v>
      </c>
    </row>
    <row r="51" spans="29:34" x14ac:dyDescent="0.25">
      <c r="AC51" s="19" t="s">
        <v>34</v>
      </c>
      <c r="AD51" s="19"/>
      <c r="AE51" s="19"/>
      <c r="AF51" s="19"/>
      <c r="AG51" s="19"/>
      <c r="AH51" s="36" t="s">
        <v>35</v>
      </c>
    </row>
    <row r="52" spans="29:34" x14ac:dyDescent="0.25">
      <c r="AC52" s="22" t="s">
        <v>36</v>
      </c>
      <c r="AD52" s="22"/>
      <c r="AE52" s="22"/>
      <c r="AF52" s="22"/>
      <c r="AG52" s="22"/>
      <c r="AH52" s="36" t="s">
        <v>37</v>
      </c>
    </row>
    <row r="54" spans="29:34" x14ac:dyDescent="0.25">
      <c r="AC54" s="19" t="s">
        <v>30</v>
      </c>
      <c r="AD54" s="19"/>
      <c r="AE54" s="19"/>
      <c r="AF54" s="19"/>
      <c r="AG54" s="19"/>
      <c r="AH54" s="36" t="s">
        <v>31</v>
      </c>
    </row>
    <row r="55" spans="29:34" x14ac:dyDescent="0.25">
      <c r="AC55" s="19" t="s">
        <v>32</v>
      </c>
      <c r="AD55" s="19"/>
      <c r="AE55" s="19"/>
      <c r="AF55" s="19"/>
      <c r="AG55" s="19"/>
      <c r="AH55" s="36" t="s">
        <v>33</v>
      </c>
    </row>
    <row r="56" spans="29:34" x14ac:dyDescent="0.25">
      <c r="AC56" s="19" t="s">
        <v>34</v>
      </c>
      <c r="AD56" s="19"/>
      <c r="AE56" s="19"/>
      <c r="AF56" s="19"/>
      <c r="AG56" s="19"/>
      <c r="AH56" s="36" t="s">
        <v>35</v>
      </c>
    </row>
    <row r="57" spans="29:34" x14ac:dyDescent="0.25">
      <c r="AC57" s="22" t="s">
        <v>36</v>
      </c>
      <c r="AD57" s="22"/>
      <c r="AE57" s="22"/>
      <c r="AF57" s="22"/>
      <c r="AG57" s="22"/>
      <c r="AH57" s="36" t="s">
        <v>37</v>
      </c>
    </row>
    <row r="59" spans="29:34" x14ac:dyDescent="0.25">
      <c r="AC59" s="19" t="s">
        <v>30</v>
      </c>
      <c r="AD59" s="19"/>
      <c r="AE59" s="19"/>
      <c r="AF59" s="19"/>
      <c r="AG59" s="19"/>
      <c r="AH59" s="36" t="s">
        <v>31</v>
      </c>
    </row>
    <row r="60" spans="29:34" x14ac:dyDescent="0.25">
      <c r="AC60" s="19" t="s">
        <v>32</v>
      </c>
      <c r="AD60" s="19"/>
      <c r="AE60" s="19"/>
      <c r="AF60" s="19"/>
      <c r="AG60" s="19"/>
      <c r="AH60" s="36" t="s">
        <v>33</v>
      </c>
    </row>
    <row r="61" spans="29:34" x14ac:dyDescent="0.25">
      <c r="AC61" s="19" t="s">
        <v>34</v>
      </c>
      <c r="AD61" s="19"/>
      <c r="AE61" s="19"/>
      <c r="AF61" s="19"/>
      <c r="AG61" s="19"/>
      <c r="AH61" s="36" t="s">
        <v>35</v>
      </c>
    </row>
    <row r="62" spans="29:34" x14ac:dyDescent="0.25">
      <c r="AC62" s="22" t="s">
        <v>36</v>
      </c>
      <c r="AD62" s="22"/>
      <c r="AE62" s="22"/>
      <c r="AF62" s="22"/>
      <c r="AG62" s="22"/>
      <c r="AH62" s="36" t="s">
        <v>37</v>
      </c>
    </row>
    <row r="64" spans="29:34" x14ac:dyDescent="0.25">
      <c r="AC64" s="19" t="s">
        <v>30</v>
      </c>
      <c r="AD64" s="19"/>
      <c r="AE64" s="19"/>
      <c r="AF64" s="19"/>
      <c r="AG64" s="19"/>
      <c r="AH64" s="36" t="s">
        <v>31</v>
      </c>
    </row>
    <row r="65" spans="29:34" x14ac:dyDescent="0.25">
      <c r="AC65" s="19" t="s">
        <v>32</v>
      </c>
      <c r="AD65" s="19"/>
      <c r="AE65" s="19"/>
      <c r="AF65" s="19"/>
      <c r="AG65" s="19"/>
      <c r="AH65" s="36" t="s">
        <v>33</v>
      </c>
    </row>
    <row r="66" spans="29:34" x14ac:dyDescent="0.25">
      <c r="AC66" s="19" t="s">
        <v>34</v>
      </c>
      <c r="AD66" s="19"/>
      <c r="AE66" s="19"/>
      <c r="AF66" s="19"/>
      <c r="AG66" s="19"/>
      <c r="AH66" s="36" t="s">
        <v>35</v>
      </c>
    </row>
    <row r="67" spans="29:34" x14ac:dyDescent="0.25">
      <c r="AC67" s="22" t="s">
        <v>36</v>
      </c>
      <c r="AD67" s="22"/>
      <c r="AE67" s="22"/>
      <c r="AF67" s="22"/>
      <c r="AG67" s="22"/>
      <c r="AH67" s="36" t="s">
        <v>37</v>
      </c>
    </row>
    <row r="69" spans="29:34" x14ac:dyDescent="0.25">
      <c r="AC69" s="19" t="s">
        <v>30</v>
      </c>
      <c r="AD69" s="19"/>
      <c r="AE69" s="19"/>
      <c r="AF69" s="19"/>
      <c r="AG69" s="19"/>
      <c r="AH69" s="36" t="s">
        <v>31</v>
      </c>
    </row>
    <row r="70" spans="29:34" x14ac:dyDescent="0.25">
      <c r="AC70" s="19" t="s">
        <v>32</v>
      </c>
      <c r="AD70" s="19"/>
      <c r="AE70" s="19"/>
      <c r="AF70" s="19"/>
      <c r="AG70" s="19"/>
      <c r="AH70" s="36" t="s">
        <v>33</v>
      </c>
    </row>
    <row r="71" spans="29:34" x14ac:dyDescent="0.25">
      <c r="AC71" s="19" t="s">
        <v>34</v>
      </c>
      <c r="AD71" s="19"/>
      <c r="AE71" s="19"/>
      <c r="AF71" s="19"/>
      <c r="AG71" s="19"/>
      <c r="AH71" s="36" t="s">
        <v>35</v>
      </c>
    </row>
    <row r="72" spans="29:34" x14ac:dyDescent="0.25">
      <c r="AC72" s="22" t="s">
        <v>36</v>
      </c>
      <c r="AD72" s="22"/>
      <c r="AE72" s="22"/>
      <c r="AF72" s="22"/>
      <c r="AG72" s="22"/>
      <c r="AH72" s="36" t="s">
        <v>37</v>
      </c>
    </row>
  </sheetData>
  <mergeCells count="199">
    <mergeCell ref="GY1:GY2"/>
    <mergeCell ref="GZ1:GZ2"/>
    <mergeCell ref="GT1:GT2"/>
    <mergeCell ref="GU1:GU2"/>
    <mergeCell ref="GV1:GV2"/>
    <mergeCell ref="GW1:GW2"/>
    <mergeCell ref="GX1:GX2"/>
    <mergeCell ref="GO1:GO2"/>
    <mergeCell ref="GP1:GP2"/>
    <mergeCell ref="GQ1:GQ2"/>
    <mergeCell ref="GR1:GR2"/>
    <mergeCell ref="GS1:GS2"/>
    <mergeCell ref="GJ1:GJ2"/>
    <mergeCell ref="GK1:GK2"/>
    <mergeCell ref="GL1:GL2"/>
    <mergeCell ref="GM1:GM2"/>
    <mergeCell ref="GN1:GN2"/>
    <mergeCell ref="GE1:GE2"/>
    <mergeCell ref="GF1:GF2"/>
    <mergeCell ref="GG1:GG2"/>
    <mergeCell ref="GH1:GH2"/>
    <mergeCell ref="GI1:GI2"/>
    <mergeCell ref="FZ1:FZ2"/>
    <mergeCell ref="GA1:GA2"/>
    <mergeCell ref="GB1:GB2"/>
    <mergeCell ref="GC1:GC2"/>
    <mergeCell ref="GD1:GD2"/>
    <mergeCell ref="FU1:FU2"/>
    <mergeCell ref="FV1:FV2"/>
    <mergeCell ref="FW1:FW2"/>
    <mergeCell ref="FX1:FX2"/>
    <mergeCell ref="FY1:FY2"/>
    <mergeCell ref="FP1:FP2"/>
    <mergeCell ref="FQ1:FQ2"/>
    <mergeCell ref="FR1:FR2"/>
    <mergeCell ref="FS1:FS2"/>
    <mergeCell ref="FT1:FT2"/>
    <mergeCell ref="FK1:FK2"/>
    <mergeCell ref="FL1:FL2"/>
    <mergeCell ref="FM1:FM2"/>
    <mergeCell ref="FN1:FN2"/>
    <mergeCell ref="FO1:FO2"/>
    <mergeCell ref="FF1:FF2"/>
    <mergeCell ref="FG1:FG2"/>
    <mergeCell ref="FH1:FH2"/>
    <mergeCell ref="FI1:FI2"/>
    <mergeCell ref="FJ1:FJ2"/>
    <mergeCell ref="FA1:FA2"/>
    <mergeCell ref="FB1:FB2"/>
    <mergeCell ref="FC1:FC2"/>
    <mergeCell ref="FD1:FD2"/>
    <mergeCell ref="FE1:FE2"/>
    <mergeCell ref="EV1:EV2"/>
    <mergeCell ref="EW1:EW2"/>
    <mergeCell ref="EX1:EX2"/>
    <mergeCell ref="EY1:EY2"/>
    <mergeCell ref="EZ1:EZ2"/>
    <mergeCell ref="EQ1:EQ2"/>
    <mergeCell ref="ER1:ER2"/>
    <mergeCell ref="ES1:ES2"/>
    <mergeCell ref="ET1:ET2"/>
    <mergeCell ref="EU1:EU2"/>
    <mergeCell ref="EL1:EL2"/>
    <mergeCell ref="EM1:EM2"/>
    <mergeCell ref="EN1:EN2"/>
    <mergeCell ref="EO1:EO2"/>
    <mergeCell ref="EP1:EP2"/>
    <mergeCell ref="EG1:EG2"/>
    <mergeCell ref="EH1:EH2"/>
    <mergeCell ref="EI1:EI2"/>
    <mergeCell ref="EJ1:EJ2"/>
    <mergeCell ref="EK1:EK2"/>
    <mergeCell ref="EB1:EB2"/>
    <mergeCell ref="EC1:EC2"/>
    <mergeCell ref="ED1:ED2"/>
    <mergeCell ref="EE1:EE2"/>
    <mergeCell ref="EF1:EF2"/>
    <mergeCell ref="DW1:DW2"/>
    <mergeCell ref="DX1:DX2"/>
    <mergeCell ref="DY1:DY2"/>
    <mergeCell ref="DZ1:DZ2"/>
    <mergeCell ref="EA1:EA2"/>
    <mergeCell ref="DR1:DR2"/>
    <mergeCell ref="DS1:DS2"/>
    <mergeCell ref="DT1:DT2"/>
    <mergeCell ref="DU1:DU2"/>
    <mergeCell ref="DV1:DV2"/>
    <mergeCell ref="DM1:DM2"/>
    <mergeCell ref="DN1:DN2"/>
    <mergeCell ref="DO1:DO2"/>
    <mergeCell ref="DP1:DP2"/>
    <mergeCell ref="DQ1:DQ2"/>
    <mergeCell ref="DH1:DH2"/>
    <mergeCell ref="DI1:DI2"/>
    <mergeCell ref="DJ1:DJ2"/>
    <mergeCell ref="DK1:DK2"/>
    <mergeCell ref="DL1:DL2"/>
    <mergeCell ref="DC1:DC2"/>
    <mergeCell ref="DD1:DD2"/>
    <mergeCell ref="DE1:DE2"/>
    <mergeCell ref="DF1:DF2"/>
    <mergeCell ref="DG1:DG2"/>
    <mergeCell ref="CX1:CX2"/>
    <mergeCell ref="CY1:CY2"/>
    <mergeCell ref="CZ1:CZ2"/>
    <mergeCell ref="DA1:DA2"/>
    <mergeCell ref="DB1:DB2"/>
    <mergeCell ref="CS1:CS2"/>
    <mergeCell ref="CT1:CT2"/>
    <mergeCell ref="CU1:CU2"/>
    <mergeCell ref="CV1:CV2"/>
    <mergeCell ref="CW1:CW2"/>
    <mergeCell ref="CN1:CN2"/>
    <mergeCell ref="CO1:CO2"/>
    <mergeCell ref="CP1:CP2"/>
    <mergeCell ref="CQ1:CQ2"/>
    <mergeCell ref="CR1:CR2"/>
    <mergeCell ref="CI1:CI2"/>
    <mergeCell ref="CJ1:CJ2"/>
    <mergeCell ref="CK1:CK2"/>
    <mergeCell ref="CL1:CL2"/>
    <mergeCell ref="CM1:CM2"/>
    <mergeCell ref="CD1:CD2"/>
    <mergeCell ref="CE1:CE2"/>
    <mergeCell ref="CF1:CF2"/>
    <mergeCell ref="CG1:CG2"/>
    <mergeCell ref="CH1:CH2"/>
    <mergeCell ref="BY1:BY2"/>
    <mergeCell ref="BZ1:BZ2"/>
    <mergeCell ref="CA1:CA2"/>
    <mergeCell ref="CB1:CB2"/>
    <mergeCell ref="CC1:CC2"/>
    <mergeCell ref="BT1:BT2"/>
    <mergeCell ref="BU1:BU2"/>
    <mergeCell ref="BV1:BV2"/>
    <mergeCell ref="BW1:BW2"/>
    <mergeCell ref="BX1:BX2"/>
    <mergeCell ref="BO1:BO2"/>
    <mergeCell ref="BP1:BP2"/>
    <mergeCell ref="BQ1:BQ2"/>
    <mergeCell ref="BR1:BR2"/>
    <mergeCell ref="BS1:BS2"/>
    <mergeCell ref="B1:B3"/>
    <mergeCell ref="AD1:AD2"/>
    <mergeCell ref="BM1:BM2"/>
    <mergeCell ref="BN1:BN2"/>
    <mergeCell ref="BF1:BF2"/>
    <mergeCell ref="A1:A3"/>
    <mergeCell ref="V1:V3"/>
    <mergeCell ref="X1:X3"/>
    <mergeCell ref="W1:W3"/>
    <mergeCell ref="J2:K2"/>
    <mergeCell ref="L2:M2"/>
    <mergeCell ref="N2:O2"/>
    <mergeCell ref="N1:U1"/>
    <mergeCell ref="T2:U2"/>
    <mergeCell ref="R2:S2"/>
    <mergeCell ref="P2:Q2"/>
    <mergeCell ref="D1:M1"/>
    <mergeCell ref="D2:E2"/>
    <mergeCell ref="F2:G2"/>
    <mergeCell ref="H2:I2"/>
    <mergeCell ref="C1:C3"/>
    <mergeCell ref="BI1:BI2"/>
    <mergeCell ref="BJ1:BJ2"/>
    <mergeCell ref="BK1:BK2"/>
    <mergeCell ref="BL1:BL2"/>
    <mergeCell ref="BB1:BB2"/>
    <mergeCell ref="BC1:BC2"/>
    <mergeCell ref="BD1:BD2"/>
    <mergeCell ref="BE1:BE2"/>
    <mergeCell ref="BG1:BG2"/>
    <mergeCell ref="BH1:BH2"/>
    <mergeCell ref="BA1:BA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AO1:AO2"/>
    <mergeCell ref="AC1:AC2"/>
    <mergeCell ref="AE1:AE2"/>
    <mergeCell ref="AI1:AJ1"/>
    <mergeCell ref="Y1:AB1"/>
    <mergeCell ref="Z2:AB2"/>
    <mergeCell ref="AK1:AK2"/>
    <mergeCell ref="AF1:AF2"/>
    <mergeCell ref="AL1:AL2"/>
    <mergeCell ref="AM1:AM2"/>
    <mergeCell ref="AN1:AN2"/>
    <mergeCell ref="Y2:Y3"/>
    <mergeCell ref="AG1:AG2"/>
    <mergeCell ref="AH1:AH2"/>
  </mergeCells>
  <phoneticPr fontId="10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89C9-DE3A-4784-AFD3-35FC9A2772A7}">
  <sheetPr>
    <tabColor theme="2" tint="-0.499984740745262"/>
  </sheetPr>
  <dimension ref="A1:GZ205"/>
  <sheetViews>
    <sheetView workbookViewId="0">
      <selection sqref="A1:A3"/>
    </sheetView>
  </sheetViews>
  <sheetFormatPr defaultColWidth="9.140625" defaultRowHeight="15" x14ac:dyDescent="0.25"/>
  <cols>
    <col min="1" max="1" width="5.7109375" style="42" customWidth="1"/>
    <col min="2" max="2" width="10.140625" style="42" bestFit="1" customWidth="1"/>
    <col min="3" max="3" width="21.42578125" style="42" bestFit="1" customWidth="1"/>
    <col min="4" max="4" width="7.28515625" style="42" customWidth="1"/>
    <col min="5" max="6" width="8.85546875" style="42" customWidth="1"/>
    <col min="7" max="8" width="14" style="42" customWidth="1"/>
    <col min="9" max="14" width="10.28515625" style="42" customWidth="1"/>
    <col min="15" max="16" width="13.28515625" style="42" customWidth="1"/>
    <col min="17" max="20" width="10.28515625" style="42" customWidth="1"/>
    <col min="21" max="22" width="9.140625" style="42" customWidth="1"/>
    <col min="23" max="24" width="9.140625" style="42"/>
    <col min="25" max="25" width="22.5703125" style="42" bestFit="1" customWidth="1"/>
    <col min="26" max="26" width="10.42578125" style="42" customWidth="1"/>
    <col min="27" max="27" width="10.7109375" style="42" customWidth="1"/>
    <col min="28" max="28" width="9.140625" style="44"/>
    <col min="29" max="29" width="8.140625" style="44" customWidth="1"/>
    <col min="30" max="30" width="8.140625" style="45" customWidth="1"/>
    <col min="31" max="31" width="7.28515625" style="42" customWidth="1"/>
    <col min="32" max="32" width="9.140625" style="42" customWidth="1"/>
    <col min="33" max="34" width="9.140625" style="42"/>
    <col min="35" max="35" width="8.140625" style="42" customWidth="1"/>
    <col min="36" max="36" width="19.7109375" style="42" customWidth="1"/>
    <col min="37" max="37" width="9.140625" style="42" customWidth="1"/>
    <col min="38" max="16384" width="9.140625" style="42"/>
  </cols>
  <sheetData>
    <row r="1" spans="1:208" ht="14.45" customHeight="1" x14ac:dyDescent="0.25">
      <c r="A1" s="218" t="s">
        <v>38</v>
      </c>
      <c r="B1" s="215" t="s">
        <v>39</v>
      </c>
      <c r="C1" s="222" t="s">
        <v>40</v>
      </c>
      <c r="D1" s="223" t="s">
        <v>41</v>
      </c>
      <c r="E1" s="223"/>
      <c r="F1" s="223"/>
      <c r="G1" s="223"/>
      <c r="H1" s="223"/>
      <c r="I1" s="223"/>
      <c r="J1" s="223"/>
      <c r="K1" s="223"/>
      <c r="L1" s="223"/>
      <c r="M1" s="223"/>
      <c r="N1" s="215" t="s">
        <v>42</v>
      </c>
      <c r="O1" s="215"/>
      <c r="P1" s="215"/>
      <c r="Q1" s="215"/>
      <c r="R1" s="215"/>
      <c r="S1" s="215"/>
      <c r="T1" s="215"/>
      <c r="U1" s="215"/>
      <c r="V1" s="222" t="s">
        <v>43</v>
      </c>
      <c r="W1" s="214" t="s">
        <v>44</v>
      </c>
      <c r="X1" s="218" t="s">
        <v>45</v>
      </c>
      <c r="Y1" s="218" t="s">
        <v>46</v>
      </c>
      <c r="Z1" s="218"/>
      <c r="AA1" s="218"/>
      <c r="AB1" s="218"/>
      <c r="AC1" s="219" t="s">
        <v>47</v>
      </c>
      <c r="AD1" s="220" t="s">
        <v>48</v>
      </c>
      <c r="AE1" s="221" t="s">
        <v>49</v>
      </c>
      <c r="AF1" s="214" t="s">
        <v>50</v>
      </c>
      <c r="AG1" s="218" t="s">
        <v>52</v>
      </c>
      <c r="AH1" s="218"/>
      <c r="AI1" s="214" t="s">
        <v>4</v>
      </c>
      <c r="AJ1" s="214" t="s">
        <v>51</v>
      </c>
      <c r="AK1" s="218" t="s">
        <v>6</v>
      </c>
      <c r="AL1" s="214" t="s">
        <v>53</v>
      </c>
      <c r="AM1" s="217" t="s">
        <v>8</v>
      </c>
      <c r="AN1" s="217" t="s">
        <v>9</v>
      </c>
      <c r="AO1" s="217" t="s">
        <v>10</v>
      </c>
      <c r="AP1" s="217" t="s">
        <v>11</v>
      </c>
      <c r="AQ1" s="217" t="s">
        <v>12</v>
      </c>
      <c r="AR1" s="217" t="s">
        <v>13</v>
      </c>
      <c r="AS1" s="217" t="s">
        <v>14</v>
      </c>
      <c r="AT1" s="217" t="s">
        <v>15</v>
      </c>
      <c r="AU1" s="217" t="s">
        <v>16</v>
      </c>
      <c r="AV1" s="217" t="s">
        <v>17</v>
      </c>
      <c r="AW1" s="217" t="s">
        <v>18</v>
      </c>
      <c r="AX1" s="217" t="s">
        <v>19</v>
      </c>
      <c r="AY1" s="217" t="s">
        <v>20</v>
      </c>
      <c r="AZ1" s="217" t="s">
        <v>21</v>
      </c>
      <c r="BA1" s="217" t="s">
        <v>22</v>
      </c>
      <c r="BB1" s="217" t="s">
        <v>23</v>
      </c>
      <c r="BC1" s="217" t="s">
        <v>24</v>
      </c>
      <c r="BD1" s="217" t="s">
        <v>25</v>
      </c>
      <c r="BE1" s="214" t="s">
        <v>26</v>
      </c>
      <c r="BF1" s="214" t="s">
        <v>54</v>
      </c>
      <c r="BG1" s="214" t="s">
        <v>55</v>
      </c>
      <c r="BH1" s="214" t="s">
        <v>56</v>
      </c>
      <c r="BI1" s="214" t="s">
        <v>57</v>
      </c>
      <c r="BJ1" s="214" t="s">
        <v>58</v>
      </c>
      <c r="BK1" s="214" t="s">
        <v>59</v>
      </c>
      <c r="BL1" s="214" t="s">
        <v>60</v>
      </c>
      <c r="BM1" s="214" t="s">
        <v>61</v>
      </c>
      <c r="BN1" s="214" t="s">
        <v>62</v>
      </c>
      <c r="BO1" s="214" t="s">
        <v>63</v>
      </c>
      <c r="BP1" s="214" t="s">
        <v>64</v>
      </c>
      <c r="BQ1" s="214" t="s">
        <v>65</v>
      </c>
      <c r="BR1" s="214" t="s">
        <v>66</v>
      </c>
      <c r="BS1" s="214" t="s">
        <v>67</v>
      </c>
      <c r="BT1" s="214" t="s">
        <v>68</v>
      </c>
      <c r="BU1" s="214" t="s">
        <v>69</v>
      </c>
      <c r="BV1" s="214" t="s">
        <v>70</v>
      </c>
      <c r="BW1" s="214" t="s">
        <v>71</v>
      </c>
      <c r="BX1" s="214" t="s">
        <v>72</v>
      </c>
      <c r="BY1" s="214" t="s">
        <v>73</v>
      </c>
      <c r="BZ1" s="214" t="s">
        <v>74</v>
      </c>
      <c r="CA1" s="214" t="s">
        <v>75</v>
      </c>
      <c r="CB1" s="214" t="s">
        <v>76</v>
      </c>
      <c r="CC1" s="214" t="s">
        <v>77</v>
      </c>
      <c r="CD1" s="214" t="s">
        <v>78</v>
      </c>
      <c r="CE1" s="214" t="s">
        <v>79</v>
      </c>
      <c r="CF1" s="214" t="s">
        <v>80</v>
      </c>
      <c r="CG1" s="214" t="s">
        <v>81</v>
      </c>
      <c r="CH1" s="214" t="s">
        <v>82</v>
      </c>
      <c r="CI1" s="214" t="s">
        <v>83</v>
      </c>
      <c r="CJ1" s="214" t="s">
        <v>84</v>
      </c>
      <c r="CK1" s="214" t="s">
        <v>85</v>
      </c>
      <c r="CL1" s="214" t="s">
        <v>86</v>
      </c>
      <c r="CM1" s="214" t="s">
        <v>87</v>
      </c>
      <c r="CN1" s="214" t="s">
        <v>88</v>
      </c>
      <c r="CO1" s="214" t="s">
        <v>89</v>
      </c>
      <c r="CP1" s="214" t="s">
        <v>90</v>
      </c>
      <c r="CQ1" s="214" t="s">
        <v>91</v>
      </c>
      <c r="CR1" s="214" t="s">
        <v>92</v>
      </c>
      <c r="CS1" s="214" t="s">
        <v>93</v>
      </c>
      <c r="CT1" s="214" t="s">
        <v>94</v>
      </c>
      <c r="CU1" s="214" t="s">
        <v>95</v>
      </c>
      <c r="CV1" s="214" t="s">
        <v>96</v>
      </c>
      <c r="CW1" s="214" t="s">
        <v>97</v>
      </c>
      <c r="CX1" s="214" t="s">
        <v>98</v>
      </c>
      <c r="CY1" s="214" t="s">
        <v>99</v>
      </c>
      <c r="CZ1" s="214" t="s">
        <v>100</v>
      </c>
      <c r="DA1" s="214" t="s">
        <v>101</v>
      </c>
      <c r="DB1" s="214" t="s">
        <v>102</v>
      </c>
      <c r="DC1" s="214" t="s">
        <v>103</v>
      </c>
      <c r="DD1" s="214" t="s">
        <v>104</v>
      </c>
      <c r="DE1" s="214" t="s">
        <v>105</v>
      </c>
      <c r="DF1" s="214" t="s">
        <v>106</v>
      </c>
      <c r="DG1" s="214" t="s">
        <v>107</v>
      </c>
      <c r="DH1" s="214" t="s">
        <v>108</v>
      </c>
      <c r="DI1" s="214" t="s">
        <v>109</v>
      </c>
      <c r="DJ1" s="214" t="s">
        <v>110</v>
      </c>
      <c r="DK1" s="214" t="s">
        <v>111</v>
      </c>
      <c r="DL1" s="214" t="s">
        <v>112</v>
      </c>
      <c r="DM1" s="214" t="s">
        <v>113</v>
      </c>
      <c r="DN1" s="214" t="s">
        <v>114</v>
      </c>
      <c r="DO1" s="214" t="s">
        <v>115</v>
      </c>
      <c r="DP1" s="214" t="s">
        <v>116</v>
      </c>
      <c r="DQ1" s="214" t="s">
        <v>117</v>
      </c>
      <c r="DR1" s="214" t="s">
        <v>118</v>
      </c>
      <c r="DS1" s="214" t="s">
        <v>119</v>
      </c>
      <c r="DT1" s="214" t="s">
        <v>120</v>
      </c>
      <c r="DU1" s="214" t="s">
        <v>121</v>
      </c>
      <c r="DV1" s="214" t="s">
        <v>122</v>
      </c>
      <c r="DW1" s="214" t="s">
        <v>123</v>
      </c>
      <c r="DX1" s="214" t="s">
        <v>124</v>
      </c>
      <c r="DY1" s="214" t="s">
        <v>125</v>
      </c>
      <c r="DZ1" s="214" t="s">
        <v>126</v>
      </c>
      <c r="EA1" s="214" t="s">
        <v>127</v>
      </c>
      <c r="EB1" s="214" t="s">
        <v>128</v>
      </c>
      <c r="EC1" s="214" t="s">
        <v>129</v>
      </c>
      <c r="ED1" s="214" t="s">
        <v>130</v>
      </c>
      <c r="EE1" s="214" t="s">
        <v>131</v>
      </c>
      <c r="EF1" s="214" t="s">
        <v>132</v>
      </c>
      <c r="EG1" s="214" t="s">
        <v>133</v>
      </c>
      <c r="EH1" s="214" t="s">
        <v>134</v>
      </c>
      <c r="EI1" s="214" t="s">
        <v>135</v>
      </c>
      <c r="EJ1" s="214" t="s">
        <v>136</v>
      </c>
      <c r="EK1" s="214" t="s">
        <v>137</v>
      </c>
      <c r="EL1" s="214" t="s">
        <v>138</v>
      </c>
      <c r="EM1" s="214" t="s">
        <v>139</v>
      </c>
      <c r="EN1" s="214" t="s">
        <v>140</v>
      </c>
      <c r="EO1" s="214" t="s">
        <v>141</v>
      </c>
      <c r="EP1" s="214" t="s">
        <v>142</v>
      </c>
      <c r="EQ1" s="214" t="s">
        <v>143</v>
      </c>
      <c r="ER1" s="214" t="s">
        <v>144</v>
      </c>
      <c r="ES1" s="214" t="s">
        <v>145</v>
      </c>
      <c r="ET1" s="214" t="s">
        <v>146</v>
      </c>
      <c r="EU1" s="214" t="s">
        <v>147</v>
      </c>
      <c r="EV1" s="214" t="s">
        <v>148</v>
      </c>
      <c r="EW1" s="214" t="s">
        <v>149</v>
      </c>
      <c r="EX1" s="214" t="s">
        <v>150</v>
      </c>
      <c r="EY1" s="214" t="s">
        <v>151</v>
      </c>
      <c r="EZ1" s="214" t="s">
        <v>152</v>
      </c>
      <c r="FA1" s="214" t="s">
        <v>153</v>
      </c>
      <c r="FB1" s="214" t="s">
        <v>154</v>
      </c>
      <c r="FC1" s="214" t="s">
        <v>155</v>
      </c>
      <c r="FD1" s="214" t="s">
        <v>156</v>
      </c>
      <c r="FE1" s="214" t="s">
        <v>157</v>
      </c>
      <c r="FF1" s="214" t="s">
        <v>158</v>
      </c>
      <c r="FG1" s="214" t="s">
        <v>159</v>
      </c>
      <c r="FH1" s="214" t="s">
        <v>160</v>
      </c>
      <c r="FI1" s="214" t="s">
        <v>161</v>
      </c>
      <c r="FJ1" s="214" t="s">
        <v>162</v>
      </c>
      <c r="FK1" s="214" t="s">
        <v>163</v>
      </c>
      <c r="FL1" s="214" t="s">
        <v>164</v>
      </c>
      <c r="FM1" s="214" t="s">
        <v>165</v>
      </c>
      <c r="FN1" s="214" t="s">
        <v>166</v>
      </c>
      <c r="FO1" s="214" t="s">
        <v>167</v>
      </c>
      <c r="FP1" s="214" t="s">
        <v>168</v>
      </c>
      <c r="FQ1" s="214" t="s">
        <v>169</v>
      </c>
      <c r="FR1" s="214" t="s">
        <v>170</v>
      </c>
      <c r="FS1" s="214" t="s">
        <v>171</v>
      </c>
      <c r="FT1" s="214" t="s">
        <v>172</v>
      </c>
      <c r="FU1" s="214" t="s">
        <v>173</v>
      </c>
      <c r="FV1" s="214" t="s">
        <v>174</v>
      </c>
      <c r="FW1" s="214" t="s">
        <v>175</v>
      </c>
      <c r="FX1" s="214" t="s">
        <v>176</v>
      </c>
      <c r="FY1" s="214" t="s">
        <v>177</v>
      </c>
      <c r="FZ1" s="214" t="s">
        <v>178</v>
      </c>
      <c r="GA1" s="214" t="s">
        <v>179</v>
      </c>
      <c r="GB1" s="214" t="s">
        <v>180</v>
      </c>
      <c r="GC1" s="214" t="s">
        <v>181</v>
      </c>
      <c r="GD1" s="214" t="s">
        <v>182</v>
      </c>
      <c r="GE1" s="214" t="s">
        <v>183</v>
      </c>
      <c r="GF1" s="214" t="s">
        <v>184</v>
      </c>
      <c r="GG1" s="214" t="s">
        <v>185</v>
      </c>
      <c r="GH1" s="214" t="s">
        <v>186</v>
      </c>
      <c r="GI1" s="214" t="s">
        <v>187</v>
      </c>
      <c r="GJ1" s="214" t="s">
        <v>188</v>
      </c>
      <c r="GK1" s="214" t="s">
        <v>189</v>
      </c>
      <c r="GL1" s="214" t="s">
        <v>190</v>
      </c>
      <c r="GM1" s="214" t="s">
        <v>191</v>
      </c>
      <c r="GN1" s="214" t="s">
        <v>192</v>
      </c>
      <c r="GO1" s="214" t="s">
        <v>193</v>
      </c>
      <c r="GP1" s="214" t="s">
        <v>194</v>
      </c>
      <c r="GQ1" s="214" t="s">
        <v>195</v>
      </c>
      <c r="GR1" s="214" t="s">
        <v>196</v>
      </c>
      <c r="GS1" s="214" t="s">
        <v>197</v>
      </c>
      <c r="GT1" s="214" t="s">
        <v>198</v>
      </c>
      <c r="GU1" s="214" t="s">
        <v>199</v>
      </c>
      <c r="GV1" s="214" t="s">
        <v>200</v>
      </c>
      <c r="GW1" s="214" t="s">
        <v>201</v>
      </c>
      <c r="GX1" s="214" t="s">
        <v>202</v>
      </c>
      <c r="GY1" s="214" t="s">
        <v>203</v>
      </c>
      <c r="GZ1" s="214" t="s">
        <v>204</v>
      </c>
    </row>
    <row r="2" spans="1:208" ht="31.15" customHeight="1" x14ac:dyDescent="0.25">
      <c r="A2" s="218"/>
      <c r="B2" s="215"/>
      <c r="C2" s="222"/>
      <c r="D2" s="215" t="s">
        <v>205</v>
      </c>
      <c r="E2" s="215"/>
      <c r="F2" s="216" t="s">
        <v>206</v>
      </c>
      <c r="G2" s="216"/>
      <c r="H2" s="215" t="s">
        <v>207</v>
      </c>
      <c r="I2" s="215"/>
      <c r="J2" s="215" t="s">
        <v>208</v>
      </c>
      <c r="K2" s="215"/>
      <c r="L2" s="215" t="s">
        <v>209</v>
      </c>
      <c r="M2" s="215"/>
      <c r="N2" s="216" t="s">
        <v>206</v>
      </c>
      <c r="O2" s="216"/>
      <c r="P2" s="215" t="s">
        <v>207</v>
      </c>
      <c r="Q2" s="215"/>
      <c r="R2" s="215" t="s">
        <v>208</v>
      </c>
      <c r="S2" s="215"/>
      <c r="T2" s="215" t="s">
        <v>209</v>
      </c>
      <c r="U2" s="215"/>
      <c r="V2" s="222"/>
      <c r="W2" s="214"/>
      <c r="X2" s="218"/>
      <c r="Y2" s="214" t="s">
        <v>220</v>
      </c>
      <c r="Z2" s="218" t="s">
        <v>211</v>
      </c>
      <c r="AA2" s="218"/>
      <c r="AB2" s="218"/>
      <c r="AC2" s="219"/>
      <c r="AD2" s="220"/>
      <c r="AE2" s="221"/>
      <c r="AF2" s="214"/>
      <c r="AG2" s="38" t="s">
        <v>212</v>
      </c>
      <c r="AH2" s="38" t="s">
        <v>213</v>
      </c>
      <c r="AI2" s="214"/>
      <c r="AJ2" s="214"/>
      <c r="AK2" s="218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14"/>
      <c r="CE2" s="214"/>
      <c r="CF2" s="214"/>
      <c r="CG2" s="214"/>
      <c r="CH2" s="214"/>
      <c r="CI2" s="214"/>
      <c r="CJ2" s="214"/>
      <c r="CK2" s="214"/>
      <c r="CL2" s="214"/>
      <c r="CM2" s="214"/>
      <c r="CN2" s="214"/>
      <c r="CO2" s="214"/>
      <c r="CP2" s="214"/>
      <c r="CQ2" s="214"/>
      <c r="CR2" s="214"/>
      <c r="CS2" s="214"/>
      <c r="CT2" s="214"/>
      <c r="CU2" s="214"/>
      <c r="CV2" s="214"/>
      <c r="CW2" s="214"/>
      <c r="CX2" s="214"/>
      <c r="CY2" s="214"/>
      <c r="CZ2" s="214"/>
      <c r="DA2" s="214"/>
      <c r="DB2" s="214"/>
      <c r="DC2" s="214"/>
      <c r="DD2" s="214"/>
      <c r="DE2" s="214"/>
      <c r="DF2" s="214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214"/>
      <c r="DR2" s="214"/>
      <c r="DS2" s="214"/>
      <c r="DT2" s="214"/>
      <c r="DU2" s="214"/>
      <c r="DV2" s="214"/>
      <c r="DW2" s="214"/>
      <c r="DX2" s="214"/>
      <c r="DY2" s="214"/>
      <c r="DZ2" s="214"/>
      <c r="EA2" s="214"/>
      <c r="EB2" s="214"/>
      <c r="EC2" s="214"/>
      <c r="ED2" s="214"/>
      <c r="EE2" s="214"/>
      <c r="EF2" s="214"/>
      <c r="EG2" s="214"/>
      <c r="EH2" s="214"/>
      <c r="EI2" s="214"/>
      <c r="EJ2" s="214"/>
      <c r="EK2" s="214"/>
      <c r="EL2" s="214"/>
      <c r="EM2" s="214"/>
      <c r="EN2" s="214"/>
      <c r="EO2" s="214"/>
      <c r="EP2" s="214"/>
      <c r="EQ2" s="214"/>
      <c r="ER2" s="214"/>
      <c r="ES2" s="214"/>
      <c r="ET2" s="214"/>
      <c r="EU2" s="214"/>
      <c r="EV2" s="214"/>
      <c r="EW2" s="214"/>
      <c r="EX2" s="214"/>
      <c r="EY2" s="214"/>
      <c r="EZ2" s="214"/>
      <c r="FA2" s="214"/>
      <c r="FB2" s="214"/>
      <c r="FC2" s="214"/>
      <c r="FD2" s="214"/>
      <c r="FE2" s="214"/>
      <c r="FF2" s="214"/>
      <c r="FG2" s="214"/>
      <c r="FH2" s="214"/>
      <c r="FI2" s="214"/>
      <c r="FJ2" s="214"/>
      <c r="FK2" s="214"/>
      <c r="FL2" s="214"/>
      <c r="FM2" s="214"/>
      <c r="FN2" s="214"/>
      <c r="FO2" s="214"/>
      <c r="FP2" s="214"/>
      <c r="FQ2" s="214"/>
      <c r="FR2" s="214"/>
      <c r="FS2" s="214"/>
      <c r="FT2" s="214"/>
      <c r="FU2" s="214"/>
      <c r="FV2" s="214"/>
      <c r="FW2" s="214"/>
      <c r="FX2" s="214"/>
      <c r="FY2" s="214"/>
      <c r="FZ2" s="214"/>
      <c r="GA2" s="214"/>
      <c r="GB2" s="214"/>
      <c r="GC2" s="214"/>
      <c r="GD2" s="214"/>
      <c r="GE2" s="214"/>
      <c r="GF2" s="214"/>
      <c r="GG2" s="214"/>
      <c r="GH2" s="214"/>
      <c r="GI2" s="214"/>
      <c r="GJ2" s="214"/>
      <c r="GK2" s="214"/>
      <c r="GL2" s="214"/>
      <c r="GM2" s="214"/>
      <c r="GN2" s="214"/>
      <c r="GO2" s="214"/>
      <c r="GP2" s="214"/>
      <c r="GQ2" s="214"/>
      <c r="GR2" s="214"/>
      <c r="GS2" s="214"/>
      <c r="GT2" s="214"/>
      <c r="GU2" s="214"/>
      <c r="GV2" s="214"/>
      <c r="GW2" s="214"/>
      <c r="GX2" s="214"/>
      <c r="GY2" s="214"/>
      <c r="GZ2" s="214"/>
    </row>
    <row r="3" spans="1:208" ht="22.9" customHeight="1" x14ac:dyDescent="0.25">
      <c r="A3" s="218"/>
      <c r="B3" s="215"/>
      <c r="C3" s="222"/>
      <c r="D3" s="43" t="s">
        <v>214</v>
      </c>
      <c r="E3" s="43" t="s">
        <v>215</v>
      </c>
      <c r="F3" s="43" t="s">
        <v>214</v>
      </c>
      <c r="G3" s="43" t="s">
        <v>215</v>
      </c>
      <c r="H3" s="43" t="s">
        <v>214</v>
      </c>
      <c r="I3" s="43" t="s">
        <v>215</v>
      </c>
      <c r="J3" s="43" t="s">
        <v>214</v>
      </c>
      <c r="K3" s="43" t="s">
        <v>215</v>
      </c>
      <c r="L3" s="43" t="s">
        <v>214</v>
      </c>
      <c r="M3" s="43" t="s">
        <v>215</v>
      </c>
      <c r="N3" s="43" t="s">
        <v>214</v>
      </c>
      <c r="O3" s="43" t="s">
        <v>215</v>
      </c>
      <c r="P3" s="43" t="s">
        <v>214</v>
      </c>
      <c r="Q3" s="43" t="s">
        <v>215</v>
      </c>
      <c r="R3" s="43" t="s">
        <v>214</v>
      </c>
      <c r="S3" s="43" t="s">
        <v>215</v>
      </c>
      <c r="T3" s="43" t="s">
        <v>214</v>
      </c>
      <c r="U3" s="43" t="s">
        <v>215</v>
      </c>
      <c r="V3" s="222"/>
      <c r="W3" s="214"/>
      <c r="X3" s="218"/>
      <c r="Y3" s="214"/>
      <c r="Z3" s="40" t="s">
        <v>216</v>
      </c>
      <c r="AA3" s="40" t="s">
        <v>217</v>
      </c>
      <c r="AB3" s="41" t="s">
        <v>218</v>
      </c>
    </row>
    <row r="4" spans="1:208" x14ac:dyDescent="0.25">
      <c r="B4" s="46"/>
      <c r="AC4" s="47"/>
      <c r="AD4" s="48"/>
      <c r="AE4" s="49"/>
      <c r="AF4" s="49"/>
      <c r="AG4" s="57"/>
      <c r="AH4" s="57"/>
      <c r="AI4" s="49"/>
      <c r="AJ4" s="50" t="s">
        <v>31</v>
      </c>
    </row>
    <row r="5" spans="1:208" x14ac:dyDescent="0.25">
      <c r="AC5" s="47"/>
      <c r="AD5" s="48"/>
      <c r="AE5" s="49"/>
      <c r="AF5" s="49"/>
      <c r="AG5" s="57"/>
      <c r="AH5" s="57"/>
      <c r="AI5" s="49"/>
      <c r="AJ5" s="50" t="s">
        <v>33</v>
      </c>
    </row>
    <row r="6" spans="1:208" x14ac:dyDescent="0.25">
      <c r="AC6" s="47"/>
      <c r="AD6" s="48"/>
      <c r="AE6" s="49"/>
      <c r="AF6" s="49"/>
      <c r="AG6" s="57"/>
      <c r="AH6" s="57"/>
      <c r="AI6" s="49"/>
      <c r="AJ6" s="50" t="s">
        <v>35</v>
      </c>
    </row>
    <row r="7" spans="1:208" s="60" customFormat="1" x14ac:dyDescent="0.25">
      <c r="AB7" s="61"/>
      <c r="AC7" s="62"/>
      <c r="AD7" s="63"/>
      <c r="AE7" s="64"/>
      <c r="AF7" s="64"/>
      <c r="AG7" s="65"/>
      <c r="AH7" s="65"/>
      <c r="AI7" s="64"/>
      <c r="AJ7" s="66" t="s">
        <v>37</v>
      </c>
    </row>
    <row r="9" spans="1:208" x14ac:dyDescent="0.25">
      <c r="AC9" s="47"/>
      <c r="AD9" s="48"/>
      <c r="AE9" s="49"/>
      <c r="AF9" s="49"/>
      <c r="AG9" s="57"/>
      <c r="AH9" s="57"/>
      <c r="AI9" s="49"/>
      <c r="AJ9" s="50" t="s">
        <v>31</v>
      </c>
    </row>
    <row r="10" spans="1:208" x14ac:dyDescent="0.25">
      <c r="AC10" s="47"/>
      <c r="AD10" s="48"/>
      <c r="AE10" s="49"/>
      <c r="AF10" s="49"/>
      <c r="AG10" s="57"/>
      <c r="AH10" s="57"/>
      <c r="AI10" s="49"/>
      <c r="AJ10" s="50" t="s">
        <v>33</v>
      </c>
    </row>
    <row r="11" spans="1:208" x14ac:dyDescent="0.25">
      <c r="AC11" s="47"/>
      <c r="AD11" s="48"/>
      <c r="AE11" s="49"/>
      <c r="AF11" s="49"/>
      <c r="AG11" s="57"/>
      <c r="AH11" s="57"/>
      <c r="AI11" s="49"/>
      <c r="AJ11" s="50" t="s">
        <v>35</v>
      </c>
    </row>
    <row r="12" spans="1:208" s="60" customFormat="1" x14ac:dyDescent="0.25">
      <c r="AB12" s="61"/>
      <c r="AC12" s="62"/>
      <c r="AD12" s="63"/>
      <c r="AE12" s="64"/>
      <c r="AF12" s="64"/>
      <c r="AG12" s="65"/>
      <c r="AH12" s="65"/>
      <c r="AI12" s="64"/>
      <c r="AJ12" s="66" t="s">
        <v>37</v>
      </c>
    </row>
    <row r="14" spans="1:208" x14ac:dyDescent="0.25">
      <c r="AC14" s="47"/>
      <c r="AD14" s="48"/>
      <c r="AE14" s="49"/>
      <c r="AF14" s="49"/>
      <c r="AG14" s="57"/>
      <c r="AH14" s="57"/>
      <c r="AI14" s="49"/>
      <c r="AJ14" s="50" t="s">
        <v>31</v>
      </c>
    </row>
    <row r="15" spans="1:208" x14ac:dyDescent="0.25">
      <c r="AC15" s="47"/>
      <c r="AD15" s="48"/>
      <c r="AE15" s="49"/>
      <c r="AF15" s="49"/>
      <c r="AG15" s="57"/>
      <c r="AH15" s="57"/>
      <c r="AI15" s="49"/>
      <c r="AJ15" s="50" t="s">
        <v>33</v>
      </c>
    </row>
    <row r="16" spans="1:208" x14ac:dyDescent="0.25">
      <c r="AC16" s="47"/>
      <c r="AD16" s="48"/>
      <c r="AE16" s="49"/>
      <c r="AF16" s="49"/>
      <c r="AG16" s="57"/>
      <c r="AH16" s="57"/>
      <c r="AI16" s="49"/>
      <c r="AJ16" s="50" t="s">
        <v>35</v>
      </c>
    </row>
    <row r="17" spans="28:36" s="56" customFormat="1" x14ac:dyDescent="0.25">
      <c r="AB17" s="51"/>
      <c r="AC17" s="52"/>
      <c r="AD17" s="53"/>
      <c r="AE17" s="54"/>
      <c r="AF17" s="54"/>
      <c r="AG17" s="58"/>
      <c r="AH17" s="58"/>
      <c r="AI17" s="54"/>
      <c r="AJ17" s="55" t="s">
        <v>37</v>
      </c>
    </row>
    <row r="19" spans="28:36" x14ac:dyDescent="0.25">
      <c r="AC19" s="47"/>
      <c r="AD19" s="48"/>
      <c r="AE19" s="49"/>
      <c r="AF19" s="49"/>
      <c r="AG19" s="57"/>
      <c r="AH19" s="57"/>
      <c r="AI19" s="49"/>
      <c r="AJ19" s="50" t="s">
        <v>31</v>
      </c>
    </row>
    <row r="20" spans="28:36" x14ac:dyDescent="0.25">
      <c r="AC20" s="47"/>
      <c r="AD20" s="48"/>
      <c r="AE20" s="49"/>
      <c r="AF20" s="49"/>
      <c r="AG20" s="57"/>
      <c r="AH20" s="57"/>
      <c r="AI20" s="49"/>
      <c r="AJ20" s="50" t="s">
        <v>33</v>
      </c>
    </row>
    <row r="21" spans="28:36" x14ac:dyDescent="0.25">
      <c r="AC21" s="47"/>
      <c r="AD21" s="48"/>
      <c r="AE21" s="49"/>
      <c r="AF21" s="49"/>
      <c r="AG21" s="57"/>
      <c r="AH21" s="57"/>
      <c r="AI21" s="49"/>
      <c r="AJ21" s="50" t="s">
        <v>35</v>
      </c>
    </row>
    <row r="22" spans="28:36" s="60" customFormat="1" x14ac:dyDescent="0.25">
      <c r="AB22" s="61"/>
      <c r="AC22" s="62"/>
      <c r="AD22" s="63"/>
      <c r="AE22" s="64"/>
      <c r="AF22" s="64"/>
      <c r="AG22" s="65"/>
      <c r="AH22" s="65"/>
      <c r="AI22" s="64"/>
      <c r="AJ22" s="66" t="s">
        <v>37</v>
      </c>
    </row>
    <row r="24" spans="28:36" x14ac:dyDescent="0.25">
      <c r="AC24" s="47"/>
      <c r="AD24" s="48"/>
      <c r="AE24" s="49"/>
      <c r="AF24" s="49"/>
      <c r="AG24" s="57"/>
      <c r="AH24" s="57"/>
      <c r="AI24" s="49"/>
      <c r="AJ24" s="50" t="s">
        <v>31</v>
      </c>
    </row>
    <row r="25" spans="28:36" x14ac:dyDescent="0.25">
      <c r="AC25" s="47"/>
      <c r="AD25" s="48"/>
      <c r="AE25" s="49"/>
      <c r="AF25" s="49"/>
      <c r="AG25" s="57"/>
      <c r="AH25" s="57"/>
      <c r="AI25" s="49"/>
      <c r="AJ25" s="50" t="s">
        <v>33</v>
      </c>
    </row>
    <row r="26" spans="28:36" x14ac:dyDescent="0.25">
      <c r="AC26" s="47"/>
      <c r="AD26" s="48"/>
      <c r="AE26" s="49"/>
      <c r="AF26" s="49"/>
      <c r="AG26" s="57"/>
      <c r="AH26" s="57"/>
      <c r="AI26" s="49"/>
      <c r="AJ26" s="50" t="s">
        <v>35</v>
      </c>
    </row>
    <row r="27" spans="28:36" s="56" customFormat="1" x14ac:dyDescent="0.25">
      <c r="AB27" s="51"/>
      <c r="AC27" s="52"/>
      <c r="AD27" s="53"/>
      <c r="AE27" s="54"/>
      <c r="AF27" s="54"/>
      <c r="AG27" s="58"/>
      <c r="AH27" s="58"/>
      <c r="AI27" s="54"/>
      <c r="AJ27" s="55" t="s">
        <v>37</v>
      </c>
    </row>
    <row r="29" spans="28:36" x14ac:dyDescent="0.25">
      <c r="AC29" s="47"/>
      <c r="AD29" s="48"/>
      <c r="AE29" s="49"/>
      <c r="AF29" s="49"/>
      <c r="AG29" s="57"/>
      <c r="AH29" s="57"/>
      <c r="AI29" s="49"/>
      <c r="AJ29" s="50" t="s">
        <v>31</v>
      </c>
    </row>
    <row r="30" spans="28:36" x14ac:dyDescent="0.25">
      <c r="AC30" s="47"/>
      <c r="AD30" s="48"/>
      <c r="AE30" s="49"/>
      <c r="AF30" s="49"/>
      <c r="AG30" s="57"/>
      <c r="AH30" s="57"/>
      <c r="AI30" s="49"/>
      <c r="AJ30" s="50" t="s">
        <v>33</v>
      </c>
    </row>
    <row r="31" spans="28:36" x14ac:dyDescent="0.25">
      <c r="AC31" s="47"/>
      <c r="AD31" s="48"/>
      <c r="AE31" s="49"/>
      <c r="AF31" s="49"/>
      <c r="AG31" s="57"/>
      <c r="AH31" s="57"/>
      <c r="AI31" s="49"/>
      <c r="AJ31" s="50" t="s">
        <v>35</v>
      </c>
    </row>
    <row r="32" spans="28:36" s="60" customFormat="1" x14ac:dyDescent="0.25">
      <c r="AB32" s="61"/>
      <c r="AC32" s="62"/>
      <c r="AD32" s="63"/>
      <c r="AE32" s="64"/>
      <c r="AF32" s="64"/>
      <c r="AG32" s="65"/>
      <c r="AH32" s="65"/>
      <c r="AI32" s="64"/>
      <c r="AJ32" s="66" t="s">
        <v>37</v>
      </c>
    </row>
    <row r="34" spans="28:36" x14ac:dyDescent="0.25">
      <c r="AC34" s="47"/>
      <c r="AD34" s="48"/>
      <c r="AE34" s="49"/>
      <c r="AF34" s="49"/>
      <c r="AG34" s="57"/>
      <c r="AH34" s="57"/>
      <c r="AI34" s="49"/>
      <c r="AJ34" s="50" t="s">
        <v>31</v>
      </c>
    </row>
    <row r="35" spans="28:36" x14ac:dyDescent="0.25">
      <c r="AC35" s="47"/>
      <c r="AD35" s="48"/>
      <c r="AE35" s="49"/>
      <c r="AF35" s="49"/>
      <c r="AG35" s="57"/>
      <c r="AH35" s="57"/>
      <c r="AI35" s="49"/>
      <c r="AJ35" s="50" t="s">
        <v>33</v>
      </c>
    </row>
    <row r="36" spans="28:36" x14ac:dyDescent="0.25">
      <c r="AC36" s="47"/>
      <c r="AD36" s="48"/>
      <c r="AE36" s="49"/>
      <c r="AF36" s="49"/>
      <c r="AG36" s="57"/>
      <c r="AH36" s="57"/>
      <c r="AI36" s="49"/>
      <c r="AJ36" s="50" t="s">
        <v>35</v>
      </c>
    </row>
    <row r="37" spans="28:36" s="56" customFormat="1" x14ac:dyDescent="0.25">
      <c r="AB37" s="51"/>
      <c r="AC37" s="52"/>
      <c r="AD37" s="53"/>
      <c r="AE37" s="54"/>
      <c r="AF37" s="54"/>
      <c r="AG37" s="58"/>
      <c r="AH37" s="58"/>
      <c r="AI37" s="54"/>
      <c r="AJ37" s="55" t="s">
        <v>37</v>
      </c>
    </row>
    <row r="39" spans="28:36" x14ac:dyDescent="0.25">
      <c r="AC39" s="47"/>
      <c r="AD39" s="48"/>
      <c r="AE39" s="49"/>
      <c r="AF39" s="49"/>
      <c r="AG39" s="57"/>
      <c r="AH39" s="57"/>
      <c r="AI39" s="49"/>
      <c r="AJ39" s="50" t="s">
        <v>31</v>
      </c>
    </row>
    <row r="40" spans="28:36" x14ac:dyDescent="0.25">
      <c r="AC40" s="47"/>
      <c r="AD40" s="48"/>
      <c r="AE40" s="49"/>
      <c r="AF40" s="49"/>
      <c r="AG40" s="57"/>
      <c r="AH40" s="57"/>
      <c r="AI40" s="49"/>
      <c r="AJ40" s="50" t="s">
        <v>33</v>
      </c>
    </row>
    <row r="41" spans="28:36" x14ac:dyDescent="0.25">
      <c r="AC41" s="47"/>
      <c r="AD41" s="48"/>
      <c r="AE41" s="49"/>
      <c r="AF41" s="49"/>
      <c r="AG41" s="57"/>
      <c r="AH41" s="57"/>
      <c r="AI41" s="49"/>
      <c r="AJ41" s="50" t="s">
        <v>35</v>
      </c>
    </row>
    <row r="42" spans="28:36" s="60" customFormat="1" x14ac:dyDescent="0.25">
      <c r="AB42" s="61"/>
      <c r="AC42" s="62"/>
      <c r="AD42" s="63"/>
      <c r="AE42" s="64"/>
      <c r="AF42" s="64"/>
      <c r="AG42" s="65"/>
      <c r="AH42" s="65"/>
      <c r="AI42" s="64"/>
      <c r="AJ42" s="66" t="s">
        <v>37</v>
      </c>
    </row>
    <row r="44" spans="28:36" x14ac:dyDescent="0.25">
      <c r="AC44" s="47"/>
      <c r="AD44" s="48"/>
      <c r="AE44" s="49"/>
      <c r="AF44" s="49"/>
      <c r="AG44" s="57"/>
      <c r="AH44" s="57"/>
      <c r="AI44" s="49"/>
      <c r="AJ44" s="50" t="s">
        <v>31</v>
      </c>
    </row>
    <row r="45" spans="28:36" x14ac:dyDescent="0.25">
      <c r="AC45" s="47"/>
      <c r="AD45" s="48"/>
      <c r="AE45" s="49"/>
      <c r="AF45" s="49"/>
      <c r="AG45" s="57"/>
      <c r="AH45" s="57"/>
      <c r="AI45" s="49"/>
      <c r="AJ45" s="50" t="s">
        <v>33</v>
      </c>
    </row>
    <row r="46" spans="28:36" x14ac:dyDescent="0.25">
      <c r="AC46" s="47"/>
      <c r="AD46" s="48"/>
      <c r="AE46" s="49"/>
      <c r="AF46" s="49"/>
      <c r="AG46" s="57"/>
      <c r="AH46" s="57"/>
      <c r="AI46" s="49"/>
      <c r="AJ46" s="50" t="s">
        <v>35</v>
      </c>
    </row>
    <row r="47" spans="28:36" s="60" customFormat="1" x14ac:dyDescent="0.25">
      <c r="AB47" s="61"/>
      <c r="AC47" s="62"/>
      <c r="AD47" s="63"/>
      <c r="AE47" s="64"/>
      <c r="AF47" s="64"/>
      <c r="AG47" s="65"/>
      <c r="AH47" s="65"/>
      <c r="AI47" s="64"/>
      <c r="AJ47" s="66" t="s">
        <v>37</v>
      </c>
    </row>
    <row r="49" spans="28:36" x14ac:dyDescent="0.25">
      <c r="AC49" s="47"/>
      <c r="AD49" s="48"/>
      <c r="AE49" s="49"/>
      <c r="AF49" s="49"/>
      <c r="AG49" s="57"/>
      <c r="AH49" s="57"/>
      <c r="AI49" s="49"/>
      <c r="AJ49" s="50" t="s">
        <v>31</v>
      </c>
    </row>
    <row r="50" spans="28:36" x14ac:dyDescent="0.25">
      <c r="AC50" s="47"/>
      <c r="AD50" s="48"/>
      <c r="AE50" s="49"/>
      <c r="AF50" s="49"/>
      <c r="AG50" s="57"/>
      <c r="AH50" s="57"/>
      <c r="AI50" s="49"/>
      <c r="AJ50" s="50" t="s">
        <v>33</v>
      </c>
    </row>
    <row r="51" spans="28:36" x14ac:dyDescent="0.25">
      <c r="AC51" s="47"/>
      <c r="AD51" s="48"/>
      <c r="AE51" s="49"/>
      <c r="AF51" s="49"/>
      <c r="AG51" s="57"/>
      <c r="AH51" s="57"/>
      <c r="AI51" s="49"/>
      <c r="AJ51" s="50" t="s">
        <v>35</v>
      </c>
    </row>
    <row r="52" spans="28:36" s="56" customFormat="1" x14ac:dyDescent="0.25">
      <c r="AB52" s="51"/>
      <c r="AC52" s="52"/>
      <c r="AD52" s="53"/>
      <c r="AE52" s="54"/>
      <c r="AF52" s="54"/>
      <c r="AG52" s="58"/>
      <c r="AH52" s="58"/>
      <c r="AI52" s="54"/>
      <c r="AJ52" s="55" t="s">
        <v>37</v>
      </c>
    </row>
    <row r="54" spans="28:36" x14ac:dyDescent="0.25">
      <c r="AC54" s="47"/>
      <c r="AD54" s="48"/>
      <c r="AE54" s="49"/>
      <c r="AF54" s="49"/>
      <c r="AG54" s="57"/>
      <c r="AH54" s="57"/>
      <c r="AI54" s="49"/>
      <c r="AJ54" s="50" t="s">
        <v>31</v>
      </c>
    </row>
    <row r="55" spans="28:36" x14ac:dyDescent="0.25">
      <c r="AC55" s="47"/>
      <c r="AD55" s="48"/>
      <c r="AE55" s="49"/>
      <c r="AF55" s="49"/>
      <c r="AG55" s="57"/>
      <c r="AH55" s="57"/>
      <c r="AI55" s="49"/>
      <c r="AJ55" s="50" t="s">
        <v>33</v>
      </c>
    </row>
    <row r="56" spans="28:36" x14ac:dyDescent="0.25">
      <c r="AC56" s="47"/>
      <c r="AD56" s="48"/>
      <c r="AE56" s="49"/>
      <c r="AF56" s="49"/>
      <c r="AG56" s="57"/>
      <c r="AH56" s="57"/>
      <c r="AI56" s="49"/>
      <c r="AJ56" s="50" t="s">
        <v>35</v>
      </c>
    </row>
    <row r="57" spans="28:36" s="60" customFormat="1" x14ac:dyDescent="0.25">
      <c r="AB57" s="61"/>
      <c r="AC57" s="62"/>
      <c r="AD57" s="63"/>
      <c r="AE57" s="64"/>
      <c r="AF57" s="64"/>
      <c r="AG57" s="65"/>
      <c r="AH57" s="65"/>
      <c r="AI57" s="64"/>
      <c r="AJ57" s="66" t="s">
        <v>37</v>
      </c>
    </row>
    <row r="59" spans="28:36" x14ac:dyDescent="0.25">
      <c r="AC59" s="47"/>
      <c r="AD59" s="48"/>
      <c r="AE59" s="49"/>
      <c r="AF59" s="49"/>
      <c r="AG59" s="57"/>
      <c r="AH59" s="57"/>
      <c r="AI59" s="49"/>
      <c r="AJ59" s="50" t="s">
        <v>31</v>
      </c>
    </row>
    <row r="60" spans="28:36" x14ac:dyDescent="0.25">
      <c r="AC60" s="47"/>
      <c r="AD60" s="48"/>
      <c r="AE60" s="49"/>
      <c r="AF60" s="49"/>
      <c r="AG60" s="57"/>
      <c r="AH60" s="57"/>
      <c r="AI60" s="49"/>
      <c r="AJ60" s="50" t="s">
        <v>33</v>
      </c>
    </row>
    <row r="61" spans="28:36" x14ac:dyDescent="0.25">
      <c r="AC61" s="47"/>
      <c r="AD61" s="48"/>
      <c r="AE61" s="49"/>
      <c r="AF61" s="49"/>
      <c r="AG61" s="57"/>
      <c r="AH61" s="57"/>
      <c r="AI61" s="49"/>
      <c r="AJ61" s="50" t="s">
        <v>35</v>
      </c>
    </row>
    <row r="62" spans="28:36" s="60" customFormat="1" x14ac:dyDescent="0.25">
      <c r="AB62" s="61"/>
      <c r="AC62" s="62"/>
      <c r="AD62" s="63"/>
      <c r="AE62" s="64"/>
      <c r="AF62" s="64"/>
      <c r="AG62" s="65"/>
      <c r="AH62" s="65"/>
      <c r="AI62" s="64"/>
      <c r="AJ62" s="66" t="s">
        <v>37</v>
      </c>
    </row>
    <row r="64" spans="28:36" x14ac:dyDescent="0.25">
      <c r="AC64" s="47"/>
      <c r="AD64" s="48"/>
      <c r="AE64" s="49"/>
      <c r="AF64" s="49"/>
      <c r="AG64" s="57"/>
      <c r="AH64" s="57"/>
      <c r="AI64" s="49"/>
      <c r="AJ64" s="50" t="s">
        <v>31</v>
      </c>
    </row>
    <row r="65" spans="28:36" x14ac:dyDescent="0.25">
      <c r="AC65" s="47"/>
      <c r="AD65" s="48"/>
      <c r="AE65" s="49"/>
      <c r="AF65" s="49"/>
      <c r="AG65" s="57"/>
      <c r="AH65" s="57"/>
      <c r="AI65" s="49"/>
      <c r="AJ65" s="50" t="s">
        <v>33</v>
      </c>
    </row>
    <row r="66" spans="28:36" x14ac:dyDescent="0.25">
      <c r="AC66" s="47"/>
      <c r="AD66" s="48"/>
      <c r="AE66" s="49"/>
      <c r="AF66" s="49"/>
      <c r="AG66" s="57"/>
      <c r="AH66" s="57"/>
      <c r="AI66" s="49"/>
      <c r="AJ66" s="50" t="s">
        <v>35</v>
      </c>
    </row>
    <row r="67" spans="28:36" s="56" customFormat="1" x14ac:dyDescent="0.25">
      <c r="AB67" s="51"/>
      <c r="AC67" s="52"/>
      <c r="AD67" s="53"/>
      <c r="AE67" s="54"/>
      <c r="AF67" s="54"/>
      <c r="AG67" s="58"/>
      <c r="AH67" s="58"/>
      <c r="AI67" s="54"/>
      <c r="AJ67" s="55" t="s">
        <v>37</v>
      </c>
    </row>
    <row r="69" spans="28:36" x14ac:dyDescent="0.25">
      <c r="AC69" s="47"/>
      <c r="AD69" s="48"/>
      <c r="AE69" s="49"/>
      <c r="AF69" s="49"/>
      <c r="AG69" s="57"/>
      <c r="AH69" s="57"/>
      <c r="AI69" s="49"/>
      <c r="AJ69" s="50" t="s">
        <v>31</v>
      </c>
    </row>
    <row r="70" spans="28:36" x14ac:dyDescent="0.25">
      <c r="AC70" s="47"/>
      <c r="AD70" s="48"/>
      <c r="AE70" s="49"/>
      <c r="AF70" s="49"/>
      <c r="AG70" s="57"/>
      <c r="AH70" s="57"/>
      <c r="AI70" s="49"/>
      <c r="AJ70" s="50" t="s">
        <v>33</v>
      </c>
    </row>
    <row r="71" spans="28:36" x14ac:dyDescent="0.25">
      <c r="AC71" s="47"/>
      <c r="AD71" s="48"/>
      <c r="AE71" s="49"/>
      <c r="AF71" s="49"/>
      <c r="AG71" s="57"/>
      <c r="AH71" s="57"/>
      <c r="AI71" s="49"/>
      <c r="AJ71" s="50" t="s">
        <v>35</v>
      </c>
    </row>
    <row r="72" spans="28:36" s="60" customFormat="1" x14ac:dyDescent="0.25">
      <c r="AB72" s="61"/>
      <c r="AC72" s="62"/>
      <c r="AD72" s="63"/>
      <c r="AE72" s="64"/>
      <c r="AF72" s="64"/>
      <c r="AG72" s="65"/>
      <c r="AH72" s="65"/>
      <c r="AI72" s="64"/>
      <c r="AJ72" s="66" t="s">
        <v>37</v>
      </c>
    </row>
    <row r="74" spans="28:36" x14ac:dyDescent="0.25">
      <c r="AC74" s="47"/>
      <c r="AD74" s="48"/>
      <c r="AE74" s="49"/>
      <c r="AF74" s="49"/>
      <c r="AG74" s="57"/>
      <c r="AH74" s="57"/>
      <c r="AI74" s="49"/>
      <c r="AJ74" s="50" t="s">
        <v>31</v>
      </c>
    </row>
    <row r="75" spans="28:36" x14ac:dyDescent="0.25">
      <c r="AC75" s="47"/>
      <c r="AD75" s="48"/>
      <c r="AE75" s="49"/>
      <c r="AF75" s="49"/>
      <c r="AG75" s="57"/>
      <c r="AH75" s="57"/>
      <c r="AI75" s="49"/>
      <c r="AJ75" s="50" t="s">
        <v>33</v>
      </c>
    </row>
    <row r="76" spans="28:36" x14ac:dyDescent="0.25">
      <c r="AC76" s="47"/>
      <c r="AD76" s="48"/>
      <c r="AE76" s="49"/>
      <c r="AF76" s="49"/>
      <c r="AG76" s="57"/>
      <c r="AH76" s="57"/>
      <c r="AI76" s="49"/>
      <c r="AJ76" s="50" t="s">
        <v>35</v>
      </c>
    </row>
    <row r="77" spans="28:36" s="60" customFormat="1" x14ac:dyDescent="0.25">
      <c r="AB77" s="61"/>
      <c r="AC77" s="62"/>
      <c r="AD77" s="63"/>
      <c r="AE77" s="64"/>
      <c r="AF77" s="64"/>
      <c r="AG77" s="65"/>
      <c r="AH77" s="65"/>
      <c r="AI77" s="64"/>
      <c r="AJ77" s="66" t="s">
        <v>37</v>
      </c>
    </row>
    <row r="79" spans="28:36" x14ac:dyDescent="0.25">
      <c r="AC79" s="47"/>
      <c r="AD79" s="48"/>
      <c r="AE79" s="49"/>
      <c r="AF79" s="49"/>
      <c r="AG79" s="57"/>
      <c r="AH79" s="57"/>
      <c r="AI79" s="49"/>
      <c r="AJ79" s="50" t="s">
        <v>31</v>
      </c>
    </row>
    <row r="80" spans="28:36" x14ac:dyDescent="0.25">
      <c r="AC80" s="47"/>
      <c r="AD80" s="48"/>
      <c r="AE80" s="49"/>
      <c r="AF80" s="49"/>
      <c r="AG80" s="57"/>
      <c r="AH80" s="57"/>
      <c r="AI80" s="49"/>
      <c r="AJ80" s="50" t="s">
        <v>33</v>
      </c>
    </row>
    <row r="81" spans="28:36" x14ac:dyDescent="0.25">
      <c r="AC81" s="47"/>
      <c r="AD81" s="48"/>
      <c r="AE81" s="49"/>
      <c r="AF81" s="49"/>
      <c r="AG81" s="57"/>
      <c r="AH81" s="57"/>
      <c r="AI81" s="49"/>
      <c r="AJ81" s="50" t="s">
        <v>35</v>
      </c>
    </row>
    <row r="82" spans="28:36" s="56" customFormat="1" x14ac:dyDescent="0.25">
      <c r="AB82" s="51"/>
      <c r="AC82" s="52"/>
      <c r="AD82" s="53"/>
      <c r="AE82" s="54"/>
      <c r="AF82" s="54"/>
      <c r="AG82" s="58"/>
      <c r="AH82" s="58"/>
      <c r="AI82" s="54"/>
      <c r="AJ82" s="55" t="s">
        <v>37</v>
      </c>
    </row>
    <row r="83" spans="28:36" x14ac:dyDescent="0.25">
      <c r="AF83" s="59"/>
    </row>
    <row r="84" spans="28:36" x14ac:dyDescent="0.25">
      <c r="AC84" s="47"/>
      <c r="AD84" s="48"/>
      <c r="AE84" s="49"/>
      <c r="AF84" s="49"/>
      <c r="AG84" s="57"/>
      <c r="AH84" s="57"/>
      <c r="AI84" s="49"/>
      <c r="AJ84" s="50" t="s">
        <v>31</v>
      </c>
    </row>
    <row r="85" spans="28:36" x14ac:dyDescent="0.25">
      <c r="AC85" s="47"/>
      <c r="AD85" s="48"/>
      <c r="AE85" s="49"/>
      <c r="AF85" s="49"/>
      <c r="AG85" s="57"/>
      <c r="AH85" s="57"/>
      <c r="AI85" s="49"/>
      <c r="AJ85" s="50" t="s">
        <v>33</v>
      </c>
    </row>
    <row r="86" spans="28:36" x14ac:dyDescent="0.25">
      <c r="AC86" s="47"/>
      <c r="AD86" s="48"/>
      <c r="AE86" s="49"/>
      <c r="AF86" s="49"/>
      <c r="AG86" s="57"/>
      <c r="AH86" s="57"/>
      <c r="AI86" s="49"/>
      <c r="AJ86" s="50" t="s">
        <v>35</v>
      </c>
    </row>
    <row r="87" spans="28:36" s="60" customFormat="1" x14ac:dyDescent="0.25">
      <c r="AB87" s="61"/>
      <c r="AC87" s="62"/>
      <c r="AD87" s="63"/>
      <c r="AE87" s="64"/>
      <c r="AF87" s="64"/>
      <c r="AG87" s="65"/>
      <c r="AH87" s="65"/>
      <c r="AI87" s="64"/>
      <c r="AJ87" s="66" t="s">
        <v>37</v>
      </c>
    </row>
    <row r="89" spans="28:36" x14ac:dyDescent="0.25">
      <c r="AC89" s="47"/>
      <c r="AD89" s="48"/>
      <c r="AE89" s="49"/>
      <c r="AF89" s="49"/>
      <c r="AG89" s="57"/>
      <c r="AH89" s="57"/>
      <c r="AI89" s="49"/>
      <c r="AJ89" s="50" t="s">
        <v>31</v>
      </c>
    </row>
    <row r="90" spans="28:36" x14ac:dyDescent="0.25">
      <c r="AC90" s="47"/>
      <c r="AD90" s="48"/>
      <c r="AE90" s="49"/>
      <c r="AF90" s="49"/>
      <c r="AG90" s="57"/>
      <c r="AH90" s="57"/>
      <c r="AI90" s="49"/>
      <c r="AJ90" s="50" t="s">
        <v>33</v>
      </c>
    </row>
    <row r="91" spans="28:36" x14ac:dyDescent="0.25">
      <c r="AC91" s="47"/>
      <c r="AD91" s="48"/>
      <c r="AE91" s="49"/>
      <c r="AF91" s="49"/>
      <c r="AG91" s="57"/>
      <c r="AH91" s="57"/>
      <c r="AI91" s="49"/>
      <c r="AJ91" s="50" t="s">
        <v>35</v>
      </c>
    </row>
    <row r="92" spans="28:36" s="60" customFormat="1" x14ac:dyDescent="0.25">
      <c r="AB92" s="61"/>
      <c r="AC92" s="62"/>
      <c r="AD92" s="63"/>
      <c r="AE92" s="64"/>
      <c r="AF92" s="64"/>
      <c r="AG92" s="65"/>
      <c r="AH92" s="65"/>
      <c r="AI92" s="64"/>
      <c r="AJ92" s="66" t="s">
        <v>37</v>
      </c>
    </row>
    <row r="94" spans="28:36" x14ac:dyDescent="0.25">
      <c r="AC94" s="47"/>
      <c r="AD94" s="48"/>
      <c r="AE94" s="49"/>
      <c r="AF94" s="49"/>
      <c r="AG94" s="57"/>
      <c r="AH94" s="57"/>
      <c r="AI94" s="49"/>
      <c r="AJ94" s="50" t="s">
        <v>31</v>
      </c>
    </row>
    <row r="95" spans="28:36" x14ac:dyDescent="0.25">
      <c r="AC95" s="47"/>
      <c r="AD95" s="48"/>
      <c r="AE95" s="49"/>
      <c r="AF95" s="49"/>
      <c r="AG95" s="57"/>
      <c r="AH95" s="57"/>
      <c r="AI95" s="49"/>
      <c r="AJ95" s="50" t="s">
        <v>33</v>
      </c>
    </row>
    <row r="96" spans="28:36" x14ac:dyDescent="0.25">
      <c r="AC96" s="47"/>
      <c r="AD96" s="48"/>
      <c r="AE96" s="49"/>
      <c r="AF96" s="49"/>
      <c r="AG96" s="57"/>
      <c r="AH96" s="57"/>
      <c r="AI96" s="49"/>
      <c r="AJ96" s="50" t="s">
        <v>35</v>
      </c>
    </row>
    <row r="97" spans="28:36" s="56" customFormat="1" x14ac:dyDescent="0.25">
      <c r="AB97" s="51"/>
      <c r="AC97" s="52"/>
      <c r="AD97" s="53"/>
      <c r="AE97" s="54"/>
      <c r="AF97" s="54"/>
      <c r="AG97" s="58"/>
      <c r="AH97" s="58"/>
      <c r="AI97" s="54"/>
      <c r="AJ97" s="55" t="s">
        <v>37</v>
      </c>
    </row>
    <row r="99" spans="28:36" x14ac:dyDescent="0.25">
      <c r="AC99" s="47"/>
      <c r="AD99" s="48"/>
      <c r="AE99" s="49"/>
      <c r="AF99" s="49"/>
      <c r="AG99" s="57"/>
      <c r="AH99" s="57"/>
      <c r="AI99" s="49"/>
      <c r="AJ99" s="50" t="s">
        <v>31</v>
      </c>
    </row>
    <row r="100" spans="28:36" x14ac:dyDescent="0.25">
      <c r="AC100" s="47"/>
      <c r="AD100" s="48"/>
      <c r="AE100" s="49"/>
      <c r="AF100" s="49"/>
      <c r="AG100" s="57"/>
      <c r="AH100" s="57"/>
      <c r="AI100" s="49"/>
      <c r="AJ100" s="50" t="s">
        <v>33</v>
      </c>
    </row>
    <row r="101" spans="28:36" x14ac:dyDescent="0.25">
      <c r="AC101" s="47"/>
      <c r="AD101" s="48"/>
      <c r="AE101" s="49"/>
      <c r="AF101" s="49"/>
      <c r="AG101" s="57"/>
      <c r="AH101" s="57"/>
      <c r="AI101" s="49"/>
      <c r="AJ101" s="50" t="s">
        <v>35</v>
      </c>
    </row>
    <row r="102" spans="28:36" s="60" customFormat="1" x14ac:dyDescent="0.25">
      <c r="AB102" s="61"/>
      <c r="AC102" s="62"/>
      <c r="AD102" s="63"/>
      <c r="AE102" s="64"/>
      <c r="AF102" s="64"/>
      <c r="AG102" s="65"/>
      <c r="AH102" s="65"/>
      <c r="AI102" s="64"/>
      <c r="AJ102" s="66" t="s">
        <v>37</v>
      </c>
    </row>
    <row r="104" spans="28:36" x14ac:dyDescent="0.25">
      <c r="AC104" s="47"/>
      <c r="AD104" s="48"/>
      <c r="AE104" s="49"/>
      <c r="AF104" s="49"/>
      <c r="AG104" s="57"/>
      <c r="AH104" s="57"/>
      <c r="AI104" s="49"/>
      <c r="AJ104" s="50" t="s">
        <v>31</v>
      </c>
    </row>
    <row r="105" spans="28:36" x14ac:dyDescent="0.25">
      <c r="AC105" s="47"/>
      <c r="AD105" s="48"/>
      <c r="AE105" s="49"/>
      <c r="AF105" s="49"/>
      <c r="AG105" s="57"/>
      <c r="AH105" s="57"/>
      <c r="AI105" s="49"/>
      <c r="AJ105" s="50" t="s">
        <v>33</v>
      </c>
    </row>
    <row r="106" spans="28:36" x14ac:dyDescent="0.25">
      <c r="AC106" s="47"/>
      <c r="AD106" s="48"/>
      <c r="AE106" s="49"/>
      <c r="AF106" s="49"/>
      <c r="AG106" s="57"/>
      <c r="AH106" s="57"/>
      <c r="AI106" s="49"/>
      <c r="AJ106" s="50" t="s">
        <v>35</v>
      </c>
    </row>
    <row r="107" spans="28:36" s="60" customFormat="1" x14ac:dyDescent="0.25">
      <c r="AB107" s="61"/>
      <c r="AC107" s="62"/>
      <c r="AD107" s="63"/>
      <c r="AE107" s="64"/>
      <c r="AF107" s="64"/>
      <c r="AG107" s="65"/>
      <c r="AH107" s="65"/>
      <c r="AI107" s="64"/>
      <c r="AJ107" s="66" t="s">
        <v>37</v>
      </c>
    </row>
    <row r="109" spans="28:36" x14ac:dyDescent="0.25">
      <c r="AC109" s="47"/>
      <c r="AD109" s="48"/>
      <c r="AE109" s="49"/>
      <c r="AF109" s="49"/>
      <c r="AG109" s="57"/>
      <c r="AH109" s="57"/>
      <c r="AI109" s="49"/>
      <c r="AJ109" s="50" t="s">
        <v>31</v>
      </c>
    </row>
    <row r="110" spans="28:36" x14ac:dyDescent="0.25">
      <c r="AC110" s="47"/>
      <c r="AD110" s="48"/>
      <c r="AE110" s="49"/>
      <c r="AF110" s="49"/>
      <c r="AG110" s="57"/>
      <c r="AH110" s="57"/>
      <c r="AI110" s="49"/>
      <c r="AJ110" s="50" t="s">
        <v>33</v>
      </c>
    </row>
    <row r="111" spans="28:36" x14ac:dyDescent="0.25">
      <c r="AC111" s="47"/>
      <c r="AD111" s="48"/>
      <c r="AE111" s="49"/>
      <c r="AF111" s="49"/>
      <c r="AG111" s="57"/>
      <c r="AH111" s="57"/>
      <c r="AI111" s="49"/>
      <c r="AJ111" s="50" t="s">
        <v>35</v>
      </c>
    </row>
    <row r="112" spans="28:36" s="56" customFormat="1" x14ac:dyDescent="0.25">
      <c r="AB112" s="51"/>
      <c r="AC112" s="52"/>
      <c r="AD112" s="53"/>
      <c r="AE112" s="54"/>
      <c r="AF112" s="54"/>
      <c r="AG112" s="58"/>
      <c r="AH112" s="58"/>
      <c r="AI112" s="54"/>
      <c r="AJ112" s="55" t="s">
        <v>37</v>
      </c>
    </row>
    <row r="114" spans="28:36" x14ac:dyDescent="0.25">
      <c r="AC114" s="47"/>
      <c r="AD114" s="48"/>
      <c r="AE114" s="49"/>
      <c r="AF114" s="49"/>
      <c r="AG114" s="57"/>
      <c r="AH114" s="57"/>
      <c r="AI114" s="49"/>
      <c r="AJ114" s="50" t="s">
        <v>31</v>
      </c>
    </row>
    <row r="115" spans="28:36" x14ac:dyDescent="0.25">
      <c r="AC115" s="47"/>
      <c r="AD115" s="48"/>
      <c r="AE115" s="49"/>
      <c r="AF115" s="49"/>
      <c r="AG115" s="57"/>
      <c r="AH115" s="57"/>
      <c r="AI115" s="49"/>
      <c r="AJ115" s="50" t="s">
        <v>33</v>
      </c>
    </row>
    <row r="116" spans="28:36" x14ac:dyDescent="0.25">
      <c r="AC116" s="47"/>
      <c r="AD116" s="48"/>
      <c r="AE116" s="49"/>
      <c r="AF116" s="49"/>
      <c r="AG116" s="57"/>
      <c r="AH116" s="57"/>
      <c r="AI116" s="49"/>
      <c r="AJ116" s="50" t="s">
        <v>35</v>
      </c>
    </row>
    <row r="117" spans="28:36" s="60" customFormat="1" x14ac:dyDescent="0.25">
      <c r="AB117" s="61"/>
      <c r="AC117" s="62"/>
      <c r="AD117" s="63"/>
      <c r="AE117" s="64"/>
      <c r="AF117" s="64"/>
      <c r="AG117" s="65"/>
      <c r="AH117" s="65"/>
      <c r="AI117" s="64"/>
      <c r="AJ117" s="66" t="s">
        <v>37</v>
      </c>
    </row>
    <row r="119" spans="28:36" x14ac:dyDescent="0.25">
      <c r="AC119" s="47"/>
      <c r="AD119" s="48"/>
      <c r="AE119" s="49"/>
      <c r="AF119" s="49"/>
      <c r="AG119" s="57"/>
      <c r="AH119" s="57"/>
      <c r="AI119" s="49"/>
      <c r="AJ119" s="50" t="s">
        <v>31</v>
      </c>
    </row>
    <row r="120" spans="28:36" x14ac:dyDescent="0.25">
      <c r="AC120" s="47"/>
      <c r="AD120" s="48"/>
      <c r="AE120" s="49"/>
      <c r="AF120" s="49"/>
      <c r="AG120" s="57"/>
      <c r="AH120" s="57"/>
      <c r="AI120" s="49"/>
      <c r="AJ120" s="50" t="s">
        <v>33</v>
      </c>
    </row>
    <row r="121" spans="28:36" x14ac:dyDescent="0.25">
      <c r="AC121" s="47"/>
      <c r="AD121" s="48"/>
      <c r="AE121" s="49"/>
      <c r="AF121" s="49"/>
      <c r="AG121" s="57"/>
      <c r="AH121" s="57"/>
      <c r="AI121" s="49"/>
      <c r="AJ121" s="50" t="s">
        <v>35</v>
      </c>
    </row>
    <row r="122" spans="28:36" s="60" customFormat="1" x14ac:dyDescent="0.25">
      <c r="AB122" s="61"/>
      <c r="AC122" s="62"/>
      <c r="AD122" s="63"/>
      <c r="AE122" s="64"/>
      <c r="AF122" s="64"/>
      <c r="AG122" s="65"/>
      <c r="AH122" s="65"/>
      <c r="AI122" s="64"/>
      <c r="AJ122" s="66" t="s">
        <v>37</v>
      </c>
    </row>
    <row r="124" spans="28:36" x14ac:dyDescent="0.25">
      <c r="AC124" s="47"/>
      <c r="AD124" s="48"/>
      <c r="AE124" s="49"/>
      <c r="AF124" s="49"/>
      <c r="AG124" s="57"/>
      <c r="AH124" s="57"/>
      <c r="AI124" s="49"/>
      <c r="AJ124" s="50" t="s">
        <v>31</v>
      </c>
    </row>
    <row r="125" spans="28:36" x14ac:dyDescent="0.25">
      <c r="AC125" s="47"/>
      <c r="AD125" s="48"/>
      <c r="AE125" s="49"/>
      <c r="AF125" s="49"/>
      <c r="AG125" s="57"/>
      <c r="AH125" s="57"/>
      <c r="AI125" s="49"/>
      <c r="AJ125" s="50" t="s">
        <v>33</v>
      </c>
    </row>
    <row r="126" spans="28:36" x14ac:dyDescent="0.25">
      <c r="AC126" s="47"/>
      <c r="AD126" s="48"/>
      <c r="AE126" s="49"/>
      <c r="AF126" s="49"/>
      <c r="AG126" s="57"/>
      <c r="AH126" s="57"/>
      <c r="AI126" s="49"/>
      <c r="AJ126" s="50" t="s">
        <v>35</v>
      </c>
    </row>
    <row r="127" spans="28:36" s="56" customFormat="1" x14ac:dyDescent="0.25">
      <c r="AB127" s="51"/>
      <c r="AC127" s="52"/>
      <c r="AD127" s="53"/>
      <c r="AE127" s="54"/>
      <c r="AF127" s="54"/>
      <c r="AG127" s="58"/>
      <c r="AH127" s="58"/>
      <c r="AI127" s="54"/>
      <c r="AJ127" s="55" t="s">
        <v>37</v>
      </c>
    </row>
    <row r="129" spans="28:36" x14ac:dyDescent="0.25">
      <c r="AC129" s="47"/>
      <c r="AD129" s="48"/>
      <c r="AE129" s="49"/>
      <c r="AF129" s="49"/>
      <c r="AG129" s="57"/>
      <c r="AH129" s="57"/>
      <c r="AI129" s="49"/>
      <c r="AJ129" s="50" t="s">
        <v>31</v>
      </c>
    </row>
    <row r="130" spans="28:36" x14ac:dyDescent="0.25">
      <c r="AC130" s="47"/>
      <c r="AD130" s="48"/>
      <c r="AE130" s="49"/>
      <c r="AF130" s="49"/>
      <c r="AG130" s="57"/>
      <c r="AH130" s="57"/>
      <c r="AI130" s="49"/>
      <c r="AJ130" s="50" t="s">
        <v>33</v>
      </c>
    </row>
    <row r="131" spans="28:36" x14ac:dyDescent="0.25">
      <c r="AC131" s="47"/>
      <c r="AD131" s="48"/>
      <c r="AE131" s="49"/>
      <c r="AF131" s="49"/>
      <c r="AG131" s="57"/>
      <c r="AH131" s="57"/>
      <c r="AI131" s="49"/>
      <c r="AJ131" s="50" t="s">
        <v>35</v>
      </c>
    </row>
    <row r="132" spans="28:36" s="60" customFormat="1" x14ac:dyDescent="0.25">
      <c r="AB132" s="61"/>
      <c r="AC132" s="62"/>
      <c r="AD132" s="63"/>
      <c r="AE132" s="64"/>
      <c r="AF132" s="64"/>
      <c r="AG132" s="65"/>
      <c r="AH132" s="65"/>
      <c r="AI132" s="64"/>
      <c r="AJ132" s="66" t="s">
        <v>37</v>
      </c>
    </row>
    <row r="134" spans="28:36" x14ac:dyDescent="0.25">
      <c r="AC134" s="47"/>
      <c r="AD134" s="48"/>
      <c r="AE134" s="49"/>
      <c r="AF134" s="49"/>
      <c r="AG134" s="57"/>
      <c r="AH134" s="57"/>
      <c r="AI134" s="49"/>
      <c r="AJ134" s="50" t="s">
        <v>31</v>
      </c>
    </row>
    <row r="135" spans="28:36" x14ac:dyDescent="0.25">
      <c r="AC135" s="47"/>
      <c r="AD135" s="48"/>
      <c r="AE135" s="49"/>
      <c r="AF135" s="49"/>
      <c r="AG135" s="57"/>
      <c r="AH135" s="57"/>
      <c r="AI135" s="49"/>
      <c r="AJ135" s="50" t="s">
        <v>33</v>
      </c>
    </row>
    <row r="136" spans="28:36" x14ac:dyDescent="0.25">
      <c r="AC136" s="47"/>
      <c r="AD136" s="48"/>
      <c r="AE136" s="49"/>
      <c r="AF136" s="49"/>
      <c r="AG136" s="57"/>
      <c r="AH136" s="57"/>
      <c r="AI136" s="49"/>
      <c r="AJ136" s="50" t="s">
        <v>35</v>
      </c>
    </row>
    <row r="137" spans="28:36" s="60" customFormat="1" x14ac:dyDescent="0.25">
      <c r="AB137" s="61"/>
      <c r="AC137" s="62"/>
      <c r="AD137" s="63"/>
      <c r="AE137" s="64"/>
      <c r="AF137" s="64"/>
      <c r="AG137" s="65"/>
      <c r="AH137" s="65"/>
      <c r="AI137" s="64"/>
      <c r="AJ137" s="66" t="s">
        <v>37</v>
      </c>
    </row>
    <row r="139" spans="28:36" x14ac:dyDescent="0.25">
      <c r="AC139" s="47"/>
      <c r="AD139" s="48"/>
      <c r="AE139" s="49"/>
      <c r="AF139" s="49"/>
      <c r="AG139" s="57"/>
      <c r="AH139" s="57"/>
      <c r="AI139" s="49"/>
      <c r="AJ139" s="50" t="s">
        <v>31</v>
      </c>
    </row>
    <row r="140" spans="28:36" x14ac:dyDescent="0.25">
      <c r="AC140" s="47"/>
      <c r="AD140" s="48"/>
      <c r="AE140" s="49"/>
      <c r="AF140" s="49"/>
      <c r="AG140" s="57"/>
      <c r="AH140" s="57"/>
      <c r="AI140" s="49"/>
      <c r="AJ140" s="50" t="s">
        <v>33</v>
      </c>
    </row>
    <row r="141" spans="28:36" x14ac:dyDescent="0.25">
      <c r="AC141" s="47"/>
      <c r="AD141" s="48"/>
      <c r="AE141" s="49"/>
      <c r="AF141" s="49"/>
      <c r="AG141" s="57"/>
      <c r="AH141" s="57"/>
      <c r="AI141" s="49"/>
      <c r="AJ141" s="50" t="s">
        <v>35</v>
      </c>
    </row>
    <row r="142" spans="28:36" s="56" customFormat="1" x14ac:dyDescent="0.25">
      <c r="AB142" s="51"/>
      <c r="AC142" s="52"/>
      <c r="AD142" s="53"/>
      <c r="AE142" s="54"/>
      <c r="AF142" s="54"/>
      <c r="AG142" s="58"/>
      <c r="AH142" s="58"/>
      <c r="AI142" s="54"/>
      <c r="AJ142" s="55" t="s">
        <v>37</v>
      </c>
    </row>
    <row r="144" spans="28:36" x14ac:dyDescent="0.25">
      <c r="AC144" s="47"/>
      <c r="AD144" s="48"/>
      <c r="AE144" s="49"/>
      <c r="AF144" s="49"/>
      <c r="AG144" s="57"/>
      <c r="AH144" s="57"/>
      <c r="AI144" s="49"/>
      <c r="AJ144" s="50" t="s">
        <v>31</v>
      </c>
    </row>
    <row r="145" spans="28:36" x14ac:dyDescent="0.25">
      <c r="AC145" s="47"/>
      <c r="AD145" s="48"/>
      <c r="AE145" s="49"/>
      <c r="AF145" s="49"/>
      <c r="AG145" s="57"/>
      <c r="AH145" s="57"/>
      <c r="AI145" s="49"/>
      <c r="AJ145" s="50" t="s">
        <v>33</v>
      </c>
    </row>
    <row r="146" spans="28:36" x14ac:dyDescent="0.25">
      <c r="AC146" s="47"/>
      <c r="AD146" s="48"/>
      <c r="AE146" s="49"/>
      <c r="AF146" s="49"/>
      <c r="AG146" s="57"/>
      <c r="AH146" s="57"/>
      <c r="AI146" s="49"/>
      <c r="AJ146" s="50" t="s">
        <v>35</v>
      </c>
    </row>
    <row r="147" spans="28:36" s="60" customFormat="1" x14ac:dyDescent="0.25">
      <c r="AB147" s="61"/>
      <c r="AC147" s="62"/>
      <c r="AD147" s="63"/>
      <c r="AE147" s="64"/>
      <c r="AF147" s="64"/>
      <c r="AG147" s="65"/>
      <c r="AH147" s="65"/>
      <c r="AI147" s="64"/>
      <c r="AJ147" s="66" t="s">
        <v>37</v>
      </c>
    </row>
    <row r="149" spans="28:36" x14ac:dyDescent="0.25">
      <c r="AC149" s="47"/>
      <c r="AD149" s="48"/>
      <c r="AE149" s="49"/>
      <c r="AF149" s="49"/>
      <c r="AG149" s="57"/>
      <c r="AH149" s="57"/>
      <c r="AI149" s="49"/>
      <c r="AJ149" s="50" t="s">
        <v>31</v>
      </c>
    </row>
    <row r="150" spans="28:36" x14ac:dyDescent="0.25">
      <c r="AC150" s="47"/>
      <c r="AD150" s="48"/>
      <c r="AE150" s="49"/>
      <c r="AF150" s="49"/>
      <c r="AG150" s="57"/>
      <c r="AH150" s="57"/>
      <c r="AI150" s="49"/>
      <c r="AJ150" s="50" t="s">
        <v>33</v>
      </c>
    </row>
    <row r="151" spans="28:36" x14ac:dyDescent="0.25">
      <c r="AC151" s="47"/>
      <c r="AD151" s="48"/>
      <c r="AE151" s="49"/>
      <c r="AF151" s="49"/>
      <c r="AG151" s="57"/>
      <c r="AH151" s="57"/>
      <c r="AI151" s="49"/>
      <c r="AJ151" s="50" t="s">
        <v>35</v>
      </c>
    </row>
    <row r="152" spans="28:36" s="60" customFormat="1" x14ac:dyDescent="0.25">
      <c r="AB152" s="61"/>
      <c r="AC152" s="62"/>
      <c r="AD152" s="63"/>
      <c r="AE152" s="64"/>
      <c r="AF152" s="64"/>
      <c r="AG152" s="65"/>
      <c r="AH152" s="65"/>
      <c r="AI152" s="64"/>
      <c r="AJ152" s="66" t="s">
        <v>37</v>
      </c>
    </row>
    <row r="154" spans="28:36" x14ac:dyDescent="0.25">
      <c r="AC154" s="47"/>
      <c r="AD154" s="48"/>
      <c r="AE154" s="49"/>
      <c r="AF154" s="49"/>
      <c r="AG154" s="57"/>
      <c r="AH154" s="57"/>
      <c r="AI154" s="49"/>
      <c r="AJ154" s="50" t="s">
        <v>31</v>
      </c>
    </row>
    <row r="155" spans="28:36" x14ac:dyDescent="0.25">
      <c r="AC155" s="47"/>
      <c r="AD155" s="48"/>
      <c r="AE155" s="49"/>
      <c r="AF155" s="49"/>
      <c r="AG155" s="57"/>
      <c r="AH155" s="57"/>
      <c r="AI155" s="49"/>
      <c r="AJ155" s="50" t="s">
        <v>33</v>
      </c>
    </row>
    <row r="156" spans="28:36" x14ac:dyDescent="0.25">
      <c r="AC156" s="47"/>
      <c r="AD156" s="48"/>
      <c r="AE156" s="49"/>
      <c r="AF156" s="49"/>
      <c r="AG156" s="57"/>
      <c r="AH156" s="57"/>
      <c r="AI156" s="49"/>
      <c r="AJ156" s="50" t="s">
        <v>35</v>
      </c>
    </row>
    <row r="157" spans="28:36" s="60" customFormat="1" x14ac:dyDescent="0.25">
      <c r="AB157" s="61"/>
      <c r="AC157" s="62"/>
      <c r="AD157" s="63"/>
      <c r="AE157" s="64"/>
      <c r="AF157" s="64"/>
      <c r="AG157" s="65"/>
      <c r="AH157" s="65"/>
      <c r="AI157" s="64"/>
      <c r="AJ157" s="66" t="s">
        <v>37</v>
      </c>
    </row>
    <row r="159" spans="28:36" x14ac:dyDescent="0.25">
      <c r="AC159" s="47"/>
      <c r="AD159" s="48"/>
      <c r="AE159" s="49"/>
      <c r="AF159" s="49"/>
      <c r="AG159" s="57"/>
      <c r="AH159" s="57"/>
      <c r="AI159" s="49"/>
      <c r="AJ159" s="50" t="s">
        <v>31</v>
      </c>
    </row>
    <row r="160" spans="28:36" x14ac:dyDescent="0.25">
      <c r="AC160" s="47"/>
      <c r="AD160" s="48"/>
      <c r="AE160" s="49"/>
      <c r="AF160" s="49"/>
      <c r="AG160" s="57"/>
      <c r="AH160" s="57"/>
      <c r="AI160" s="49"/>
      <c r="AJ160" s="50" t="s">
        <v>33</v>
      </c>
    </row>
    <row r="161" spans="28:36" x14ac:dyDescent="0.25">
      <c r="AC161" s="47"/>
      <c r="AD161" s="48"/>
      <c r="AE161" s="49"/>
      <c r="AF161" s="49"/>
      <c r="AG161" s="57"/>
      <c r="AH161" s="57"/>
      <c r="AI161" s="49"/>
      <c r="AJ161" s="50" t="s">
        <v>35</v>
      </c>
    </row>
    <row r="162" spans="28:36" s="60" customFormat="1" x14ac:dyDescent="0.25">
      <c r="AB162" s="61"/>
      <c r="AC162" s="62"/>
      <c r="AD162" s="63"/>
      <c r="AE162" s="64"/>
      <c r="AF162" s="64"/>
      <c r="AG162" s="65"/>
      <c r="AH162" s="65"/>
      <c r="AI162" s="64"/>
      <c r="AJ162" s="66" t="s">
        <v>37</v>
      </c>
    </row>
    <row r="164" spans="28:36" x14ac:dyDescent="0.25">
      <c r="AC164" s="47"/>
      <c r="AD164" s="48"/>
      <c r="AE164" s="49"/>
      <c r="AF164" s="49"/>
      <c r="AG164" s="57"/>
      <c r="AH164" s="57"/>
      <c r="AI164" s="49"/>
      <c r="AJ164" s="50" t="s">
        <v>31</v>
      </c>
    </row>
    <row r="165" spans="28:36" x14ac:dyDescent="0.25">
      <c r="AC165" s="47"/>
      <c r="AD165" s="48"/>
      <c r="AE165" s="49"/>
      <c r="AF165" s="49"/>
      <c r="AG165" s="57"/>
      <c r="AH165" s="57"/>
      <c r="AI165" s="49"/>
      <c r="AJ165" s="50" t="s">
        <v>33</v>
      </c>
    </row>
    <row r="166" spans="28:36" x14ac:dyDescent="0.25">
      <c r="AC166" s="47"/>
      <c r="AD166" s="48"/>
      <c r="AE166" s="49"/>
      <c r="AF166" s="49"/>
      <c r="AG166" s="57"/>
      <c r="AH166" s="57"/>
      <c r="AI166" s="49"/>
      <c r="AJ166" s="50" t="s">
        <v>35</v>
      </c>
    </row>
    <row r="167" spans="28:36" s="60" customFormat="1" x14ac:dyDescent="0.25">
      <c r="AB167" s="61"/>
      <c r="AC167" s="62"/>
      <c r="AD167" s="63"/>
      <c r="AE167" s="64"/>
      <c r="AF167" s="64"/>
      <c r="AG167" s="65"/>
      <c r="AH167" s="65"/>
      <c r="AI167" s="64"/>
      <c r="AJ167" s="66" t="s">
        <v>37</v>
      </c>
    </row>
    <row r="169" spans="28:36" x14ac:dyDescent="0.25">
      <c r="AC169" s="47"/>
      <c r="AD169" s="48"/>
      <c r="AE169" s="49"/>
      <c r="AF169" s="49"/>
      <c r="AG169" s="57"/>
      <c r="AH169" s="57"/>
      <c r="AI169" s="49"/>
      <c r="AJ169" s="50" t="s">
        <v>31</v>
      </c>
    </row>
    <row r="170" spans="28:36" x14ac:dyDescent="0.25">
      <c r="AC170" s="47"/>
      <c r="AD170" s="48"/>
      <c r="AE170" s="49"/>
      <c r="AF170" s="49"/>
      <c r="AG170" s="57"/>
      <c r="AH170" s="57"/>
      <c r="AI170" s="49"/>
      <c r="AJ170" s="50" t="s">
        <v>33</v>
      </c>
    </row>
    <row r="171" spans="28:36" x14ac:dyDescent="0.25">
      <c r="AC171" s="47"/>
      <c r="AD171" s="48"/>
      <c r="AE171" s="49"/>
      <c r="AF171" s="49"/>
      <c r="AG171" s="57"/>
      <c r="AH171" s="57"/>
      <c r="AI171" s="49"/>
      <c r="AJ171" s="50" t="s">
        <v>35</v>
      </c>
    </row>
    <row r="172" spans="28:36" s="60" customFormat="1" x14ac:dyDescent="0.25">
      <c r="AB172" s="61"/>
      <c r="AC172" s="62"/>
      <c r="AD172" s="63"/>
      <c r="AE172" s="64"/>
      <c r="AF172" s="64"/>
      <c r="AG172" s="65"/>
      <c r="AH172" s="65"/>
      <c r="AI172" s="64"/>
      <c r="AJ172" s="66" t="s">
        <v>37</v>
      </c>
    </row>
    <row r="174" spans="28:36" x14ac:dyDescent="0.25">
      <c r="AC174" s="47"/>
      <c r="AD174" s="48"/>
      <c r="AE174" s="49"/>
      <c r="AF174" s="49"/>
      <c r="AG174" s="57"/>
      <c r="AH174" s="57"/>
      <c r="AI174" s="49"/>
      <c r="AJ174" s="50" t="s">
        <v>31</v>
      </c>
    </row>
    <row r="175" spans="28:36" x14ac:dyDescent="0.25">
      <c r="AC175" s="47"/>
      <c r="AD175" s="48"/>
      <c r="AE175" s="49"/>
      <c r="AF175" s="49"/>
      <c r="AG175" s="57"/>
      <c r="AH175" s="57"/>
      <c r="AI175" s="49"/>
      <c r="AJ175" s="50" t="s">
        <v>33</v>
      </c>
    </row>
    <row r="176" spans="28:36" x14ac:dyDescent="0.25">
      <c r="AC176" s="47"/>
      <c r="AD176" s="48"/>
      <c r="AE176" s="49"/>
      <c r="AF176" s="49"/>
      <c r="AG176" s="57"/>
      <c r="AH176" s="57"/>
      <c r="AI176" s="49"/>
      <c r="AJ176" s="50" t="s">
        <v>35</v>
      </c>
    </row>
    <row r="177" spans="28:36" s="60" customFormat="1" x14ac:dyDescent="0.25">
      <c r="AB177" s="61"/>
      <c r="AC177" s="62"/>
      <c r="AD177" s="63"/>
      <c r="AE177" s="64"/>
      <c r="AF177" s="64"/>
      <c r="AG177" s="65"/>
      <c r="AH177" s="65"/>
      <c r="AI177" s="64"/>
      <c r="AJ177" s="66" t="s">
        <v>37</v>
      </c>
    </row>
    <row r="179" spans="28:36" x14ac:dyDescent="0.25">
      <c r="AC179" s="47"/>
      <c r="AD179" s="48"/>
      <c r="AE179" s="49"/>
      <c r="AF179" s="49"/>
      <c r="AG179" s="57"/>
      <c r="AH179" s="57"/>
      <c r="AI179" s="49"/>
      <c r="AJ179" s="50" t="s">
        <v>31</v>
      </c>
    </row>
    <row r="180" spans="28:36" x14ac:dyDescent="0.25">
      <c r="AC180" s="47"/>
      <c r="AD180" s="48"/>
      <c r="AE180" s="49"/>
      <c r="AF180" s="49"/>
      <c r="AG180" s="57"/>
      <c r="AH180" s="57"/>
      <c r="AI180" s="49"/>
      <c r="AJ180" s="50" t="s">
        <v>33</v>
      </c>
    </row>
    <row r="181" spans="28:36" x14ac:dyDescent="0.25">
      <c r="AC181" s="47"/>
      <c r="AD181" s="48"/>
      <c r="AE181" s="49"/>
      <c r="AF181" s="49"/>
      <c r="AG181" s="57"/>
      <c r="AH181" s="57"/>
      <c r="AI181" s="49"/>
      <c r="AJ181" s="50" t="s">
        <v>35</v>
      </c>
    </row>
    <row r="182" spans="28:36" s="60" customFormat="1" x14ac:dyDescent="0.25">
      <c r="AB182" s="61"/>
      <c r="AC182" s="62"/>
      <c r="AD182" s="63"/>
      <c r="AE182" s="64"/>
      <c r="AF182" s="64"/>
      <c r="AG182" s="65"/>
      <c r="AH182" s="65"/>
      <c r="AI182" s="64"/>
      <c r="AJ182" s="66" t="s">
        <v>37</v>
      </c>
    </row>
    <row r="184" spans="28:36" x14ac:dyDescent="0.25">
      <c r="AC184" s="47"/>
      <c r="AD184" s="48"/>
      <c r="AE184" s="49"/>
      <c r="AF184" s="49"/>
      <c r="AG184" s="57"/>
      <c r="AH184" s="57"/>
      <c r="AI184" s="49"/>
      <c r="AJ184" s="50" t="s">
        <v>31</v>
      </c>
    </row>
    <row r="185" spans="28:36" x14ac:dyDescent="0.25">
      <c r="AC185" s="47"/>
      <c r="AD185" s="48"/>
      <c r="AE185" s="49"/>
      <c r="AF185" s="49"/>
      <c r="AG185" s="57"/>
      <c r="AH185" s="57"/>
      <c r="AI185" s="49"/>
      <c r="AJ185" s="50" t="s">
        <v>33</v>
      </c>
    </row>
    <row r="186" spans="28:36" x14ac:dyDescent="0.25">
      <c r="AC186" s="47"/>
      <c r="AD186" s="48"/>
      <c r="AE186" s="49"/>
      <c r="AF186" s="49"/>
      <c r="AG186" s="57"/>
      <c r="AH186" s="57"/>
      <c r="AI186" s="49"/>
      <c r="AJ186" s="50" t="s">
        <v>35</v>
      </c>
    </row>
    <row r="187" spans="28:36" s="60" customFormat="1" x14ac:dyDescent="0.25">
      <c r="AB187" s="61"/>
      <c r="AC187" s="62"/>
      <c r="AD187" s="63"/>
      <c r="AE187" s="64"/>
      <c r="AF187" s="64"/>
      <c r="AG187" s="65"/>
      <c r="AH187" s="65"/>
      <c r="AI187" s="64"/>
      <c r="AJ187" s="66" t="s">
        <v>37</v>
      </c>
    </row>
    <row r="189" spans="28:36" x14ac:dyDescent="0.25">
      <c r="AC189" s="47"/>
      <c r="AD189" s="48"/>
      <c r="AE189" s="49"/>
      <c r="AF189" s="49"/>
      <c r="AG189" s="57"/>
      <c r="AH189" s="57"/>
      <c r="AI189" s="49"/>
      <c r="AJ189" s="50" t="s">
        <v>31</v>
      </c>
    </row>
    <row r="190" spans="28:36" x14ac:dyDescent="0.25">
      <c r="AC190" s="47"/>
      <c r="AD190" s="48"/>
      <c r="AE190" s="49"/>
      <c r="AF190" s="49"/>
      <c r="AG190" s="57"/>
      <c r="AH190" s="57"/>
      <c r="AI190" s="49"/>
      <c r="AJ190" s="50" t="s">
        <v>33</v>
      </c>
    </row>
    <row r="191" spans="28:36" x14ac:dyDescent="0.25">
      <c r="AC191" s="47"/>
      <c r="AD191" s="48"/>
      <c r="AE191" s="49"/>
      <c r="AF191" s="49"/>
      <c r="AG191" s="57"/>
      <c r="AH191" s="57"/>
      <c r="AI191" s="49"/>
      <c r="AJ191" s="50" t="s">
        <v>35</v>
      </c>
    </row>
    <row r="192" spans="28:36" s="60" customFormat="1" x14ac:dyDescent="0.25">
      <c r="AB192" s="61"/>
      <c r="AC192" s="62"/>
      <c r="AD192" s="63"/>
      <c r="AE192" s="64"/>
      <c r="AF192" s="64"/>
      <c r="AG192" s="65"/>
      <c r="AH192" s="65"/>
      <c r="AI192" s="64"/>
      <c r="AJ192" s="66" t="s">
        <v>37</v>
      </c>
    </row>
    <row r="194" spans="28:36" x14ac:dyDescent="0.25">
      <c r="AC194" s="47"/>
      <c r="AD194" s="48"/>
      <c r="AE194" s="49"/>
      <c r="AF194" s="49"/>
      <c r="AG194" s="57"/>
      <c r="AH194" s="57"/>
      <c r="AI194" s="49"/>
      <c r="AJ194" s="50" t="s">
        <v>31</v>
      </c>
    </row>
    <row r="195" spans="28:36" x14ac:dyDescent="0.25">
      <c r="AC195" s="47"/>
      <c r="AD195" s="48"/>
      <c r="AE195" s="49"/>
      <c r="AF195" s="49"/>
      <c r="AG195" s="57"/>
      <c r="AH195" s="57"/>
      <c r="AI195" s="49"/>
      <c r="AJ195" s="50" t="s">
        <v>33</v>
      </c>
    </row>
    <row r="196" spans="28:36" x14ac:dyDescent="0.25">
      <c r="AC196" s="47"/>
      <c r="AD196" s="48"/>
      <c r="AE196" s="49"/>
      <c r="AF196" s="49"/>
      <c r="AG196" s="57"/>
      <c r="AH196" s="57"/>
      <c r="AI196" s="49"/>
      <c r="AJ196" s="50" t="s">
        <v>35</v>
      </c>
    </row>
    <row r="197" spans="28:36" s="60" customFormat="1" x14ac:dyDescent="0.25">
      <c r="AB197" s="61"/>
      <c r="AC197" s="62"/>
      <c r="AD197" s="63"/>
      <c r="AE197" s="64"/>
      <c r="AF197" s="64"/>
      <c r="AG197" s="65"/>
      <c r="AH197" s="65"/>
      <c r="AI197" s="64"/>
      <c r="AJ197" s="66" t="s">
        <v>37</v>
      </c>
    </row>
    <row r="199" spans="28:36" x14ac:dyDescent="0.25">
      <c r="AC199" s="47"/>
      <c r="AD199" s="48"/>
      <c r="AE199" s="49"/>
      <c r="AF199" s="49"/>
      <c r="AG199" s="57"/>
      <c r="AH199" s="57"/>
      <c r="AI199" s="49"/>
      <c r="AJ199" s="50" t="s">
        <v>31</v>
      </c>
    </row>
    <row r="200" spans="28:36" x14ac:dyDescent="0.25">
      <c r="AC200" s="47"/>
      <c r="AD200" s="48"/>
      <c r="AE200" s="49"/>
      <c r="AF200" s="49"/>
      <c r="AG200" s="57"/>
      <c r="AH200" s="57"/>
      <c r="AI200" s="49"/>
      <c r="AJ200" s="50" t="s">
        <v>33</v>
      </c>
    </row>
    <row r="201" spans="28:36" x14ac:dyDescent="0.25">
      <c r="AC201" s="47"/>
      <c r="AD201" s="48"/>
      <c r="AE201" s="49"/>
      <c r="AF201" s="49"/>
      <c r="AG201" s="57"/>
      <c r="AH201" s="57"/>
      <c r="AI201" s="49"/>
      <c r="AJ201" s="50" t="s">
        <v>35</v>
      </c>
    </row>
    <row r="202" spans="28:36" s="60" customFormat="1" x14ac:dyDescent="0.25">
      <c r="AB202" s="61"/>
      <c r="AC202" s="62"/>
      <c r="AD202" s="63"/>
      <c r="AE202" s="64"/>
      <c r="AF202" s="64"/>
      <c r="AG202" s="65"/>
      <c r="AH202" s="65"/>
      <c r="AI202" s="64"/>
      <c r="AJ202" s="66" t="s">
        <v>37</v>
      </c>
    </row>
    <row r="205" spans="28:36" x14ac:dyDescent="0.25">
      <c r="AG205" s="56"/>
    </row>
  </sheetData>
  <mergeCells count="199">
    <mergeCell ref="A1:A3"/>
    <mergeCell ref="B1:B3"/>
    <mergeCell ref="C1:C3"/>
    <mergeCell ref="D1:M1"/>
    <mergeCell ref="N1:U1"/>
    <mergeCell ref="V1:V3"/>
    <mergeCell ref="T2:U2"/>
    <mergeCell ref="AF1:AF2"/>
    <mergeCell ref="AG1:AH1"/>
    <mergeCell ref="AI1:AI2"/>
    <mergeCell ref="AJ1:AJ2"/>
    <mergeCell ref="AK1:AK2"/>
    <mergeCell ref="AL1:AL2"/>
    <mergeCell ref="W1:W3"/>
    <mergeCell ref="X1:X3"/>
    <mergeCell ref="Y1:AB1"/>
    <mergeCell ref="AC1:AC2"/>
    <mergeCell ref="AD1:AD2"/>
    <mergeCell ref="AE1:AE2"/>
    <mergeCell ref="Y2:Y3"/>
    <mergeCell ref="Z2:AB2"/>
    <mergeCell ref="AS1:AS2"/>
    <mergeCell ref="AT1:AT2"/>
    <mergeCell ref="AU1:AU2"/>
    <mergeCell ref="AV1:AV2"/>
    <mergeCell ref="AW1:AW2"/>
    <mergeCell ref="AX1:AX2"/>
    <mergeCell ref="AM1:AM2"/>
    <mergeCell ref="AN1:AN2"/>
    <mergeCell ref="AO1:AO2"/>
    <mergeCell ref="AP1:AP2"/>
    <mergeCell ref="AQ1:AQ2"/>
    <mergeCell ref="AR1:AR2"/>
    <mergeCell ref="BE1:BE2"/>
    <mergeCell ref="BF1:BF2"/>
    <mergeCell ref="BG1:BG2"/>
    <mergeCell ref="BH1:BH2"/>
    <mergeCell ref="BI1:BI2"/>
    <mergeCell ref="BJ1:BJ2"/>
    <mergeCell ref="AY1:AY2"/>
    <mergeCell ref="AZ1:AZ2"/>
    <mergeCell ref="BA1:BA2"/>
    <mergeCell ref="BB1:BB2"/>
    <mergeCell ref="BC1:BC2"/>
    <mergeCell ref="BD1:BD2"/>
    <mergeCell ref="BQ1:BQ2"/>
    <mergeCell ref="BR1:BR2"/>
    <mergeCell ref="BS1:BS2"/>
    <mergeCell ref="BT1:BT2"/>
    <mergeCell ref="BU1:BU2"/>
    <mergeCell ref="BV1:BV2"/>
    <mergeCell ref="BK1:BK2"/>
    <mergeCell ref="BL1:BL2"/>
    <mergeCell ref="BM1:BM2"/>
    <mergeCell ref="BN1:BN2"/>
    <mergeCell ref="BO1:BO2"/>
    <mergeCell ref="BP1:BP2"/>
    <mergeCell ref="CC1:CC2"/>
    <mergeCell ref="CD1:CD2"/>
    <mergeCell ref="CE1:CE2"/>
    <mergeCell ref="CF1:CF2"/>
    <mergeCell ref="CG1:CG2"/>
    <mergeCell ref="CH1:CH2"/>
    <mergeCell ref="BW1:BW2"/>
    <mergeCell ref="BX1:BX2"/>
    <mergeCell ref="BY1:BY2"/>
    <mergeCell ref="BZ1:BZ2"/>
    <mergeCell ref="CA1:CA2"/>
    <mergeCell ref="CB1:CB2"/>
    <mergeCell ref="CO1:CO2"/>
    <mergeCell ref="CP1:CP2"/>
    <mergeCell ref="CQ1:CQ2"/>
    <mergeCell ref="CR1:CR2"/>
    <mergeCell ref="CS1:CS2"/>
    <mergeCell ref="CT1:CT2"/>
    <mergeCell ref="CI1:CI2"/>
    <mergeCell ref="CJ1:CJ2"/>
    <mergeCell ref="CK1:CK2"/>
    <mergeCell ref="CL1:CL2"/>
    <mergeCell ref="CM1:CM2"/>
    <mergeCell ref="CN1:CN2"/>
    <mergeCell ref="DA1:DA2"/>
    <mergeCell ref="DB1:DB2"/>
    <mergeCell ref="DC1:DC2"/>
    <mergeCell ref="DD1:DD2"/>
    <mergeCell ref="DE1:DE2"/>
    <mergeCell ref="DF1:DF2"/>
    <mergeCell ref="CU1:CU2"/>
    <mergeCell ref="CV1:CV2"/>
    <mergeCell ref="CW1:CW2"/>
    <mergeCell ref="CX1:CX2"/>
    <mergeCell ref="CY1:CY2"/>
    <mergeCell ref="CZ1:CZ2"/>
    <mergeCell ref="DM1:DM2"/>
    <mergeCell ref="DN1:DN2"/>
    <mergeCell ref="DO1:DO2"/>
    <mergeCell ref="DP1:DP2"/>
    <mergeCell ref="DQ1:DQ2"/>
    <mergeCell ref="DR1:DR2"/>
    <mergeCell ref="DG1:DG2"/>
    <mergeCell ref="DH1:DH2"/>
    <mergeCell ref="DI1:DI2"/>
    <mergeCell ref="DJ1:DJ2"/>
    <mergeCell ref="DK1:DK2"/>
    <mergeCell ref="DL1:DL2"/>
    <mergeCell ref="DY1:DY2"/>
    <mergeCell ref="DZ1:DZ2"/>
    <mergeCell ref="EA1:EA2"/>
    <mergeCell ref="EB1:EB2"/>
    <mergeCell ref="EC1:EC2"/>
    <mergeCell ref="ED1:ED2"/>
    <mergeCell ref="DS1:DS2"/>
    <mergeCell ref="DT1:DT2"/>
    <mergeCell ref="DU1:DU2"/>
    <mergeCell ref="DV1:DV2"/>
    <mergeCell ref="DW1:DW2"/>
    <mergeCell ref="DX1:DX2"/>
    <mergeCell ref="EK1:EK2"/>
    <mergeCell ref="EL1:EL2"/>
    <mergeCell ref="EM1:EM2"/>
    <mergeCell ref="EN1:EN2"/>
    <mergeCell ref="EO1:EO2"/>
    <mergeCell ref="EP1:EP2"/>
    <mergeCell ref="EE1:EE2"/>
    <mergeCell ref="EF1:EF2"/>
    <mergeCell ref="EG1:EG2"/>
    <mergeCell ref="EH1:EH2"/>
    <mergeCell ref="EI1:EI2"/>
    <mergeCell ref="EJ1:EJ2"/>
    <mergeCell ref="EW1:EW2"/>
    <mergeCell ref="EX1:EX2"/>
    <mergeCell ref="EY1:EY2"/>
    <mergeCell ref="EZ1:EZ2"/>
    <mergeCell ref="FA1:FA2"/>
    <mergeCell ref="FB1:FB2"/>
    <mergeCell ref="EQ1:EQ2"/>
    <mergeCell ref="ER1:ER2"/>
    <mergeCell ref="ES1:ES2"/>
    <mergeCell ref="ET1:ET2"/>
    <mergeCell ref="EU1:EU2"/>
    <mergeCell ref="EV1:EV2"/>
    <mergeCell ref="FI1:FI2"/>
    <mergeCell ref="FJ1:FJ2"/>
    <mergeCell ref="FK1:FK2"/>
    <mergeCell ref="FL1:FL2"/>
    <mergeCell ref="FM1:FM2"/>
    <mergeCell ref="FN1:FN2"/>
    <mergeCell ref="FC1:FC2"/>
    <mergeCell ref="FD1:FD2"/>
    <mergeCell ref="FE1:FE2"/>
    <mergeCell ref="FF1:FF2"/>
    <mergeCell ref="FG1:FG2"/>
    <mergeCell ref="FH1:FH2"/>
    <mergeCell ref="FU1:FU2"/>
    <mergeCell ref="FV1:FV2"/>
    <mergeCell ref="FW1:FW2"/>
    <mergeCell ref="FX1:FX2"/>
    <mergeCell ref="FY1:FY2"/>
    <mergeCell ref="FZ1:FZ2"/>
    <mergeCell ref="FO1:FO2"/>
    <mergeCell ref="FP1:FP2"/>
    <mergeCell ref="FQ1:FQ2"/>
    <mergeCell ref="FR1:FR2"/>
    <mergeCell ref="FS1:FS2"/>
    <mergeCell ref="FT1:FT2"/>
    <mergeCell ref="GI1:GI2"/>
    <mergeCell ref="GJ1:GJ2"/>
    <mergeCell ref="GK1:GK2"/>
    <mergeCell ref="GL1:GL2"/>
    <mergeCell ref="GA1:GA2"/>
    <mergeCell ref="GB1:GB2"/>
    <mergeCell ref="GC1:GC2"/>
    <mergeCell ref="GD1:GD2"/>
    <mergeCell ref="GE1:GE2"/>
    <mergeCell ref="GF1:GF2"/>
    <mergeCell ref="GY1:GY2"/>
    <mergeCell ref="GZ1:GZ2"/>
    <mergeCell ref="D2:E2"/>
    <mergeCell ref="F2:G2"/>
    <mergeCell ref="H2:I2"/>
    <mergeCell ref="J2:K2"/>
    <mergeCell ref="L2:M2"/>
    <mergeCell ref="N2:O2"/>
    <mergeCell ref="P2:Q2"/>
    <mergeCell ref="R2:S2"/>
    <mergeCell ref="GS1:GS2"/>
    <mergeCell ref="GT1:GT2"/>
    <mergeCell ref="GU1:GU2"/>
    <mergeCell ref="GV1:GV2"/>
    <mergeCell ref="GW1:GW2"/>
    <mergeCell ref="GX1:GX2"/>
    <mergeCell ref="GM1:GM2"/>
    <mergeCell ref="GN1:GN2"/>
    <mergeCell ref="GO1:GO2"/>
    <mergeCell ref="GP1:GP2"/>
    <mergeCell ref="GQ1:GQ2"/>
    <mergeCell ref="GR1:GR2"/>
    <mergeCell ref="GG1:GG2"/>
    <mergeCell ref="GH1:GH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0A24-C007-43A5-A8FE-BA12D2D02346}">
  <sheetPr>
    <tabColor theme="6" tint="0.39997558519241921"/>
  </sheetPr>
  <dimension ref="A1:AO36"/>
  <sheetViews>
    <sheetView topLeftCell="A10" workbookViewId="0">
      <selection activeCell="E16" sqref="E16"/>
    </sheetView>
  </sheetViews>
  <sheetFormatPr defaultRowHeight="15" x14ac:dyDescent="0.25"/>
  <cols>
    <col min="4" max="4" width="15.5703125" customWidth="1"/>
    <col min="5" max="5" width="14.28515625" bestFit="1" customWidth="1"/>
  </cols>
  <sheetData>
    <row r="1" spans="1:41" x14ac:dyDescent="0.25">
      <c r="A1" t="s">
        <v>944</v>
      </c>
      <c r="B1" s="173" t="s">
        <v>945</v>
      </c>
      <c r="C1" s="169" t="s">
        <v>753</v>
      </c>
      <c r="D1" t="str">
        <f>_xlfn.TEXTJOIN("_",TRUE,A1:C1)</f>
        <v>stage_01_1C</v>
      </c>
      <c r="E1" t="s">
        <v>981</v>
      </c>
      <c r="F1" t="s">
        <v>981</v>
      </c>
      <c r="G1" t="s">
        <v>982</v>
      </c>
      <c r="H1" t="s">
        <v>983</v>
      </c>
      <c r="I1" t="s">
        <v>984</v>
      </c>
      <c r="J1" t="s">
        <v>985</v>
      </c>
      <c r="K1" t="s">
        <v>986</v>
      </c>
      <c r="L1" t="s">
        <v>987</v>
      </c>
      <c r="M1" t="s">
        <v>988</v>
      </c>
      <c r="N1" t="s">
        <v>989</v>
      </c>
      <c r="O1" t="s">
        <v>990</v>
      </c>
      <c r="P1" t="s">
        <v>991</v>
      </c>
      <c r="Q1" t="s">
        <v>992</v>
      </c>
      <c r="R1" t="s">
        <v>993</v>
      </c>
      <c r="S1" t="s">
        <v>994</v>
      </c>
      <c r="T1" t="s">
        <v>995</v>
      </c>
      <c r="U1" t="s">
        <v>996</v>
      </c>
      <c r="V1" t="s">
        <v>997</v>
      </c>
      <c r="W1" t="s">
        <v>998</v>
      </c>
      <c r="X1" t="s">
        <v>999</v>
      </c>
      <c r="Y1" t="s">
        <v>1000</v>
      </c>
      <c r="Z1" t="s">
        <v>1001</v>
      </c>
      <c r="AA1" t="s">
        <v>1002</v>
      </c>
      <c r="AB1" t="s">
        <v>1003</v>
      </c>
      <c r="AC1" t="s">
        <v>1004</v>
      </c>
      <c r="AD1" t="s">
        <v>1005</v>
      </c>
      <c r="AE1" t="s">
        <v>1006</v>
      </c>
      <c r="AF1" t="s">
        <v>1007</v>
      </c>
      <c r="AG1" t="s">
        <v>1008</v>
      </c>
      <c r="AH1" t="s">
        <v>1009</v>
      </c>
      <c r="AI1" t="s">
        <v>1010</v>
      </c>
      <c r="AJ1" t="s">
        <v>1011</v>
      </c>
      <c r="AK1" t="s">
        <v>1012</v>
      </c>
      <c r="AL1" t="s">
        <v>1013</v>
      </c>
      <c r="AM1" t="s">
        <v>1014</v>
      </c>
      <c r="AN1" t="s">
        <v>1015</v>
      </c>
      <c r="AO1" t="s">
        <v>1016</v>
      </c>
    </row>
    <row r="2" spans="1:41" x14ac:dyDescent="0.25">
      <c r="A2" t="s">
        <v>944</v>
      </c>
      <c r="B2" s="173" t="s">
        <v>946</v>
      </c>
      <c r="C2" s="170" t="s">
        <v>757</v>
      </c>
      <c r="D2" t="str">
        <f t="shared" ref="D2:D36" si="0">_xlfn.TEXTJOIN("_",TRUE,A2:C2)</f>
        <v>stage_02_2C</v>
      </c>
      <c r="E2" t="s">
        <v>982</v>
      </c>
    </row>
    <row r="3" spans="1:41" x14ac:dyDescent="0.25">
      <c r="A3" t="s">
        <v>944</v>
      </c>
      <c r="B3" s="173" t="s">
        <v>947</v>
      </c>
      <c r="C3" s="171" t="s">
        <v>763</v>
      </c>
      <c r="D3" t="str">
        <f t="shared" si="0"/>
        <v>stage_03_4C</v>
      </c>
      <c r="E3" t="s">
        <v>983</v>
      </c>
    </row>
    <row r="4" spans="1:41" x14ac:dyDescent="0.25">
      <c r="A4" t="s">
        <v>944</v>
      </c>
      <c r="B4" s="173" t="s">
        <v>948</v>
      </c>
      <c r="C4" s="172" t="s">
        <v>768</v>
      </c>
      <c r="D4" t="str">
        <f t="shared" si="0"/>
        <v>stage_04_8C</v>
      </c>
      <c r="E4" t="s">
        <v>984</v>
      </c>
    </row>
    <row r="5" spans="1:41" x14ac:dyDescent="0.25">
      <c r="A5" t="s">
        <v>944</v>
      </c>
      <c r="B5" s="173" t="s">
        <v>949</v>
      </c>
      <c r="C5" s="171" t="s">
        <v>773</v>
      </c>
      <c r="D5" t="str">
        <f t="shared" si="0"/>
        <v>stage_05_16C</v>
      </c>
      <c r="E5" t="s">
        <v>985</v>
      </c>
    </row>
    <row r="6" spans="1:41" x14ac:dyDescent="0.25">
      <c r="A6" t="s">
        <v>944</v>
      </c>
      <c r="B6" s="173" t="s">
        <v>950</v>
      </c>
      <c r="C6" s="172" t="s">
        <v>778</v>
      </c>
      <c r="D6" t="str">
        <f t="shared" si="0"/>
        <v>stage_06_32C</v>
      </c>
      <c r="E6" t="s">
        <v>986</v>
      </c>
    </row>
    <row r="7" spans="1:41" x14ac:dyDescent="0.25">
      <c r="A7" t="s">
        <v>944</v>
      </c>
      <c r="B7" s="173" t="s">
        <v>951</v>
      </c>
      <c r="C7" s="171" t="s">
        <v>783</v>
      </c>
      <c r="D7" t="str">
        <f t="shared" si="0"/>
        <v>stage_07_64C</v>
      </c>
      <c r="E7" t="s">
        <v>987</v>
      </c>
    </row>
    <row r="8" spans="1:41" x14ac:dyDescent="0.25">
      <c r="A8" t="s">
        <v>944</v>
      </c>
      <c r="B8" s="173" t="s">
        <v>952</v>
      </c>
      <c r="C8" s="172" t="s">
        <v>788</v>
      </c>
      <c r="D8" t="str">
        <f t="shared" si="0"/>
        <v>stage_08_128C</v>
      </c>
      <c r="E8" t="s">
        <v>988</v>
      </c>
    </row>
    <row r="9" spans="1:41" x14ac:dyDescent="0.25">
      <c r="A9" t="s">
        <v>944</v>
      </c>
      <c r="B9" s="173" t="s">
        <v>953</v>
      </c>
      <c r="C9" s="171" t="s">
        <v>793</v>
      </c>
      <c r="D9" t="str">
        <f t="shared" si="0"/>
        <v>stage_09_256C</v>
      </c>
      <c r="E9" t="s">
        <v>989</v>
      </c>
    </row>
    <row r="10" spans="1:41" x14ac:dyDescent="0.25">
      <c r="A10" t="s">
        <v>944</v>
      </c>
      <c r="B10" s="173" t="s">
        <v>954</v>
      </c>
      <c r="C10" s="172" t="s">
        <v>798</v>
      </c>
      <c r="D10" t="str">
        <f t="shared" si="0"/>
        <v>stage_10_512C</v>
      </c>
      <c r="E10" t="s">
        <v>990</v>
      </c>
    </row>
    <row r="11" spans="1:41" x14ac:dyDescent="0.25">
      <c r="A11" t="s">
        <v>944</v>
      </c>
      <c r="B11" s="173" t="s">
        <v>955</v>
      </c>
      <c r="C11" s="171" t="s">
        <v>803</v>
      </c>
      <c r="D11" t="str">
        <f t="shared" si="0"/>
        <v>stage_11_1K</v>
      </c>
      <c r="E11" t="s">
        <v>991</v>
      </c>
    </row>
    <row r="12" spans="1:41" x14ac:dyDescent="0.25">
      <c r="A12" t="s">
        <v>944</v>
      </c>
      <c r="B12" s="173" t="s">
        <v>956</v>
      </c>
      <c r="C12" s="172" t="s">
        <v>808</v>
      </c>
      <c r="D12" t="str">
        <f t="shared" si="0"/>
        <v>stage_12_HI</v>
      </c>
      <c r="E12" t="s">
        <v>992</v>
      </c>
    </row>
    <row r="13" spans="1:41" x14ac:dyDescent="0.25">
      <c r="A13" t="s">
        <v>944</v>
      </c>
      <c r="B13" s="173" t="s">
        <v>957</v>
      </c>
      <c r="C13" s="171" t="s">
        <v>813</v>
      </c>
      <c r="D13" t="str">
        <f t="shared" si="0"/>
        <v>stage_13_OB</v>
      </c>
      <c r="E13" t="s">
        <v>993</v>
      </c>
    </row>
    <row r="14" spans="1:41" x14ac:dyDescent="0.25">
      <c r="A14" t="s">
        <v>944</v>
      </c>
      <c r="B14" s="173" t="s">
        <v>958</v>
      </c>
      <c r="C14" s="172" t="s">
        <v>818</v>
      </c>
      <c r="D14" t="str">
        <f t="shared" si="0"/>
        <v>stage_14_SPH</v>
      </c>
      <c r="E14" t="s">
        <v>994</v>
      </c>
    </row>
    <row r="15" spans="1:41" x14ac:dyDescent="0.25">
      <c r="A15" t="s">
        <v>944</v>
      </c>
      <c r="B15" s="173" t="s">
        <v>959</v>
      </c>
      <c r="C15" s="171" t="s">
        <v>823</v>
      </c>
      <c r="D15" t="str">
        <f t="shared" si="0"/>
        <v>stage_15_DO</v>
      </c>
      <c r="E15" t="s">
        <v>995</v>
      </c>
    </row>
    <row r="16" spans="1:41" x14ac:dyDescent="0.25">
      <c r="A16" t="s">
        <v>944</v>
      </c>
      <c r="B16" s="173" t="s">
        <v>960</v>
      </c>
      <c r="C16" s="172" t="s">
        <v>828</v>
      </c>
      <c r="D16" t="str">
        <f t="shared" si="0"/>
        <v>stage_16_30EPI</v>
      </c>
      <c r="E16" t="s">
        <v>996</v>
      </c>
    </row>
    <row r="17" spans="1:5" x14ac:dyDescent="0.25">
      <c r="A17" t="s">
        <v>944</v>
      </c>
      <c r="B17" s="173" t="s">
        <v>961</v>
      </c>
      <c r="C17" s="171" t="s">
        <v>833</v>
      </c>
      <c r="D17" t="str">
        <f t="shared" si="0"/>
        <v>stage_17_50EPI</v>
      </c>
      <c r="E17" t="s">
        <v>997</v>
      </c>
    </row>
    <row r="18" spans="1:5" x14ac:dyDescent="0.25">
      <c r="A18" t="s">
        <v>944</v>
      </c>
      <c r="B18" s="173" t="s">
        <v>962</v>
      </c>
      <c r="C18" s="172" t="s">
        <v>838</v>
      </c>
      <c r="D18" t="str">
        <f t="shared" si="0"/>
        <v>stage_18_GR</v>
      </c>
      <c r="E18" t="s">
        <v>998</v>
      </c>
    </row>
    <row r="19" spans="1:5" x14ac:dyDescent="0.25">
      <c r="A19" t="s">
        <v>944</v>
      </c>
      <c r="B19" s="173" t="s">
        <v>963</v>
      </c>
      <c r="C19" s="171" t="s">
        <v>843</v>
      </c>
      <c r="D19" t="str">
        <f t="shared" si="0"/>
        <v>stage_19_SH</v>
      </c>
      <c r="E19" t="s">
        <v>999</v>
      </c>
    </row>
    <row r="20" spans="1:5" x14ac:dyDescent="0.25">
      <c r="A20" t="s">
        <v>944</v>
      </c>
      <c r="B20" s="173" t="s">
        <v>964</v>
      </c>
      <c r="C20" s="172" t="s">
        <v>848</v>
      </c>
      <c r="D20" t="str">
        <f t="shared" si="0"/>
        <v>stage_20_75EPI</v>
      </c>
      <c r="E20" t="s">
        <v>1000</v>
      </c>
    </row>
    <row r="21" spans="1:5" x14ac:dyDescent="0.25">
      <c r="A21" t="s">
        <v>944</v>
      </c>
      <c r="B21" s="173" t="s">
        <v>965</v>
      </c>
      <c r="C21" s="169" t="s">
        <v>853</v>
      </c>
      <c r="D21" t="str">
        <f t="shared" si="0"/>
        <v>stage_21_90EPI</v>
      </c>
      <c r="E21" t="s">
        <v>1001</v>
      </c>
    </row>
    <row r="22" spans="1:5" x14ac:dyDescent="0.25">
      <c r="A22" t="s">
        <v>944</v>
      </c>
      <c r="B22" s="173" t="s">
        <v>966</v>
      </c>
      <c r="C22" s="170" t="s">
        <v>859</v>
      </c>
      <c r="D22" t="str">
        <f>_xlfn.TEXTJOIN("_",TRUE,A22:C22)</f>
        <v>stage_22_1D</v>
      </c>
      <c r="E22" t="s">
        <v>1002</v>
      </c>
    </row>
    <row r="23" spans="1:5" x14ac:dyDescent="0.25">
      <c r="A23" t="s">
        <v>944</v>
      </c>
      <c r="B23" s="173" t="s">
        <v>967</v>
      </c>
      <c r="C23" s="169" t="s">
        <v>864</v>
      </c>
      <c r="D23" t="str">
        <f t="shared" si="0"/>
        <v>stage_23_2D</v>
      </c>
      <c r="E23" t="s">
        <v>1003</v>
      </c>
    </row>
    <row r="24" spans="1:5" x14ac:dyDescent="0.25">
      <c r="A24" t="s">
        <v>944</v>
      </c>
      <c r="B24" s="173" t="s">
        <v>968</v>
      </c>
      <c r="C24" s="170" t="s">
        <v>869</v>
      </c>
      <c r="D24" t="str">
        <f t="shared" si="0"/>
        <v>stage_24_3D</v>
      </c>
      <c r="E24" t="s">
        <v>1004</v>
      </c>
    </row>
    <row r="25" spans="1:5" x14ac:dyDescent="0.25">
      <c r="A25" t="s">
        <v>944</v>
      </c>
      <c r="B25" s="173" t="s">
        <v>969</v>
      </c>
      <c r="C25" s="169" t="s">
        <v>874</v>
      </c>
      <c r="D25" t="str">
        <f t="shared" si="0"/>
        <v>stage_25_4D</v>
      </c>
      <c r="E25" t="s">
        <v>1005</v>
      </c>
    </row>
    <row r="26" spans="1:5" x14ac:dyDescent="0.25">
      <c r="A26" t="s">
        <v>944</v>
      </c>
      <c r="B26" s="173" t="s">
        <v>970</v>
      </c>
      <c r="C26" s="170" t="s">
        <v>879</v>
      </c>
      <c r="D26" t="str">
        <f t="shared" si="0"/>
        <v>stage_26_5D</v>
      </c>
      <c r="E26" t="s">
        <v>1006</v>
      </c>
    </row>
    <row r="27" spans="1:5" x14ac:dyDescent="0.25">
      <c r="A27" t="s">
        <v>944</v>
      </c>
      <c r="B27" s="173" t="s">
        <v>971</v>
      </c>
      <c r="C27" s="169" t="s">
        <v>884</v>
      </c>
      <c r="D27" t="str">
        <f t="shared" si="0"/>
        <v>stage_27_6D</v>
      </c>
      <c r="E27" t="s">
        <v>1007</v>
      </c>
    </row>
    <row r="28" spans="1:5" x14ac:dyDescent="0.25">
      <c r="A28" t="s">
        <v>944</v>
      </c>
      <c r="B28" s="173" t="s">
        <v>972</v>
      </c>
      <c r="C28" s="170" t="s">
        <v>889</v>
      </c>
      <c r="D28" t="str">
        <f t="shared" si="0"/>
        <v>stage_28_7D</v>
      </c>
      <c r="E28" t="s">
        <v>1008</v>
      </c>
    </row>
    <row r="29" spans="1:5" x14ac:dyDescent="0.25">
      <c r="A29" t="s">
        <v>944</v>
      </c>
      <c r="B29" s="173" t="s">
        <v>973</v>
      </c>
      <c r="C29" s="169" t="s">
        <v>894</v>
      </c>
      <c r="D29" t="str">
        <f t="shared" si="0"/>
        <v>stage_29_8D</v>
      </c>
      <c r="E29" t="s">
        <v>1009</v>
      </c>
    </row>
    <row r="30" spans="1:5" x14ac:dyDescent="0.25">
      <c r="A30" t="s">
        <v>944</v>
      </c>
      <c r="B30" s="173" t="s">
        <v>974</v>
      </c>
      <c r="C30" s="170" t="s">
        <v>899</v>
      </c>
      <c r="D30" t="str">
        <f t="shared" si="0"/>
        <v>stage_30_9D</v>
      </c>
      <c r="E30" t="s">
        <v>1010</v>
      </c>
    </row>
    <row r="31" spans="1:5" x14ac:dyDescent="0.25">
      <c r="A31" t="s">
        <v>944</v>
      </c>
      <c r="B31" s="173" t="s">
        <v>975</v>
      </c>
      <c r="C31" s="169" t="s">
        <v>904</v>
      </c>
      <c r="D31" t="str">
        <f t="shared" si="0"/>
        <v>stage_31_10D</v>
      </c>
      <c r="E31" t="s">
        <v>1011</v>
      </c>
    </row>
    <row r="32" spans="1:5" x14ac:dyDescent="0.25">
      <c r="A32" t="s">
        <v>944</v>
      </c>
      <c r="B32" s="173" t="s">
        <v>976</v>
      </c>
      <c r="C32" s="170" t="s">
        <v>909</v>
      </c>
      <c r="D32" t="str">
        <f t="shared" si="0"/>
        <v>stage_32_11D</v>
      </c>
      <c r="E32" t="s">
        <v>1012</v>
      </c>
    </row>
    <row r="33" spans="1:5" x14ac:dyDescent="0.25">
      <c r="A33" t="s">
        <v>944</v>
      </c>
      <c r="B33" s="173" t="s">
        <v>977</v>
      </c>
      <c r="C33" s="169" t="s">
        <v>914</v>
      </c>
      <c r="D33" t="str">
        <f t="shared" si="0"/>
        <v>stage_33_12D</v>
      </c>
      <c r="E33" t="s">
        <v>1013</v>
      </c>
    </row>
    <row r="34" spans="1:5" x14ac:dyDescent="0.25">
      <c r="A34" t="s">
        <v>944</v>
      </c>
      <c r="B34" s="173" t="s">
        <v>978</v>
      </c>
      <c r="C34" s="170" t="s">
        <v>919</v>
      </c>
      <c r="D34" t="str">
        <f t="shared" si="0"/>
        <v>stage_34_13D</v>
      </c>
      <c r="E34" t="s">
        <v>1014</v>
      </c>
    </row>
    <row r="35" spans="1:5" x14ac:dyDescent="0.25">
      <c r="A35" t="s">
        <v>944</v>
      </c>
      <c r="B35" s="173" t="s">
        <v>979</v>
      </c>
      <c r="C35" s="169" t="s">
        <v>924</v>
      </c>
      <c r="D35" t="str">
        <f t="shared" si="0"/>
        <v>stage_35_14D</v>
      </c>
      <c r="E35" t="s">
        <v>1015</v>
      </c>
    </row>
    <row r="36" spans="1:5" x14ac:dyDescent="0.25">
      <c r="A36" t="s">
        <v>944</v>
      </c>
      <c r="B36" s="173" t="s">
        <v>980</v>
      </c>
      <c r="C36" s="170" t="s">
        <v>929</v>
      </c>
      <c r="D36" t="str">
        <f t="shared" si="0"/>
        <v>stage_36_15D</v>
      </c>
      <c r="E36" t="s">
        <v>1016</v>
      </c>
    </row>
  </sheetData>
  <phoneticPr fontId="10" type="noConversion"/>
  <pageMargins left="0.7" right="0.7" top="0.75" bottom="0.75" header="0.3" footer="0.3"/>
  <ignoredErrors>
    <ignoredError sqref="B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E9EE-7946-4E1B-A560-C947FE652BE2}">
  <sheetPr>
    <tabColor theme="6" tint="0.39997558519241921"/>
  </sheetPr>
  <dimension ref="A1:LQ199"/>
  <sheetViews>
    <sheetView topLeftCell="I1" zoomScale="130" zoomScaleNormal="130" workbookViewId="0">
      <selection activeCell="O1" sqref="O1"/>
    </sheetView>
  </sheetViews>
  <sheetFormatPr defaultColWidth="9.140625" defaultRowHeight="15" x14ac:dyDescent="0.25"/>
  <cols>
    <col min="1" max="1" width="6.5703125" bestFit="1" customWidth="1"/>
    <col min="2" max="2" width="10.5703125" style="147" customWidth="1"/>
    <col min="3" max="3" width="8.7109375" style="153" bestFit="1" customWidth="1"/>
    <col min="4" max="4" width="13.28515625" style="153" bestFit="1" customWidth="1"/>
    <col min="5" max="5" width="11.5703125" style="153" bestFit="1" customWidth="1"/>
    <col min="6" max="6" width="11.140625" bestFit="1" customWidth="1"/>
    <col min="7" max="7" width="21.42578125" style="147" bestFit="1" customWidth="1"/>
    <col min="8" max="8" width="8.42578125" customWidth="1"/>
    <col min="9" max="9" width="8.28515625" style="147" bestFit="1" customWidth="1"/>
    <col min="10" max="10" width="14" style="147" bestFit="1" customWidth="1"/>
    <col min="11" max="11" width="10" style="147" bestFit="1" customWidth="1"/>
    <col min="12" max="12" width="9.28515625" style="147" customWidth="1"/>
    <col min="13" max="13" width="8.28515625" customWidth="1"/>
    <col min="14" max="14" width="18.28515625" style="147" bestFit="1" customWidth="1"/>
    <col min="15" max="16" width="5.42578125" style="147" bestFit="1" customWidth="1"/>
    <col min="17" max="19" width="6.42578125" style="147" bestFit="1" customWidth="1"/>
    <col min="20" max="20" width="7.42578125" style="147" bestFit="1" customWidth="1"/>
    <col min="21" max="21" width="6.42578125" style="147" bestFit="1" customWidth="1"/>
    <col min="22" max="23" width="7.42578125" style="147" bestFit="1" customWidth="1"/>
    <col min="24" max="25" width="8.42578125" style="147" bestFit="1" customWidth="1"/>
    <col min="26" max="26" width="7.42578125" style="147" bestFit="1" customWidth="1"/>
    <col min="27" max="27" width="8.42578125" style="147" bestFit="1" customWidth="1"/>
    <col min="28" max="28" width="6.42578125" style="147" bestFit="1" customWidth="1"/>
    <col min="29" max="29" width="6.140625" style="147" bestFit="1" customWidth="1"/>
    <col min="30" max="30" width="6.85546875" style="147" bestFit="1" customWidth="1"/>
    <col min="31" max="31" width="6.7109375" style="147" bestFit="1" customWidth="1"/>
    <col min="32" max="32" width="7.7109375" style="147" bestFit="1" customWidth="1"/>
    <col min="33" max="33" width="7" style="147" bestFit="1" customWidth="1"/>
    <col min="34" max="35" width="9" style="147" bestFit="1" customWidth="1"/>
    <col min="36" max="36" width="5.7109375" style="147" bestFit="1" customWidth="1"/>
    <col min="37" max="37" width="6.7109375" style="147" bestFit="1" customWidth="1"/>
    <col min="38" max="38" width="6.5703125" style="147" bestFit="1" customWidth="1"/>
    <col min="39" max="40" width="9" style="147" bestFit="1" customWidth="1"/>
    <col min="41" max="41" width="5.5703125" style="147" bestFit="1" customWidth="1"/>
    <col min="42" max="45" width="6.5703125" style="147" bestFit="1" customWidth="1"/>
    <col min="46" max="46" width="5.5703125" style="147" bestFit="1" customWidth="1"/>
    <col min="47" max="50" width="6.5703125" style="147" bestFit="1" customWidth="1"/>
    <col min="51" max="51" width="6.5703125" style="165" bestFit="1" customWidth="1"/>
    <col min="52" max="54" width="6.42578125" bestFit="1" customWidth="1"/>
    <col min="56" max="56" width="6.5703125" style="147" bestFit="1" customWidth="1"/>
    <col min="57" max="58" width="6.42578125" style="147" bestFit="1" customWidth="1"/>
    <col min="60" max="60" width="5.42578125" style="147" bestFit="1" customWidth="1"/>
    <col min="61" max="62" width="6.42578125" style="147" bestFit="1" customWidth="1"/>
    <col min="64" max="64" width="6.42578125" style="147" bestFit="1" customWidth="1"/>
    <col min="65" max="65" width="5.42578125" style="147" bestFit="1" customWidth="1"/>
    <col min="66" max="66" width="6.42578125" style="147" bestFit="1" customWidth="1"/>
    <col min="68" max="70" width="6.42578125" style="147" bestFit="1" customWidth="1"/>
    <col min="72" max="74" width="7.42578125" style="147" bestFit="1" customWidth="1"/>
    <col min="76" max="77" width="7.42578125" style="147" bestFit="1" customWidth="1"/>
    <col min="78" max="78" width="7.42578125" style="163" bestFit="1" customWidth="1"/>
    <col min="80" max="80" width="6.42578125" style="147" bestFit="1" customWidth="1"/>
    <col min="81" max="82" width="7.42578125" style="147" bestFit="1" customWidth="1"/>
    <col min="84" max="85" width="7.42578125" style="147" bestFit="1" customWidth="1"/>
    <col min="86" max="86" width="8.42578125" style="147" bestFit="1" customWidth="1"/>
    <col min="88" max="89" width="8.42578125" style="147" bestFit="1" customWidth="1"/>
    <col min="90" max="90" width="7.42578125" style="147" bestFit="1" customWidth="1"/>
    <col min="92" max="94" width="8.42578125" style="147" bestFit="1" customWidth="1"/>
    <col min="96" max="98" width="8.42578125" style="147" bestFit="1" customWidth="1"/>
    <col min="100" max="100" width="5.42578125" style="147" bestFit="1" customWidth="1"/>
    <col min="101" max="101" width="6.5703125" style="147" bestFit="1" customWidth="1"/>
    <col min="102" max="102" width="6.42578125" style="147" bestFit="1" customWidth="1"/>
    <col min="104" max="104" width="6.42578125" style="147" bestFit="1" customWidth="1"/>
    <col min="105" max="105" width="5.140625" style="147" bestFit="1" customWidth="1"/>
    <col min="106" max="106" width="6.5703125" style="147" bestFit="1" customWidth="1"/>
    <col min="108" max="109" width="6.140625" style="147" bestFit="1" customWidth="1"/>
    <col min="110" max="110" width="5.85546875" style="147" bestFit="1" customWidth="1"/>
    <col min="112" max="114" width="6.85546875" style="147" bestFit="1" customWidth="1"/>
    <col min="116" max="118" width="7.7109375" style="147" bestFit="1" customWidth="1"/>
    <col min="120" max="120" width="6" style="147" bestFit="1" customWidth="1"/>
    <col min="121" max="122" width="7" style="147" bestFit="1" customWidth="1"/>
    <col min="124" max="124" width="7" style="147" bestFit="1" customWidth="1"/>
    <col min="125" max="125" width="8" style="147" bestFit="1" customWidth="1"/>
    <col min="126" max="126" width="9" style="147" bestFit="1" customWidth="1"/>
    <col min="128" max="129" width="9" style="147" bestFit="1" customWidth="1"/>
    <col min="130" max="130" width="8" style="147" bestFit="1" customWidth="1"/>
    <col min="132" max="134" width="9" style="147" bestFit="1" customWidth="1"/>
    <col min="136" max="138" width="6.7109375" style="147" bestFit="1" customWidth="1"/>
    <col min="140" max="140" width="5.5703125" style="147" bestFit="1" customWidth="1"/>
    <col min="141" max="142" width="6.5703125" style="147" bestFit="1" customWidth="1"/>
    <col min="144" max="144" width="6.5703125" style="147" bestFit="1" customWidth="1"/>
    <col min="145" max="145" width="8" style="147" bestFit="1" customWidth="1"/>
    <col min="146" max="146" width="9" style="147" bestFit="1" customWidth="1"/>
    <col min="148" max="149" width="9" style="147" bestFit="1" customWidth="1"/>
    <col min="150" max="150" width="8" style="147" bestFit="1" customWidth="1"/>
    <col min="152" max="154" width="9" style="147" bestFit="1" customWidth="1"/>
    <col min="156" max="158" width="6.5703125" style="147" bestFit="1" customWidth="1"/>
    <col min="160" max="160" width="5.5703125" style="147" bestFit="1" customWidth="1"/>
    <col min="161" max="162" width="6.5703125" style="147" bestFit="1" customWidth="1"/>
    <col min="164" max="164" width="6.5703125" style="147" bestFit="1" customWidth="1"/>
    <col min="165" max="165" width="5.5703125" style="147" bestFit="1" customWidth="1"/>
    <col min="166" max="166" width="6.5703125" style="147" bestFit="1" customWidth="1"/>
    <col min="168" max="169" width="6.5703125" style="147" bestFit="1" customWidth="1"/>
    <col min="170" max="170" width="5.5703125" style="147" bestFit="1" customWidth="1"/>
    <col min="172" max="174" width="6.5703125" style="147" bestFit="1" customWidth="1"/>
    <col min="176" max="178" width="6.5703125" style="147" bestFit="1" customWidth="1"/>
    <col min="180" max="180" width="5.5703125" style="147" bestFit="1" customWidth="1"/>
    <col min="181" max="182" width="6.5703125" style="147" bestFit="1" customWidth="1"/>
    <col min="184" max="184" width="6.5703125" style="147" bestFit="1" customWidth="1"/>
    <col min="185" max="185" width="5.5703125" style="147" bestFit="1" customWidth="1"/>
    <col min="186" max="186" width="6.5703125" style="147" bestFit="1" customWidth="1"/>
    <col min="188" max="189" width="6.5703125" style="147" bestFit="1" customWidth="1"/>
    <col min="190" max="190" width="5.5703125" style="147" bestFit="1" customWidth="1"/>
    <col min="192" max="194" width="6.5703125" style="147" bestFit="1" customWidth="1"/>
    <col min="195" max="195" width="5.5703125" style="147" bestFit="1" customWidth="1"/>
    <col min="196" max="200" width="6.5703125" style="147" bestFit="1" customWidth="1"/>
    <col min="201" max="204" width="7.5703125" style="147" bestFit="1" customWidth="1"/>
    <col min="205" max="205" width="6.5703125" style="147" bestFit="1" customWidth="1"/>
    <col min="206" max="209" width="7.5703125" style="147" bestFit="1" customWidth="1"/>
    <col min="210" max="210" width="6.5703125" style="147" bestFit="1" customWidth="1"/>
    <col min="211" max="214" width="7.5703125" style="147" bestFit="1" customWidth="1"/>
    <col min="215" max="215" width="6.5703125" style="147" bestFit="1" customWidth="1"/>
    <col min="216" max="219" width="7.5703125" style="147" bestFit="1" customWidth="1"/>
    <col min="220" max="220" width="6.5703125" style="147" bestFit="1" customWidth="1"/>
    <col min="221" max="224" width="7.5703125" style="147" bestFit="1" customWidth="1"/>
    <col min="225" max="225" width="6.5703125" style="147" bestFit="1" customWidth="1"/>
    <col min="226" max="229" width="7.5703125" style="147" bestFit="1" customWidth="1"/>
    <col min="230" max="230" width="9.85546875" style="147" bestFit="1" customWidth="1"/>
    <col min="231" max="231" width="11" style="147" bestFit="1" customWidth="1"/>
    <col min="232" max="232" width="11.140625" style="147" bestFit="1" customWidth="1"/>
    <col min="233" max="233" width="12.140625" style="147" bestFit="1" customWidth="1"/>
    <col min="234" max="234" width="8.140625" style="147" bestFit="1" customWidth="1"/>
    <col min="235" max="235" width="9.28515625" style="147" bestFit="1" customWidth="1"/>
    <col min="236" max="236" width="8.140625" style="147" bestFit="1" customWidth="1"/>
    <col min="237" max="237" width="9.28515625" style="147" bestFit="1" customWidth="1"/>
    <col min="238" max="238" width="8.140625" style="147" bestFit="1" customWidth="1"/>
    <col min="239" max="239" width="9.28515625" style="147" bestFit="1" customWidth="1"/>
    <col min="240" max="240" width="14.85546875" style="147" bestFit="1" customWidth="1"/>
    <col min="241" max="241" width="15.85546875" style="147" bestFit="1" customWidth="1"/>
    <col min="242" max="242" width="7" style="147" bestFit="1" customWidth="1"/>
    <col min="243" max="243" width="8" style="147" bestFit="1" customWidth="1"/>
    <col min="244" max="244" width="7" style="147" bestFit="1" customWidth="1"/>
    <col min="245" max="245" width="8" style="147" bestFit="1" customWidth="1"/>
    <col min="246" max="246" width="7" style="147" bestFit="1" customWidth="1"/>
    <col min="247" max="247" width="8" style="147" bestFit="1" customWidth="1"/>
    <col min="248" max="248" width="9.28515625" style="147" bestFit="1" customWidth="1"/>
    <col min="249" max="249" width="18.7109375" style="147" bestFit="1" customWidth="1"/>
    <col min="250" max="250" width="6.5703125" style="147" bestFit="1" customWidth="1"/>
    <col min="251" max="251" width="22.28515625" style="147" bestFit="1" customWidth="1"/>
    <col min="252" max="252" width="11" style="147" bestFit="1" customWidth="1"/>
    <col min="253" max="253" width="10.42578125" style="147" bestFit="1" customWidth="1"/>
    <col min="254" max="254" width="7.5703125" style="147" bestFit="1" customWidth="1"/>
    <col min="255" max="255" width="10.42578125" style="147" bestFit="1" customWidth="1"/>
    <col min="256" max="256" width="7.5703125" style="147" bestFit="1" customWidth="1"/>
    <col min="257" max="257" width="7.85546875" style="147" bestFit="1" customWidth="1"/>
    <col min="258" max="260" width="12.28515625" style="147" customWidth="1"/>
    <col min="261" max="16384" width="9.140625" style="147"/>
  </cols>
  <sheetData>
    <row r="1" spans="1:329" ht="14.45" customHeight="1" x14ac:dyDescent="0.25">
      <c r="A1" s="140" t="s">
        <v>936</v>
      </c>
      <c r="B1" s="140" t="s">
        <v>937</v>
      </c>
      <c r="C1" s="140" t="s">
        <v>45</v>
      </c>
      <c r="D1" s="140" t="s">
        <v>938</v>
      </c>
      <c r="E1" s="140" t="s">
        <v>940</v>
      </c>
      <c r="F1" s="141" t="s">
        <v>0</v>
      </c>
      <c r="G1" s="142" t="s">
        <v>942</v>
      </c>
      <c r="H1" s="140" t="s">
        <v>935</v>
      </c>
      <c r="I1" s="143" t="s">
        <v>749</v>
      </c>
      <c r="J1" s="143" t="s">
        <v>939</v>
      </c>
      <c r="K1" s="143" t="s">
        <v>751</v>
      </c>
      <c r="L1" s="143" t="s">
        <v>752</v>
      </c>
      <c r="M1" s="143" t="s">
        <v>750</v>
      </c>
      <c r="N1" s="140" t="s">
        <v>941</v>
      </c>
      <c r="O1" s="140" t="s">
        <v>981</v>
      </c>
      <c r="P1" s="144" t="s">
        <v>982</v>
      </c>
      <c r="Q1" s="145" t="s">
        <v>983</v>
      </c>
      <c r="R1" s="146" t="s">
        <v>984</v>
      </c>
      <c r="S1" s="145" t="s">
        <v>985</v>
      </c>
      <c r="T1" s="146" t="s">
        <v>986</v>
      </c>
      <c r="U1" s="145" t="s">
        <v>987</v>
      </c>
      <c r="V1" s="146" t="s">
        <v>988</v>
      </c>
      <c r="W1" s="145" t="s">
        <v>989</v>
      </c>
      <c r="X1" s="146" t="s">
        <v>990</v>
      </c>
      <c r="Y1" s="145" t="s">
        <v>991</v>
      </c>
      <c r="Z1" s="146" t="s">
        <v>992</v>
      </c>
      <c r="AA1" s="145" t="s">
        <v>993</v>
      </c>
      <c r="AB1" s="146" t="s">
        <v>994</v>
      </c>
      <c r="AC1" s="145" t="s">
        <v>995</v>
      </c>
      <c r="AD1" s="146" t="s">
        <v>996</v>
      </c>
      <c r="AE1" s="145" t="s">
        <v>997</v>
      </c>
      <c r="AF1" s="146" t="s">
        <v>998</v>
      </c>
      <c r="AG1" s="145" t="s">
        <v>999</v>
      </c>
      <c r="AH1" s="146" t="s">
        <v>1000</v>
      </c>
      <c r="AI1" s="140" t="s">
        <v>1001</v>
      </c>
      <c r="AJ1" s="144" t="s">
        <v>1002</v>
      </c>
      <c r="AK1" s="140" t="s">
        <v>1003</v>
      </c>
      <c r="AL1" s="144" t="s">
        <v>1004</v>
      </c>
      <c r="AM1" s="140" t="s">
        <v>1005</v>
      </c>
      <c r="AN1" s="144" t="s">
        <v>1006</v>
      </c>
      <c r="AO1" s="140" t="s">
        <v>1007</v>
      </c>
      <c r="AP1" s="144" t="s">
        <v>1008</v>
      </c>
      <c r="AQ1" s="140" t="s">
        <v>1009</v>
      </c>
      <c r="AR1" s="144" t="s">
        <v>1010</v>
      </c>
      <c r="AS1" s="140" t="s">
        <v>1011</v>
      </c>
      <c r="AT1" s="144" t="s">
        <v>1012</v>
      </c>
      <c r="AU1" s="140" t="s">
        <v>1013</v>
      </c>
      <c r="AV1" s="144" t="s">
        <v>1014</v>
      </c>
      <c r="AW1" s="140" t="s">
        <v>1015</v>
      </c>
      <c r="AX1" s="144" t="s">
        <v>1016</v>
      </c>
      <c r="AY1" s="166" t="s">
        <v>754</v>
      </c>
      <c r="AZ1" s="140" t="s">
        <v>755</v>
      </c>
      <c r="BA1" s="140" t="s">
        <v>756</v>
      </c>
      <c r="BB1" s="140" t="s">
        <v>761</v>
      </c>
      <c r="BC1" s="144" t="s">
        <v>758</v>
      </c>
      <c r="BD1" s="144" t="s">
        <v>759</v>
      </c>
      <c r="BE1" s="144" t="s">
        <v>760</v>
      </c>
      <c r="BF1" s="144" t="s">
        <v>762</v>
      </c>
      <c r="BG1" s="145" t="s">
        <v>764</v>
      </c>
      <c r="BH1" s="145" t="s">
        <v>765</v>
      </c>
      <c r="BI1" s="145" t="s">
        <v>766</v>
      </c>
      <c r="BJ1" s="145" t="s">
        <v>767</v>
      </c>
      <c r="BK1" s="146" t="s">
        <v>769</v>
      </c>
      <c r="BL1" s="146" t="s">
        <v>770</v>
      </c>
      <c r="BM1" s="146" t="s">
        <v>771</v>
      </c>
      <c r="BN1" s="146" t="s">
        <v>772</v>
      </c>
      <c r="BO1" s="145" t="s">
        <v>774</v>
      </c>
      <c r="BP1" s="145" t="s">
        <v>775</v>
      </c>
      <c r="BQ1" s="145" t="s">
        <v>776</v>
      </c>
      <c r="BR1" s="145" t="s">
        <v>777</v>
      </c>
      <c r="BS1" s="146" t="s">
        <v>779</v>
      </c>
      <c r="BT1" s="146" t="s">
        <v>780</v>
      </c>
      <c r="BU1" s="146" t="s">
        <v>781</v>
      </c>
      <c r="BV1" s="146" t="s">
        <v>782</v>
      </c>
      <c r="BW1" s="145" t="s">
        <v>784</v>
      </c>
      <c r="BX1" s="145" t="s">
        <v>785</v>
      </c>
      <c r="BY1" s="145" t="s">
        <v>786</v>
      </c>
      <c r="BZ1" s="145" t="s">
        <v>787</v>
      </c>
      <c r="CA1" s="146" t="s">
        <v>789</v>
      </c>
      <c r="CB1" s="146" t="s">
        <v>790</v>
      </c>
      <c r="CC1" s="146" t="s">
        <v>791</v>
      </c>
      <c r="CD1" s="146" t="s">
        <v>792</v>
      </c>
      <c r="CE1" s="145" t="s">
        <v>794</v>
      </c>
      <c r="CF1" s="145" t="s">
        <v>795</v>
      </c>
      <c r="CG1" s="145" t="s">
        <v>796</v>
      </c>
      <c r="CH1" s="145" t="s">
        <v>797</v>
      </c>
      <c r="CI1" s="146" t="s">
        <v>799</v>
      </c>
      <c r="CJ1" s="146" t="s">
        <v>800</v>
      </c>
      <c r="CK1" s="146" t="s">
        <v>801</v>
      </c>
      <c r="CL1" s="146" t="s">
        <v>802</v>
      </c>
      <c r="CM1" s="145" t="s">
        <v>804</v>
      </c>
      <c r="CN1" s="145" t="s">
        <v>805</v>
      </c>
      <c r="CO1" s="145" t="s">
        <v>806</v>
      </c>
      <c r="CP1" s="145" t="s">
        <v>807</v>
      </c>
      <c r="CQ1" s="146" t="s">
        <v>809</v>
      </c>
      <c r="CR1" s="146" t="s">
        <v>810</v>
      </c>
      <c r="CS1" s="146" t="s">
        <v>811</v>
      </c>
      <c r="CT1" s="146" t="s">
        <v>812</v>
      </c>
      <c r="CU1" s="145" t="s">
        <v>814</v>
      </c>
      <c r="CV1" s="145" t="s">
        <v>815</v>
      </c>
      <c r="CW1" s="145" t="s">
        <v>816</v>
      </c>
      <c r="CX1" s="145" t="s">
        <v>817</v>
      </c>
      <c r="CY1" s="146" t="s">
        <v>819</v>
      </c>
      <c r="CZ1" s="146" t="s">
        <v>820</v>
      </c>
      <c r="DA1" s="146" t="s">
        <v>821</v>
      </c>
      <c r="DB1" s="146" t="s">
        <v>822</v>
      </c>
      <c r="DC1" s="145" t="s">
        <v>824</v>
      </c>
      <c r="DD1" s="145" t="s">
        <v>825</v>
      </c>
      <c r="DE1" s="145" t="s">
        <v>826</v>
      </c>
      <c r="DF1" s="145" t="s">
        <v>827</v>
      </c>
      <c r="DG1" s="146" t="s">
        <v>829</v>
      </c>
      <c r="DH1" s="146" t="s">
        <v>830</v>
      </c>
      <c r="DI1" s="146" t="s">
        <v>831</v>
      </c>
      <c r="DJ1" s="146" t="s">
        <v>832</v>
      </c>
      <c r="DK1" s="145" t="s">
        <v>834</v>
      </c>
      <c r="DL1" s="145" t="s">
        <v>835</v>
      </c>
      <c r="DM1" s="145" t="s">
        <v>836</v>
      </c>
      <c r="DN1" s="145" t="s">
        <v>837</v>
      </c>
      <c r="DO1" s="146" t="s">
        <v>839</v>
      </c>
      <c r="DP1" s="146" t="s">
        <v>840</v>
      </c>
      <c r="DQ1" s="146" t="s">
        <v>841</v>
      </c>
      <c r="DR1" s="146" t="s">
        <v>842</v>
      </c>
      <c r="DS1" s="145" t="s">
        <v>844</v>
      </c>
      <c r="DT1" s="145" t="s">
        <v>845</v>
      </c>
      <c r="DU1" s="145" t="s">
        <v>846</v>
      </c>
      <c r="DV1" s="145" t="s">
        <v>847</v>
      </c>
      <c r="DW1" s="146" t="s">
        <v>849</v>
      </c>
      <c r="DX1" s="146" t="s">
        <v>850</v>
      </c>
      <c r="DY1" s="146" t="s">
        <v>851</v>
      </c>
      <c r="DZ1" s="146" t="s">
        <v>852</v>
      </c>
      <c r="EA1" s="140" t="s">
        <v>854</v>
      </c>
      <c r="EB1" s="140" t="s">
        <v>855</v>
      </c>
      <c r="EC1" s="140" t="s">
        <v>856</v>
      </c>
      <c r="ED1" s="140" t="s">
        <v>857</v>
      </c>
      <c r="EE1" s="144" t="s">
        <v>860</v>
      </c>
      <c r="EF1" s="144" t="s">
        <v>861</v>
      </c>
      <c r="EG1" s="144" t="s">
        <v>862</v>
      </c>
      <c r="EH1" s="144" t="s">
        <v>863</v>
      </c>
      <c r="EI1" s="140" t="s">
        <v>865</v>
      </c>
      <c r="EJ1" s="140" t="s">
        <v>866</v>
      </c>
      <c r="EK1" s="140" t="s">
        <v>867</v>
      </c>
      <c r="EL1" s="140" t="s">
        <v>868</v>
      </c>
      <c r="EM1" s="144" t="s">
        <v>870</v>
      </c>
      <c r="EN1" s="144" t="s">
        <v>871</v>
      </c>
      <c r="EO1" s="144" t="s">
        <v>872</v>
      </c>
      <c r="EP1" s="144" t="s">
        <v>873</v>
      </c>
      <c r="EQ1" s="140" t="s">
        <v>875</v>
      </c>
      <c r="ER1" s="140" t="s">
        <v>876</v>
      </c>
      <c r="ES1" s="140" t="s">
        <v>877</v>
      </c>
      <c r="ET1" s="140" t="s">
        <v>878</v>
      </c>
      <c r="EU1" s="144" t="s">
        <v>880</v>
      </c>
      <c r="EV1" s="144" t="s">
        <v>881</v>
      </c>
      <c r="EW1" s="144" t="s">
        <v>882</v>
      </c>
      <c r="EX1" s="144" t="s">
        <v>883</v>
      </c>
      <c r="EY1" s="140" t="s">
        <v>885</v>
      </c>
      <c r="EZ1" s="140" t="s">
        <v>886</v>
      </c>
      <c r="FA1" s="140" t="s">
        <v>887</v>
      </c>
      <c r="FB1" s="140" t="s">
        <v>888</v>
      </c>
      <c r="FC1" s="144" t="s">
        <v>890</v>
      </c>
      <c r="FD1" s="144" t="s">
        <v>891</v>
      </c>
      <c r="FE1" s="144" t="s">
        <v>892</v>
      </c>
      <c r="FF1" s="144" t="s">
        <v>893</v>
      </c>
      <c r="FG1" s="140" t="s">
        <v>895</v>
      </c>
      <c r="FH1" s="140" t="s">
        <v>896</v>
      </c>
      <c r="FI1" s="140" t="s">
        <v>897</v>
      </c>
      <c r="FJ1" s="140" t="s">
        <v>898</v>
      </c>
      <c r="FK1" s="144" t="s">
        <v>900</v>
      </c>
      <c r="FL1" s="144" t="s">
        <v>901</v>
      </c>
      <c r="FM1" s="144" t="s">
        <v>902</v>
      </c>
      <c r="FN1" s="144" t="s">
        <v>903</v>
      </c>
      <c r="FO1" s="140" t="s">
        <v>905</v>
      </c>
      <c r="FP1" s="140" t="s">
        <v>906</v>
      </c>
      <c r="FQ1" s="140" t="s">
        <v>907</v>
      </c>
      <c r="FR1" s="140" t="s">
        <v>908</v>
      </c>
      <c r="FS1" s="144" t="s">
        <v>910</v>
      </c>
      <c r="FT1" s="144" t="s">
        <v>911</v>
      </c>
      <c r="FU1" s="144" t="s">
        <v>912</v>
      </c>
      <c r="FV1" s="144" t="s">
        <v>913</v>
      </c>
      <c r="FW1" s="140" t="s">
        <v>915</v>
      </c>
      <c r="FX1" s="140" t="s">
        <v>916</v>
      </c>
      <c r="FY1" s="140" t="s">
        <v>917</v>
      </c>
      <c r="FZ1" s="140" t="s">
        <v>918</v>
      </c>
      <c r="GA1" s="144" t="s">
        <v>920</v>
      </c>
      <c r="GB1" s="144" t="s">
        <v>921</v>
      </c>
      <c r="GC1" s="144" t="s">
        <v>922</v>
      </c>
      <c r="GD1" s="144" t="s">
        <v>923</v>
      </c>
      <c r="GE1" s="140" t="s">
        <v>925</v>
      </c>
      <c r="GF1" s="140" t="s">
        <v>926</v>
      </c>
      <c r="GG1" s="140" t="s">
        <v>927</v>
      </c>
      <c r="GH1" s="140" t="s">
        <v>928</v>
      </c>
      <c r="GI1" s="144" t="s">
        <v>930</v>
      </c>
      <c r="GJ1" s="144" t="s">
        <v>931</v>
      </c>
      <c r="GK1" s="144" t="s">
        <v>932</v>
      </c>
      <c r="GL1" s="144" t="s">
        <v>933</v>
      </c>
      <c r="GM1" s="147" t="s">
        <v>724</v>
      </c>
      <c r="GN1" s="147" t="s">
        <v>725</v>
      </c>
      <c r="GO1" s="147" t="s">
        <v>726</v>
      </c>
      <c r="GP1" s="147" t="s">
        <v>727</v>
      </c>
      <c r="GQ1" s="147" t="s">
        <v>728</v>
      </c>
      <c r="GR1" s="147" t="s">
        <v>729</v>
      </c>
      <c r="GS1" s="147" t="s">
        <v>730</v>
      </c>
      <c r="GT1" s="147" t="s">
        <v>731</v>
      </c>
      <c r="GU1" s="147" t="s">
        <v>732</v>
      </c>
      <c r="GV1" s="147" t="s">
        <v>733</v>
      </c>
      <c r="GW1" s="148" t="s">
        <v>734</v>
      </c>
      <c r="GX1" s="148" t="s">
        <v>735</v>
      </c>
      <c r="GY1" s="148" t="s">
        <v>736</v>
      </c>
      <c r="GZ1" s="148" t="s">
        <v>737</v>
      </c>
      <c r="HA1" s="148" t="s">
        <v>738</v>
      </c>
      <c r="HB1" s="148" t="s">
        <v>739</v>
      </c>
      <c r="HC1" s="148" t="s">
        <v>740</v>
      </c>
      <c r="HD1" s="148" t="s">
        <v>741</v>
      </c>
      <c r="HE1" s="149" t="s">
        <v>742</v>
      </c>
      <c r="HF1" s="150" t="s">
        <v>743</v>
      </c>
      <c r="HG1" s="150" t="s">
        <v>744</v>
      </c>
      <c r="HH1" s="150" t="s">
        <v>745</v>
      </c>
      <c r="HI1" s="150" t="s">
        <v>746</v>
      </c>
      <c r="HJ1" s="150" t="s">
        <v>747</v>
      </c>
      <c r="HK1" s="150" t="s">
        <v>748</v>
      </c>
      <c r="HL1" s="151"/>
      <c r="HM1" s="151"/>
      <c r="HN1" s="151"/>
      <c r="HO1" s="151"/>
      <c r="HP1" s="151"/>
      <c r="HQ1" s="151"/>
      <c r="HR1" s="151"/>
      <c r="HS1" s="151"/>
      <c r="HT1" s="151"/>
      <c r="HU1" s="151"/>
      <c r="HV1" s="151"/>
      <c r="HW1" s="151"/>
      <c r="HX1" s="151"/>
      <c r="HY1" s="151"/>
      <c r="HZ1" s="151"/>
      <c r="IA1" s="151"/>
      <c r="IB1" s="151"/>
      <c r="IC1" s="151"/>
      <c r="ID1" s="151"/>
      <c r="IE1" s="151"/>
      <c r="IF1" s="151"/>
      <c r="IG1" s="151"/>
      <c r="IH1" s="151"/>
      <c r="II1" s="151"/>
      <c r="IJ1" s="151"/>
      <c r="IK1" s="151"/>
      <c r="IL1" s="151"/>
      <c r="IM1" s="151"/>
      <c r="IN1" s="151"/>
      <c r="IO1" s="151"/>
      <c r="IP1" s="151"/>
      <c r="IQ1" s="151"/>
      <c r="IR1" s="151"/>
      <c r="IS1" s="151"/>
      <c r="IT1" s="151"/>
      <c r="IU1" s="151"/>
      <c r="IV1" s="151"/>
      <c r="IW1" s="151"/>
      <c r="IX1" s="151"/>
      <c r="IY1" s="151"/>
      <c r="IZ1" s="151"/>
      <c r="JA1" s="151"/>
      <c r="JB1" s="151"/>
      <c r="JC1" s="151"/>
      <c r="JD1" s="151"/>
      <c r="JE1" s="151"/>
      <c r="JF1" s="151"/>
      <c r="JG1" s="151"/>
      <c r="JH1" s="151"/>
      <c r="JI1" s="151"/>
      <c r="JJ1" s="151"/>
      <c r="JK1" s="151"/>
      <c r="JL1" s="151"/>
      <c r="JM1" s="151"/>
      <c r="JN1" s="151"/>
      <c r="JO1" s="151"/>
      <c r="JP1" s="151"/>
      <c r="JQ1" s="151"/>
      <c r="JR1" s="151"/>
      <c r="JS1" s="151"/>
      <c r="JT1" s="151"/>
      <c r="JU1" s="151"/>
      <c r="JV1" s="151"/>
      <c r="JW1" s="151"/>
      <c r="JX1" s="151"/>
      <c r="JY1" s="151"/>
      <c r="JZ1" s="151"/>
      <c r="KA1" s="151"/>
      <c r="KB1" s="151"/>
      <c r="KC1" s="151"/>
      <c r="KD1" s="151"/>
      <c r="KE1" s="151"/>
      <c r="KF1" s="151"/>
      <c r="KG1" s="151"/>
      <c r="KH1" s="151"/>
      <c r="KI1" s="151"/>
      <c r="KJ1" s="151"/>
      <c r="KK1" s="151"/>
      <c r="KL1" s="151"/>
      <c r="KM1" s="151"/>
      <c r="KN1" s="151"/>
      <c r="KO1" s="151"/>
      <c r="KP1" s="151"/>
      <c r="KQ1" s="151"/>
      <c r="KR1" s="151"/>
      <c r="KS1" s="151"/>
      <c r="KT1" s="151"/>
      <c r="KU1" s="151"/>
      <c r="KV1" s="151"/>
      <c r="KW1" s="151"/>
      <c r="KX1" s="151"/>
      <c r="KY1" s="151"/>
      <c r="KZ1" s="151"/>
      <c r="LA1" s="151"/>
      <c r="LB1" s="151"/>
      <c r="LC1" s="151"/>
      <c r="LD1" s="151"/>
      <c r="LE1" s="151"/>
      <c r="LF1" s="151"/>
      <c r="LG1" s="151"/>
      <c r="LH1" s="151"/>
      <c r="LI1" s="151"/>
      <c r="LJ1" s="151"/>
      <c r="LK1" s="151"/>
      <c r="LL1" s="151"/>
      <c r="LM1" s="151"/>
      <c r="LN1" s="151"/>
      <c r="LO1" s="151"/>
      <c r="LP1" s="151"/>
      <c r="LQ1" s="152"/>
    </row>
    <row r="2" spans="1:329" x14ac:dyDescent="0.25">
      <c r="A2" s="147">
        <v>1</v>
      </c>
      <c r="B2" s="153" t="s">
        <v>302</v>
      </c>
      <c r="C2" s="147" t="s">
        <v>299</v>
      </c>
      <c r="D2" s="147" t="str">
        <f>_xlfn.CONCAT(Control_1[[#This Row],[Day]], "_", Control_1[[#This Row],[Operator]], "_", Control_1[[#This Row],[Group]])</f>
        <v>1_Jan_Control</v>
      </c>
      <c r="E2" s="147" t="s">
        <v>223</v>
      </c>
      <c r="F2" s="154">
        <v>46136</v>
      </c>
      <c r="G2" s="147" t="s">
        <v>222</v>
      </c>
      <c r="H2" s="147">
        <v>1</v>
      </c>
      <c r="I2" s="147">
        <v>1</v>
      </c>
      <c r="J2" s="165">
        <v>0.45763888888888887</v>
      </c>
      <c r="K2" s="165" t="s">
        <v>934</v>
      </c>
      <c r="L2" s="165">
        <v>0.44791666666666669</v>
      </c>
      <c r="M2" s="147">
        <v>1</v>
      </c>
      <c r="N2" s="147" t="str">
        <f>_xlfn.TEXTJOIN("_",TRUE,Control_1[[#This Row],[Batch_ID]],Control_1[[#This Row],[Ex_lot]],Control_1[[#This Row],[Ex_lot2]])</f>
        <v>1_Jan_Control_1_1</v>
      </c>
      <c r="P2" s="147">
        <v>0</v>
      </c>
      <c r="AZ2" s="147"/>
      <c r="BA2" s="147"/>
      <c r="BB2" s="147"/>
      <c r="BC2" s="164">
        <v>0.60486111111111107</v>
      </c>
      <c r="BG2" s="147"/>
      <c r="BK2" s="147"/>
      <c r="BO2" s="147"/>
      <c r="BS2" s="147"/>
      <c r="BW2" s="147"/>
      <c r="BZ2" s="147"/>
      <c r="CA2" s="147"/>
      <c r="CE2" s="147"/>
      <c r="CI2" s="147"/>
      <c r="CM2" s="147"/>
      <c r="CQ2" s="147"/>
      <c r="CU2" s="147"/>
      <c r="CY2" s="147"/>
      <c r="DC2" s="147"/>
      <c r="DG2" s="147"/>
      <c r="DK2" s="147"/>
      <c r="DO2" s="147"/>
      <c r="DS2" s="147"/>
      <c r="DW2" s="147"/>
      <c r="EA2" s="147"/>
      <c r="EE2" s="147"/>
      <c r="EI2" s="147"/>
      <c r="EM2" s="147"/>
      <c r="EQ2" s="147"/>
      <c r="EU2" s="147"/>
      <c r="EY2" s="147"/>
      <c r="FC2" s="147"/>
      <c r="FG2" s="147"/>
      <c r="FK2" s="147"/>
      <c r="FO2" s="147"/>
      <c r="FS2" s="147"/>
      <c r="FW2" s="147"/>
      <c r="GA2" s="147"/>
      <c r="GE2" s="147"/>
      <c r="GI2" s="147"/>
      <c r="HF2" s="147" t="s">
        <v>223</v>
      </c>
      <c r="HH2" s="147" t="s">
        <v>224</v>
      </c>
      <c r="HI2" s="147">
        <v>100</v>
      </c>
      <c r="HJ2" s="147">
        <v>500</v>
      </c>
      <c r="HK2" s="147">
        <v>80</v>
      </c>
    </row>
    <row r="3" spans="1:329" x14ac:dyDescent="0.25">
      <c r="A3" s="147">
        <v>1</v>
      </c>
      <c r="B3" s="153" t="s">
        <v>302</v>
      </c>
      <c r="C3" s="147" t="s">
        <v>299</v>
      </c>
      <c r="D3" s="147" t="str">
        <f>_xlfn.CONCAT(Control_1[[#This Row],[Day]], "_", Control_1[[#This Row],[Operator]], "_", Control_1[[#This Row],[Group]])</f>
        <v>1_Jan_Control</v>
      </c>
      <c r="E3" s="147" t="str">
        <f t="shared" ref="E3:E29" si="0">E2</f>
        <v>E6</v>
      </c>
      <c r="F3" s="154">
        <v>46136</v>
      </c>
      <c r="G3" s="147" t="s">
        <v>222</v>
      </c>
      <c r="H3" s="147">
        <v>2</v>
      </c>
      <c r="I3" s="147">
        <v>1</v>
      </c>
      <c r="J3" s="165">
        <v>0.45763888888888887</v>
      </c>
      <c r="K3" s="165" t="s">
        <v>934</v>
      </c>
      <c r="L3" s="165">
        <v>0.44791666666666669</v>
      </c>
      <c r="M3" s="147">
        <v>2</v>
      </c>
      <c r="N3" s="147" t="str">
        <f>_xlfn.TEXTJOIN("_",TRUE,Control_1[[#This Row],[Batch_ID]],Control_1[[#This Row],[Ex_lot]],Control_1[[#This Row],[Ex_lot2]])</f>
        <v>1_Jan_Control_1_2</v>
      </c>
      <c r="Y3" s="147">
        <v>1</v>
      </c>
      <c r="AC3" s="147">
        <v>1</v>
      </c>
      <c r="AD3" s="147">
        <v>0</v>
      </c>
      <c r="AZ3" s="147"/>
      <c r="BA3" s="147"/>
      <c r="BB3" s="147"/>
      <c r="BC3" s="147"/>
      <c r="BG3" s="147"/>
      <c r="BK3" s="147"/>
      <c r="BO3" s="147"/>
      <c r="BS3" s="147"/>
      <c r="BW3" s="147"/>
      <c r="BZ3" s="147"/>
      <c r="CA3" s="147"/>
      <c r="CE3" s="147"/>
      <c r="CI3" s="147"/>
      <c r="CM3" s="164">
        <v>0.60486111111111107</v>
      </c>
      <c r="CP3" s="155" t="s">
        <v>226</v>
      </c>
      <c r="CQ3" s="147"/>
      <c r="CU3" s="147"/>
      <c r="CY3" s="147"/>
      <c r="DC3" s="164">
        <v>0.67083333333333328</v>
      </c>
      <c r="DF3" s="155" t="s">
        <v>226</v>
      </c>
      <c r="DG3" s="164">
        <v>0.79513888888888884</v>
      </c>
      <c r="DH3" s="147" t="s">
        <v>858</v>
      </c>
      <c r="DK3" s="147"/>
      <c r="DO3" s="147"/>
      <c r="DS3" s="147"/>
      <c r="DW3" s="147"/>
      <c r="EA3" s="147"/>
      <c r="EE3" s="147"/>
      <c r="EI3" s="147"/>
      <c r="EM3" s="147"/>
      <c r="EQ3" s="147"/>
      <c r="EU3" s="147"/>
      <c r="EY3" s="147"/>
      <c r="FC3" s="147"/>
      <c r="FG3" s="147"/>
      <c r="FK3" s="147"/>
      <c r="FO3" s="147"/>
      <c r="FS3" s="147"/>
      <c r="FW3" s="147"/>
      <c r="GA3" s="147"/>
      <c r="GE3" s="147"/>
      <c r="GI3" s="147"/>
    </row>
    <row r="4" spans="1:329" x14ac:dyDescent="0.25">
      <c r="A4" s="147">
        <v>1</v>
      </c>
      <c r="B4" s="153" t="s">
        <v>302</v>
      </c>
      <c r="C4" s="147" t="s">
        <v>299</v>
      </c>
      <c r="D4" s="147" t="str">
        <f>_xlfn.CONCAT(Control_1[[#This Row],[Day]], "_", Control_1[[#This Row],[Operator]], "_", Control_1[[#This Row],[Group]])</f>
        <v>1_Jan_Control</v>
      </c>
      <c r="E4" s="147" t="str">
        <f t="shared" si="0"/>
        <v>E6</v>
      </c>
      <c r="F4" s="154">
        <v>46136</v>
      </c>
      <c r="G4" s="147" t="s">
        <v>222</v>
      </c>
      <c r="H4" s="147">
        <v>3</v>
      </c>
      <c r="I4" s="147">
        <v>1</v>
      </c>
      <c r="J4" s="165">
        <v>0.45763888888888887</v>
      </c>
      <c r="K4" s="165" t="s">
        <v>934</v>
      </c>
      <c r="L4" s="165">
        <v>0.44791666666666669</v>
      </c>
      <c r="M4" s="147">
        <v>3</v>
      </c>
      <c r="N4" s="147" t="str">
        <f>_xlfn.TEXTJOIN("_",TRUE,Control_1[[#This Row],[Batch_ID]],Control_1[[#This Row],[Ex_lot]],Control_1[[#This Row],[Ex_lot2]])</f>
        <v>1_Jan_Control_1_3</v>
      </c>
      <c r="O4" s="147">
        <v>0</v>
      </c>
      <c r="AY4" s="165">
        <v>0.60902777777777772</v>
      </c>
      <c r="AZ4" s="147"/>
      <c r="BA4" s="147" t="s">
        <v>227</v>
      </c>
      <c r="BB4" s="147"/>
      <c r="BC4" s="147"/>
      <c r="BG4" s="147"/>
      <c r="BK4" s="147"/>
      <c r="BO4" s="147"/>
      <c r="BS4" s="147"/>
      <c r="BW4" s="147"/>
      <c r="BZ4" s="147"/>
      <c r="CA4" s="147"/>
      <c r="CE4" s="147"/>
      <c r="CI4" s="147"/>
      <c r="CM4" s="147"/>
      <c r="CQ4" s="147"/>
      <c r="CU4" s="147"/>
      <c r="CY4" s="147"/>
      <c r="DC4" s="147"/>
      <c r="DG4" s="147"/>
      <c r="DK4" s="147"/>
      <c r="DO4" s="147"/>
      <c r="DS4" s="147"/>
      <c r="DW4" s="147"/>
      <c r="EA4" s="147"/>
      <c r="EE4" s="147"/>
      <c r="EI4" s="147"/>
      <c r="EM4" s="147"/>
      <c r="EQ4" s="147"/>
      <c r="EU4" s="147"/>
      <c r="EY4" s="147"/>
      <c r="FC4" s="147"/>
      <c r="FG4" s="147"/>
      <c r="FK4" s="147"/>
      <c r="FO4" s="147"/>
      <c r="FS4" s="147"/>
      <c r="FW4" s="147"/>
      <c r="GA4" s="147"/>
      <c r="GE4" s="147"/>
      <c r="GI4" s="147"/>
    </row>
    <row r="5" spans="1:329" x14ac:dyDescent="0.25">
      <c r="A5" s="147">
        <v>1</v>
      </c>
      <c r="B5" s="153" t="s">
        <v>302</v>
      </c>
      <c r="C5" s="147" t="s">
        <v>299</v>
      </c>
      <c r="D5" s="147" t="str">
        <f>_xlfn.CONCAT(Control_1[[#This Row],[Day]], "_", Control_1[[#This Row],[Operator]], "_", Control_1[[#This Row],[Group]])</f>
        <v>1_Jan_Control</v>
      </c>
      <c r="E5" s="147" t="str">
        <f t="shared" si="0"/>
        <v>E6</v>
      </c>
      <c r="F5" s="154">
        <v>46136</v>
      </c>
      <c r="G5" s="147" t="s">
        <v>222</v>
      </c>
      <c r="H5" s="147">
        <v>4</v>
      </c>
      <c r="I5" s="147">
        <v>2</v>
      </c>
      <c r="J5" s="165">
        <v>0.46458333333333335</v>
      </c>
      <c r="K5" s="165">
        <v>0.44930555555555557</v>
      </c>
      <c r="L5" s="165">
        <v>0.45416666666666666</v>
      </c>
      <c r="M5" s="147">
        <v>1</v>
      </c>
      <c r="N5" s="147" t="str">
        <f>_xlfn.TEXTJOIN("_",TRUE,Control_1[[#This Row],[Batch_ID]],Control_1[[#This Row],[Ex_lot]],Control_1[[#This Row],[Ex_lot2]])</f>
        <v>1_Jan_Control_2_1</v>
      </c>
      <c r="W5" s="147">
        <v>1</v>
      </c>
      <c r="Z5" s="147">
        <v>1</v>
      </c>
      <c r="AA5" s="147">
        <v>1</v>
      </c>
      <c r="AB5" s="147">
        <v>0</v>
      </c>
      <c r="AZ5" s="147"/>
      <c r="BA5" s="147"/>
      <c r="BB5" s="147"/>
      <c r="BC5" s="147"/>
      <c r="BG5" s="147"/>
      <c r="BK5" s="147"/>
      <c r="BO5" s="147"/>
      <c r="BS5" s="147"/>
      <c r="BW5" s="147"/>
      <c r="BZ5" s="147"/>
      <c r="CA5" s="147"/>
      <c r="CE5" s="164">
        <v>0.61041666666666672</v>
      </c>
      <c r="CH5" s="155" t="s">
        <v>226</v>
      </c>
      <c r="CI5" s="147"/>
      <c r="CM5" s="147"/>
      <c r="CQ5" s="164">
        <v>0.67291666666666672</v>
      </c>
      <c r="CT5" s="155" t="s">
        <v>226</v>
      </c>
      <c r="CU5" s="164">
        <v>0.79583333333333328</v>
      </c>
      <c r="CX5" s="155" t="s">
        <v>229</v>
      </c>
      <c r="CY5" s="164">
        <v>0.86597222222222225</v>
      </c>
      <c r="CZ5" s="147" t="s">
        <v>858</v>
      </c>
      <c r="DB5" s="155" t="s">
        <v>229</v>
      </c>
      <c r="DC5" s="147"/>
      <c r="DG5" s="147"/>
      <c r="DK5" s="147"/>
      <c r="DO5" s="147"/>
      <c r="DS5" s="147"/>
      <c r="DW5" s="147"/>
      <c r="EA5" s="147"/>
      <c r="EE5" s="147"/>
      <c r="EI5" s="147"/>
      <c r="EM5" s="147"/>
      <c r="EQ5" s="147"/>
      <c r="EU5" s="147"/>
      <c r="EY5" s="147"/>
      <c r="FC5" s="147"/>
      <c r="FG5" s="147"/>
      <c r="FK5" s="147"/>
      <c r="FO5" s="147"/>
      <c r="FS5" s="147"/>
      <c r="FW5" s="147"/>
      <c r="GA5" s="147"/>
      <c r="GE5" s="147"/>
      <c r="GI5" s="147"/>
    </row>
    <row r="6" spans="1:329" x14ac:dyDescent="0.25">
      <c r="A6" s="147">
        <v>1</v>
      </c>
      <c r="B6" s="153" t="s">
        <v>302</v>
      </c>
      <c r="C6" s="147" t="s">
        <v>299</v>
      </c>
      <c r="D6" s="147" t="str">
        <f>_xlfn.CONCAT(Control_1[[#This Row],[Day]], "_", Control_1[[#This Row],[Operator]], "_", Control_1[[#This Row],[Group]])</f>
        <v>1_Jan_Control</v>
      </c>
      <c r="E6" s="147" t="str">
        <f t="shared" si="0"/>
        <v>E6</v>
      </c>
      <c r="F6" s="154">
        <v>46136</v>
      </c>
      <c r="G6" s="147" t="s">
        <v>222</v>
      </c>
      <c r="H6" s="147">
        <v>5</v>
      </c>
      <c r="I6" s="147">
        <v>2</v>
      </c>
      <c r="J6" s="165">
        <v>0.46458333333333335</v>
      </c>
      <c r="K6" s="165">
        <v>0.44930555555555557</v>
      </c>
      <c r="L6" s="165">
        <v>0.45416666666666666</v>
      </c>
      <c r="M6" s="147">
        <v>2</v>
      </c>
      <c r="N6" s="147" t="str">
        <f>_xlfn.TEXTJOIN("_",TRUE,Control_1[[#This Row],[Batch_ID]],Control_1[[#This Row],[Ex_lot]],Control_1[[#This Row],[Ex_lot2]])</f>
        <v>1_Jan_Control_2_2</v>
      </c>
      <c r="O6" s="147">
        <v>0</v>
      </c>
      <c r="AY6" s="165">
        <v>0.60902777777777772</v>
      </c>
      <c r="AZ6" s="147"/>
      <c r="BA6" s="147" t="s">
        <v>227</v>
      </c>
      <c r="BB6" s="147"/>
      <c r="BC6" s="147"/>
      <c r="BG6" s="147"/>
      <c r="BK6" s="147"/>
      <c r="BO6" s="147"/>
      <c r="BS6" s="147"/>
      <c r="BW6" s="147"/>
      <c r="BZ6" s="147"/>
      <c r="CA6" s="147"/>
      <c r="CE6" s="147"/>
      <c r="CI6" s="147"/>
      <c r="CM6" s="147"/>
      <c r="CQ6" s="147"/>
      <c r="CU6" s="147"/>
      <c r="CY6" s="147"/>
      <c r="DC6" s="147"/>
      <c r="DG6" s="147"/>
      <c r="DK6" s="147"/>
      <c r="DO6" s="147"/>
      <c r="DS6" s="147"/>
      <c r="DW6" s="147"/>
      <c r="EA6" s="147"/>
      <c r="EE6" s="147"/>
      <c r="EI6" s="147"/>
      <c r="EM6" s="147"/>
      <c r="EQ6" s="147"/>
      <c r="EU6" s="147"/>
      <c r="EY6" s="147"/>
      <c r="FC6" s="147"/>
      <c r="FG6" s="147"/>
      <c r="FK6" s="147"/>
      <c r="FO6" s="147"/>
      <c r="FS6" s="147"/>
      <c r="FW6" s="147"/>
      <c r="GA6" s="147"/>
      <c r="GE6" s="147"/>
      <c r="GI6" s="147"/>
    </row>
    <row r="7" spans="1:329" x14ac:dyDescent="0.25">
      <c r="A7" s="147">
        <v>1</v>
      </c>
      <c r="B7" s="153" t="s">
        <v>302</v>
      </c>
      <c r="C7" s="147" t="s">
        <v>299</v>
      </c>
      <c r="D7" s="147" t="str">
        <f>_xlfn.CONCAT(Control_1[[#This Row],[Day]], "_", Control_1[[#This Row],[Operator]], "_", Control_1[[#This Row],[Group]])</f>
        <v>1_Jan_Control</v>
      </c>
      <c r="E7" s="147" t="str">
        <f t="shared" si="0"/>
        <v>E6</v>
      </c>
      <c r="F7" s="154">
        <v>46136</v>
      </c>
      <c r="G7" s="147" t="s">
        <v>222</v>
      </c>
      <c r="H7" s="147">
        <v>6</v>
      </c>
      <c r="I7" s="147">
        <v>3</v>
      </c>
      <c r="J7" s="165">
        <v>0.47083333333333333</v>
      </c>
      <c r="K7" s="165">
        <v>0.45555555555555555</v>
      </c>
      <c r="L7" s="165">
        <v>0.46111111111111114</v>
      </c>
      <c r="M7" s="147">
        <v>1</v>
      </c>
      <c r="N7" s="147" t="str">
        <f>_xlfn.TEXTJOIN("_",TRUE,Control_1[[#This Row],[Batch_ID]],Control_1[[#This Row],[Ex_lot]],Control_1[[#This Row],[Ex_lot2]])</f>
        <v>1_Jan_Control_3_1</v>
      </c>
      <c r="O7" s="147">
        <v>0</v>
      </c>
      <c r="AY7" s="165">
        <v>0.61250000000000004</v>
      </c>
      <c r="AZ7" s="147"/>
      <c r="BA7" s="147" t="s">
        <v>227</v>
      </c>
      <c r="BB7" s="147"/>
      <c r="BC7" s="147"/>
      <c r="BG7" s="147"/>
      <c r="BK7" s="147"/>
      <c r="BO7" s="147"/>
      <c r="BS7" s="147"/>
      <c r="BW7" s="147"/>
      <c r="BZ7" s="147"/>
      <c r="CA7" s="147"/>
      <c r="CE7" s="147"/>
      <c r="CI7" s="147"/>
      <c r="CM7" s="147"/>
      <c r="CQ7" s="147"/>
      <c r="CU7" s="147"/>
      <c r="CY7" s="147"/>
      <c r="DC7" s="147"/>
      <c r="DG7" s="147"/>
      <c r="DK7" s="147"/>
      <c r="DO7" s="147"/>
      <c r="DS7" s="147"/>
      <c r="DW7" s="147"/>
      <c r="EA7" s="147"/>
      <c r="EE7" s="147"/>
      <c r="EI7" s="147"/>
      <c r="EM7" s="147"/>
      <c r="EQ7" s="147"/>
      <c r="EU7" s="147"/>
      <c r="EY7" s="147"/>
      <c r="FC7" s="147"/>
      <c r="FG7" s="147"/>
      <c r="FK7" s="147"/>
      <c r="FO7" s="147"/>
      <c r="FS7" s="147"/>
      <c r="FW7" s="147"/>
      <c r="GA7" s="147"/>
      <c r="GE7" s="147"/>
      <c r="GI7" s="147"/>
    </row>
    <row r="8" spans="1:329" x14ac:dyDescent="0.25">
      <c r="A8" s="147">
        <v>1</v>
      </c>
      <c r="B8" s="153" t="s">
        <v>302</v>
      </c>
      <c r="C8" s="147" t="s">
        <v>299</v>
      </c>
      <c r="D8" s="147" t="str">
        <f>_xlfn.CONCAT(Control_1[[#This Row],[Day]], "_", Control_1[[#This Row],[Operator]], "_", Control_1[[#This Row],[Group]])</f>
        <v>1_Jan_Control</v>
      </c>
      <c r="E8" s="147" t="str">
        <f t="shared" si="0"/>
        <v>E6</v>
      </c>
      <c r="F8" s="154">
        <v>46136</v>
      </c>
      <c r="G8" s="147" t="s">
        <v>222</v>
      </c>
      <c r="H8" s="147">
        <v>7</v>
      </c>
      <c r="I8" s="147">
        <v>3</v>
      </c>
      <c r="J8" s="165">
        <v>0.47083333333333333</v>
      </c>
      <c r="K8" s="165">
        <v>0.45555555555555555</v>
      </c>
      <c r="L8" s="165">
        <v>0.46111111111111114</v>
      </c>
      <c r="M8" s="147">
        <v>2</v>
      </c>
      <c r="N8" s="147" t="str">
        <f>_xlfn.TEXTJOIN("_",TRUE,Control_1[[#This Row],[Batch_ID]],Control_1[[#This Row],[Ex_lot]],Control_1[[#This Row],[Ex_lot2]])</f>
        <v>1_Jan_Control_3_2</v>
      </c>
      <c r="W8" s="147">
        <v>1</v>
      </c>
      <c r="Z8" s="147">
        <v>1</v>
      </c>
      <c r="AA8" s="147">
        <v>0</v>
      </c>
      <c r="AZ8" s="147"/>
      <c r="BA8" s="147"/>
      <c r="BB8" s="147"/>
      <c r="BC8" s="147"/>
      <c r="BG8" s="147"/>
      <c r="BK8" s="147"/>
      <c r="BO8" s="147"/>
      <c r="BS8" s="147"/>
      <c r="BW8" s="147"/>
      <c r="BZ8" s="147"/>
      <c r="CA8" s="147"/>
      <c r="CE8" s="164">
        <v>0.61319444444444449</v>
      </c>
      <c r="CH8" s="156" t="s">
        <v>226</v>
      </c>
      <c r="CI8" s="147"/>
      <c r="CM8" s="147"/>
      <c r="CQ8" s="164">
        <v>0.67291666666666672</v>
      </c>
      <c r="CT8" s="156" t="s">
        <v>229</v>
      </c>
      <c r="CU8" s="164">
        <v>0.79513888888888884</v>
      </c>
      <c r="CV8" s="147" t="s">
        <v>858</v>
      </c>
      <c r="CY8" s="147"/>
      <c r="DC8" s="147"/>
      <c r="DG8" s="147"/>
      <c r="DK8" s="147"/>
      <c r="DO8" s="147"/>
      <c r="DS8" s="147"/>
      <c r="DW8" s="147"/>
      <c r="EA8" s="147"/>
      <c r="EE8" s="147"/>
      <c r="EI8" s="147"/>
      <c r="EM8" s="147"/>
      <c r="EQ8" s="147"/>
      <c r="EU8" s="147"/>
      <c r="EY8" s="147"/>
      <c r="FC8" s="147"/>
      <c r="FG8" s="147"/>
      <c r="FK8" s="147"/>
      <c r="FO8" s="147"/>
      <c r="FS8" s="147"/>
      <c r="FW8" s="147"/>
      <c r="GA8" s="147"/>
      <c r="GE8" s="147"/>
      <c r="GI8" s="147"/>
    </row>
    <row r="9" spans="1:329" x14ac:dyDescent="0.25">
      <c r="A9" s="147">
        <v>1</v>
      </c>
      <c r="B9" s="153" t="s">
        <v>302</v>
      </c>
      <c r="C9" s="147" t="s">
        <v>299</v>
      </c>
      <c r="D9" s="147" t="str">
        <f>_xlfn.CONCAT(Control_1[[#This Row],[Day]], "_", Control_1[[#This Row],[Operator]], "_", Control_1[[#This Row],[Group]])</f>
        <v>1_Jan_Control</v>
      </c>
      <c r="E9" s="147" t="str">
        <f t="shared" si="0"/>
        <v>E6</v>
      </c>
      <c r="F9" s="154">
        <v>46136</v>
      </c>
      <c r="G9" s="147" t="s">
        <v>222</v>
      </c>
      <c r="H9" s="147">
        <v>8</v>
      </c>
      <c r="I9" s="147">
        <v>4</v>
      </c>
      <c r="J9" s="165">
        <v>0.47986111111111113</v>
      </c>
      <c r="K9" s="165">
        <v>0.46111111111111114</v>
      </c>
      <c r="L9" s="165">
        <v>0.46875</v>
      </c>
      <c r="M9" s="147">
        <v>1</v>
      </c>
      <c r="N9" s="147" t="str">
        <f>_xlfn.TEXTJOIN("_",TRUE,Control_1[[#This Row],[Batch_ID]],Control_1[[#This Row],[Ex_lot]],Control_1[[#This Row],[Ex_lot2]])</f>
        <v>1_Jan_Control_4_1</v>
      </c>
      <c r="V9" s="147">
        <v>1</v>
      </c>
      <c r="W9" s="147">
        <v>1</v>
      </c>
      <c r="Y9" s="147">
        <v>1</v>
      </c>
      <c r="AZ9" s="147"/>
      <c r="BA9" s="147"/>
      <c r="BB9" s="147"/>
      <c r="BC9" s="147"/>
      <c r="BG9" s="147"/>
      <c r="BK9" s="147"/>
      <c r="BO9" s="147"/>
      <c r="BS9" s="147"/>
      <c r="BW9" s="147"/>
      <c r="BZ9" s="147"/>
      <c r="CA9" s="164">
        <v>0.61597222222222225</v>
      </c>
      <c r="CD9" s="155" t="s">
        <v>229</v>
      </c>
      <c r="CE9" s="164">
        <v>0.66736111111111107</v>
      </c>
      <c r="CH9" s="155" t="s">
        <v>229</v>
      </c>
      <c r="CI9" s="147"/>
      <c r="CM9" s="164">
        <v>0.79652777777777772</v>
      </c>
      <c r="CN9" s="147" t="s">
        <v>858</v>
      </c>
      <c r="CQ9" s="147"/>
      <c r="CU9" s="147"/>
      <c r="CY9" s="147"/>
      <c r="DC9" s="147"/>
      <c r="DG9" s="147"/>
      <c r="DK9" s="147"/>
      <c r="DO9" s="147"/>
      <c r="DS9" s="147"/>
      <c r="DW9" s="147"/>
      <c r="EA9" s="147"/>
      <c r="EE9" s="147"/>
      <c r="EI9" s="147"/>
      <c r="EM9" s="147"/>
      <c r="EQ9" s="147"/>
      <c r="EU9" s="147"/>
      <c r="EY9" s="147"/>
      <c r="FC9" s="147"/>
      <c r="FG9" s="147"/>
      <c r="FK9" s="147"/>
      <c r="FO9" s="147"/>
      <c r="FS9" s="147"/>
      <c r="FW9" s="147"/>
      <c r="GA9" s="147"/>
      <c r="GE9" s="147"/>
      <c r="GI9" s="147"/>
    </row>
    <row r="10" spans="1:329" x14ac:dyDescent="0.25">
      <c r="A10" s="147">
        <v>1</v>
      </c>
      <c r="B10" s="153" t="s">
        <v>302</v>
      </c>
      <c r="C10" s="147" t="s">
        <v>299</v>
      </c>
      <c r="D10" s="147" t="str">
        <f>_xlfn.CONCAT(Control_1[[#This Row],[Day]], "_", Control_1[[#This Row],[Operator]], "_", Control_1[[#This Row],[Group]])</f>
        <v>1_Jan_Control</v>
      </c>
      <c r="E10" s="147" t="str">
        <f t="shared" si="0"/>
        <v>E6</v>
      </c>
      <c r="F10" s="154">
        <v>46136</v>
      </c>
      <c r="G10" s="147" t="s">
        <v>222</v>
      </c>
      <c r="H10" s="147">
        <v>9</v>
      </c>
      <c r="I10" s="147">
        <v>4</v>
      </c>
      <c r="J10" s="165">
        <v>0.47986111111111113</v>
      </c>
      <c r="K10" s="165">
        <v>0.46111111111111114</v>
      </c>
      <c r="L10" s="165">
        <v>0.46875</v>
      </c>
      <c r="M10" s="147">
        <v>2</v>
      </c>
      <c r="N10" s="147" t="str">
        <f>_xlfn.TEXTJOIN("_",TRUE,Control_1[[#This Row],[Batch_ID]],Control_1[[#This Row],[Ex_lot]],Control_1[[#This Row],[Ex_lot2]])</f>
        <v>1_Jan_Control_4_2</v>
      </c>
      <c r="O10" s="147">
        <v>0</v>
      </c>
      <c r="AY10" s="165">
        <v>0.61527777777777781</v>
      </c>
      <c r="AZ10" s="147"/>
      <c r="BA10" s="147" t="s">
        <v>227</v>
      </c>
      <c r="BB10" s="155" t="s">
        <v>229</v>
      </c>
      <c r="BC10" s="147"/>
      <c r="BG10" s="147"/>
      <c r="BK10" s="147"/>
      <c r="BO10" s="147"/>
      <c r="BS10" s="147"/>
      <c r="BW10" s="147"/>
      <c r="BZ10" s="147"/>
      <c r="CA10" s="147"/>
      <c r="CE10" s="147"/>
      <c r="CI10" s="147"/>
      <c r="CM10" s="147"/>
      <c r="CQ10" s="147"/>
      <c r="CU10" s="147"/>
      <c r="CY10" s="147"/>
      <c r="DC10" s="147"/>
      <c r="DG10" s="147"/>
      <c r="DK10" s="147"/>
      <c r="DO10" s="147"/>
      <c r="DS10" s="147"/>
      <c r="DW10" s="147"/>
      <c r="EA10" s="147"/>
      <c r="EE10" s="147"/>
      <c r="EI10" s="147"/>
      <c r="EM10" s="147"/>
      <c r="EQ10" s="147"/>
      <c r="EU10" s="147"/>
      <c r="EY10" s="147"/>
      <c r="FC10" s="147"/>
      <c r="FG10" s="147"/>
      <c r="FK10" s="147"/>
      <c r="FO10" s="147"/>
      <c r="FS10" s="147"/>
      <c r="FW10" s="147"/>
      <c r="GA10" s="147"/>
      <c r="GE10" s="147"/>
      <c r="GI10" s="147"/>
    </row>
    <row r="11" spans="1:329" x14ac:dyDescent="0.25">
      <c r="A11" s="147">
        <v>1</v>
      </c>
      <c r="B11" s="153" t="s">
        <v>302</v>
      </c>
      <c r="C11" s="147" t="s">
        <v>299</v>
      </c>
      <c r="D11" s="147" t="str">
        <f>_xlfn.CONCAT(Control_1[[#This Row],[Day]], "_", Control_1[[#This Row],[Operator]], "_", Control_1[[#This Row],[Group]])</f>
        <v>1_Jan_Control</v>
      </c>
      <c r="E11" s="147" t="str">
        <f t="shared" si="0"/>
        <v>E6</v>
      </c>
      <c r="F11" s="154">
        <v>46136</v>
      </c>
      <c r="G11" s="147" t="s">
        <v>222</v>
      </c>
      <c r="H11" s="147">
        <v>10</v>
      </c>
      <c r="I11" s="147">
        <v>4</v>
      </c>
      <c r="J11" s="165">
        <v>0.47986111111111113</v>
      </c>
      <c r="K11" s="165">
        <v>0.46111111111111114</v>
      </c>
      <c r="L11" s="165">
        <v>0.46875</v>
      </c>
      <c r="M11" s="147">
        <v>3</v>
      </c>
      <c r="N11" s="147" t="str">
        <f>_xlfn.TEXTJOIN("_",TRUE,Control_1[[#This Row],[Batch_ID]],Control_1[[#This Row],[Ex_lot]],Control_1[[#This Row],[Ex_lot2]])</f>
        <v>1_Jan_Control_4_3</v>
      </c>
      <c r="X11" s="147">
        <v>1</v>
      </c>
      <c r="AA11" s="147">
        <v>1</v>
      </c>
      <c r="AG11" s="147">
        <v>1</v>
      </c>
      <c r="AH11" s="147">
        <v>0</v>
      </c>
      <c r="AZ11" s="147"/>
      <c r="BA11" s="147"/>
      <c r="BB11" s="147"/>
      <c r="BC11" s="147"/>
      <c r="BG11" s="147"/>
      <c r="BK11" s="147"/>
      <c r="BO11" s="147"/>
      <c r="BS11" s="147"/>
      <c r="BW11" s="147"/>
      <c r="BZ11" s="147"/>
      <c r="CA11" s="147"/>
      <c r="CE11" s="147"/>
      <c r="CI11" s="164">
        <v>0.61458333333333337</v>
      </c>
      <c r="CL11" s="156" t="s">
        <v>226</v>
      </c>
      <c r="CM11" s="147"/>
      <c r="CQ11" s="147"/>
      <c r="CU11" s="164">
        <v>0.66736111111111107</v>
      </c>
      <c r="CX11" s="156" t="s">
        <v>226</v>
      </c>
      <c r="CY11" s="147"/>
      <c r="DC11" s="147"/>
      <c r="DG11" s="147"/>
      <c r="DK11" s="147"/>
      <c r="DO11" s="147"/>
      <c r="DS11" s="164">
        <v>0.79722222222222228</v>
      </c>
      <c r="DV11" s="156" t="s">
        <v>226</v>
      </c>
      <c r="DW11" s="164">
        <v>0.8666666666666667</v>
      </c>
      <c r="DX11" s="147" t="s">
        <v>858</v>
      </c>
      <c r="DZ11" s="147">
        <v>1</v>
      </c>
      <c r="EA11" s="147"/>
      <c r="EE11" s="147"/>
      <c r="EI11" s="147"/>
      <c r="EM11" s="147"/>
      <c r="EQ11" s="147"/>
      <c r="EU11" s="147"/>
      <c r="EY11" s="147"/>
      <c r="FC11" s="147"/>
      <c r="FG11" s="147"/>
      <c r="FK11" s="147"/>
      <c r="FO11" s="147"/>
      <c r="FS11" s="147"/>
      <c r="FW11" s="147"/>
      <c r="GA11" s="147"/>
      <c r="GE11" s="147"/>
      <c r="GI11" s="147"/>
    </row>
    <row r="12" spans="1:329" x14ac:dyDescent="0.25">
      <c r="A12" s="147">
        <v>1</v>
      </c>
      <c r="B12" s="153" t="s">
        <v>302</v>
      </c>
      <c r="C12" s="147" t="s">
        <v>299</v>
      </c>
      <c r="D12" s="147" t="str">
        <f>_xlfn.CONCAT(Control_1[[#This Row],[Day]], "_", Control_1[[#This Row],[Operator]], "_", Control_1[[#This Row],[Group]])</f>
        <v>1_Jan_Control</v>
      </c>
      <c r="E12" s="147" t="str">
        <f t="shared" si="0"/>
        <v>E6</v>
      </c>
      <c r="F12" s="154">
        <v>46136</v>
      </c>
      <c r="G12" s="147" t="s">
        <v>222</v>
      </c>
      <c r="H12" s="147">
        <v>11</v>
      </c>
      <c r="I12" s="147">
        <v>5</v>
      </c>
      <c r="J12" s="165">
        <v>0.48888888888888887</v>
      </c>
      <c r="K12" s="165" t="s">
        <v>934</v>
      </c>
      <c r="L12" s="165">
        <v>0.4777777777777778</v>
      </c>
      <c r="M12" s="147">
        <v>1</v>
      </c>
      <c r="N12" s="147" t="str">
        <f>_xlfn.TEXTJOIN("_",TRUE,Control_1[[#This Row],[Batch_ID]],Control_1[[#This Row],[Ex_lot]],Control_1[[#This Row],[Ex_lot2]])</f>
        <v>1_Jan_Control_5_1</v>
      </c>
      <c r="O12" s="147">
        <v>0</v>
      </c>
      <c r="AY12" s="165">
        <v>0.61736111111111114</v>
      </c>
      <c r="AZ12" s="147"/>
      <c r="BA12" s="147" t="s">
        <v>227</v>
      </c>
      <c r="BB12" s="155" t="s">
        <v>229</v>
      </c>
      <c r="BC12" s="147"/>
      <c r="BG12" s="147"/>
      <c r="BK12" s="147"/>
      <c r="BO12" s="147"/>
      <c r="BS12" s="147"/>
      <c r="BW12" s="147"/>
      <c r="BZ12" s="147"/>
      <c r="CA12" s="147"/>
      <c r="CE12" s="147"/>
      <c r="CI12" s="147"/>
      <c r="CM12" s="147"/>
      <c r="CQ12" s="147"/>
      <c r="CU12" s="147"/>
      <c r="CY12" s="147"/>
      <c r="DC12" s="147"/>
      <c r="DG12" s="147"/>
      <c r="DK12" s="147"/>
      <c r="DO12" s="147"/>
      <c r="DS12" s="147"/>
      <c r="DW12" s="147"/>
      <c r="EA12" s="147"/>
      <c r="EE12" s="147"/>
      <c r="EI12" s="147"/>
      <c r="EM12" s="147"/>
      <c r="EQ12" s="147"/>
      <c r="EU12" s="147"/>
      <c r="EY12" s="147"/>
      <c r="FC12" s="147"/>
      <c r="FG12" s="147"/>
      <c r="FK12" s="147"/>
      <c r="FO12" s="147"/>
      <c r="FS12" s="147"/>
      <c r="FW12" s="147"/>
      <c r="GA12" s="147"/>
      <c r="GE12" s="147"/>
      <c r="GI12" s="147"/>
    </row>
    <row r="13" spans="1:329" x14ac:dyDescent="0.25">
      <c r="A13" s="147">
        <v>1</v>
      </c>
      <c r="B13" s="153" t="s">
        <v>302</v>
      </c>
      <c r="C13" s="147" t="s">
        <v>299</v>
      </c>
      <c r="D13" s="147" t="str">
        <f>_xlfn.CONCAT(Control_1[[#This Row],[Day]], "_", Control_1[[#This Row],[Operator]], "_", Control_1[[#This Row],[Group]])</f>
        <v>1_Jan_Control</v>
      </c>
      <c r="E13" s="147" t="str">
        <f t="shared" si="0"/>
        <v>E6</v>
      </c>
      <c r="F13" s="154">
        <v>46136</v>
      </c>
      <c r="G13" s="147" t="s">
        <v>222</v>
      </c>
      <c r="H13" s="147">
        <v>12</v>
      </c>
      <c r="I13" s="147">
        <v>5</v>
      </c>
      <c r="J13" s="165">
        <v>0.48888888888888887</v>
      </c>
      <c r="K13" s="165" t="s">
        <v>934</v>
      </c>
      <c r="L13" s="165">
        <v>0.4777777777777778</v>
      </c>
      <c r="M13" s="147">
        <v>2</v>
      </c>
      <c r="N13" s="147" t="str">
        <f>_xlfn.TEXTJOIN("_",TRUE,Control_1[[#This Row],[Batch_ID]],Control_1[[#This Row],[Ex_lot]],Control_1[[#This Row],[Ex_lot2]])</f>
        <v>1_Jan_Control_5_2</v>
      </c>
      <c r="W13" s="147">
        <v>1</v>
      </c>
      <c r="Y13" s="147">
        <v>1</v>
      </c>
      <c r="Z13" s="147">
        <v>0</v>
      </c>
      <c r="AZ13" s="147"/>
      <c r="BA13" s="147"/>
      <c r="BB13" s="147"/>
      <c r="BC13" s="147"/>
      <c r="BG13" s="147"/>
      <c r="BK13" s="147"/>
      <c r="BO13" s="147"/>
      <c r="BS13" s="147"/>
      <c r="BW13" s="147"/>
      <c r="BZ13" s="147"/>
      <c r="CA13" s="147"/>
      <c r="CE13" s="164">
        <v>0.58680555555555558</v>
      </c>
      <c r="CH13" s="155" t="s">
        <v>229</v>
      </c>
      <c r="CI13" s="147"/>
      <c r="CM13" s="164">
        <v>0.6743055555555556</v>
      </c>
      <c r="CP13" s="155" t="s">
        <v>229</v>
      </c>
      <c r="CQ13" s="164">
        <v>0.79791666666666672</v>
      </c>
      <c r="CR13" s="147" t="s">
        <v>858</v>
      </c>
      <c r="CU13" s="147"/>
      <c r="CY13" s="147"/>
      <c r="DC13" s="147"/>
      <c r="DG13" s="147"/>
      <c r="DK13" s="147"/>
      <c r="DO13" s="147"/>
      <c r="DS13" s="147"/>
      <c r="DW13" s="147"/>
      <c r="EA13" s="147"/>
      <c r="EE13" s="147"/>
      <c r="EI13" s="147"/>
      <c r="EM13" s="147"/>
      <c r="EQ13" s="147"/>
      <c r="EU13" s="147"/>
      <c r="EY13" s="147"/>
      <c r="FC13" s="147"/>
      <c r="FG13" s="147"/>
      <c r="FK13" s="147"/>
      <c r="FO13" s="147"/>
      <c r="FS13" s="147"/>
      <c r="FW13" s="147"/>
      <c r="GA13" s="147"/>
      <c r="GE13" s="147"/>
      <c r="GI13" s="147"/>
    </row>
    <row r="14" spans="1:329" x14ac:dyDescent="0.25">
      <c r="A14" s="147">
        <v>1</v>
      </c>
      <c r="B14" s="153" t="s">
        <v>302</v>
      </c>
      <c r="C14" s="147" t="s">
        <v>299</v>
      </c>
      <c r="D14" s="147" t="str">
        <f>_xlfn.CONCAT(Control_1[[#This Row],[Day]], "_", Control_1[[#This Row],[Operator]], "_", Control_1[[#This Row],[Group]])</f>
        <v>1_Jan_Control</v>
      </c>
      <c r="E14" s="147" t="str">
        <f t="shared" si="0"/>
        <v>E6</v>
      </c>
      <c r="F14" s="154">
        <v>46136</v>
      </c>
      <c r="G14" s="147" t="s">
        <v>222</v>
      </c>
      <c r="H14" s="147">
        <v>13</v>
      </c>
      <c r="I14" s="147">
        <v>5</v>
      </c>
      <c r="J14" s="165">
        <v>0.48888888888888887</v>
      </c>
      <c r="K14" s="165" t="s">
        <v>934</v>
      </c>
      <c r="L14" s="165">
        <v>0.4777777777777778</v>
      </c>
      <c r="M14" s="147">
        <v>3</v>
      </c>
      <c r="N14" s="147" t="str">
        <f>_xlfn.TEXTJOIN("_",TRUE,Control_1[[#This Row],[Batch_ID]],Control_1[[#This Row],[Ex_lot]],Control_1[[#This Row],[Ex_lot2]])</f>
        <v>1_Jan_Control_5_3</v>
      </c>
      <c r="O14" s="147">
        <v>0</v>
      </c>
      <c r="AY14" s="165">
        <v>0.61875000000000002</v>
      </c>
      <c r="AZ14" s="147"/>
      <c r="BA14" s="147" t="s">
        <v>227</v>
      </c>
      <c r="BB14" s="147"/>
      <c r="BC14" s="147"/>
      <c r="BG14" s="147"/>
      <c r="BK14" s="147"/>
      <c r="BO14" s="147"/>
      <c r="BS14" s="147"/>
      <c r="BW14" s="147"/>
      <c r="BZ14" s="147"/>
      <c r="CA14" s="147"/>
      <c r="CE14" s="147"/>
      <c r="CI14" s="147"/>
      <c r="CM14" s="147"/>
      <c r="CQ14" s="147"/>
      <c r="CU14" s="147"/>
      <c r="CY14" s="147"/>
      <c r="DC14" s="147"/>
      <c r="DG14" s="147"/>
      <c r="DK14" s="147"/>
      <c r="DO14" s="147"/>
      <c r="DS14" s="147"/>
      <c r="DW14" s="147"/>
      <c r="EA14" s="147"/>
      <c r="EE14" s="147"/>
      <c r="EI14" s="147"/>
      <c r="EM14" s="147"/>
      <c r="EQ14" s="147"/>
      <c r="EU14" s="147"/>
      <c r="EY14" s="147"/>
      <c r="FC14" s="147"/>
      <c r="FG14" s="147"/>
      <c r="FK14" s="147"/>
      <c r="FO14" s="147"/>
      <c r="FS14" s="147"/>
      <c r="FW14" s="147"/>
      <c r="GA14" s="147"/>
      <c r="GE14" s="147"/>
      <c r="GI14" s="147"/>
    </row>
    <row r="15" spans="1:329" x14ac:dyDescent="0.25">
      <c r="A15" s="147">
        <v>1</v>
      </c>
      <c r="B15" s="153" t="s">
        <v>302</v>
      </c>
      <c r="C15" s="147" t="s">
        <v>299</v>
      </c>
      <c r="D15" s="147" t="str">
        <f>_xlfn.CONCAT(Control_1[[#This Row],[Day]], "_", Control_1[[#This Row],[Operator]], "_", Control_1[[#This Row],[Group]])</f>
        <v>1_Jan_Control</v>
      </c>
      <c r="E15" s="147" t="str">
        <f t="shared" si="0"/>
        <v>E6</v>
      </c>
      <c r="F15" s="154">
        <v>46136</v>
      </c>
      <c r="G15" s="147" t="s">
        <v>222</v>
      </c>
      <c r="H15" s="147">
        <v>14</v>
      </c>
      <c r="I15" s="147">
        <v>6</v>
      </c>
      <c r="J15" s="165">
        <v>0.50069444444444444</v>
      </c>
      <c r="K15" s="165">
        <v>0.4777777777777778</v>
      </c>
      <c r="L15" s="165">
        <v>0.48958333333333331</v>
      </c>
      <c r="M15" s="147">
        <v>1</v>
      </c>
      <c r="N15" s="147" t="str">
        <f>_xlfn.TEXTJOIN("_",TRUE,Control_1[[#This Row],[Batch_ID]],Control_1[[#This Row],[Ex_lot]],Control_1[[#This Row],[Ex_lot2]])</f>
        <v>1_Jan_Control_6_1</v>
      </c>
      <c r="O15" s="147">
        <v>0</v>
      </c>
      <c r="AY15" s="165">
        <v>0.62013888888888891</v>
      </c>
      <c r="AZ15" s="147"/>
      <c r="BA15" s="147" t="s">
        <v>227</v>
      </c>
      <c r="BB15" s="147"/>
      <c r="BC15" s="147"/>
      <c r="BG15" s="147"/>
      <c r="BK15" s="147"/>
      <c r="BO15" s="147"/>
      <c r="BS15" s="147"/>
      <c r="BW15" s="147"/>
      <c r="BZ15" s="147"/>
      <c r="CA15" s="147"/>
      <c r="CE15" s="147"/>
      <c r="CI15" s="147"/>
      <c r="CM15" s="147"/>
      <c r="CQ15" s="147"/>
      <c r="CU15" s="147"/>
      <c r="CY15" s="147"/>
      <c r="DC15" s="147"/>
      <c r="DG15" s="147"/>
      <c r="DK15" s="147"/>
      <c r="DO15" s="147"/>
      <c r="DS15" s="147"/>
      <c r="DW15" s="147"/>
      <c r="EA15" s="147"/>
      <c r="EE15" s="147"/>
      <c r="EI15" s="147"/>
      <c r="EM15" s="147"/>
      <c r="EQ15" s="147"/>
      <c r="EU15" s="147"/>
      <c r="EY15" s="147"/>
      <c r="FC15" s="147"/>
      <c r="FG15" s="147"/>
      <c r="FK15" s="147"/>
      <c r="FO15" s="147"/>
      <c r="FS15" s="147"/>
      <c r="FW15" s="147"/>
      <c r="GA15" s="147"/>
      <c r="GE15" s="147"/>
      <c r="GI15" s="147"/>
    </row>
    <row r="16" spans="1:329" x14ac:dyDescent="0.25">
      <c r="A16" s="147">
        <v>1</v>
      </c>
      <c r="B16" s="153" t="s">
        <v>302</v>
      </c>
      <c r="C16" s="147" t="s">
        <v>299</v>
      </c>
      <c r="D16" s="147" t="str">
        <f>_xlfn.CONCAT(Control_1[[#This Row],[Day]], "_", Control_1[[#This Row],[Operator]], "_", Control_1[[#This Row],[Group]])</f>
        <v>1_Jan_Control</v>
      </c>
      <c r="E16" s="147" t="str">
        <f t="shared" si="0"/>
        <v>E6</v>
      </c>
      <c r="F16" s="154">
        <v>46136</v>
      </c>
      <c r="G16" s="147" t="s">
        <v>222</v>
      </c>
      <c r="H16" s="147">
        <v>15</v>
      </c>
      <c r="I16" s="147">
        <v>6</v>
      </c>
      <c r="J16" s="165">
        <v>0.50069444444444444</v>
      </c>
      <c r="K16" s="165">
        <v>0.4777777777777778</v>
      </c>
      <c r="L16" s="165">
        <v>0.48958333333333331</v>
      </c>
      <c r="M16" s="147">
        <v>2</v>
      </c>
      <c r="N16" s="147" t="str">
        <f>_xlfn.TEXTJOIN("_",TRUE,Control_1[[#This Row],[Batch_ID]],Control_1[[#This Row],[Ex_lot]],Control_1[[#This Row],[Ex_lot2]])</f>
        <v>1_Jan_Control_6_2</v>
      </c>
      <c r="O16" s="147">
        <v>0</v>
      </c>
      <c r="AY16" s="165">
        <v>0.62013888888888891</v>
      </c>
      <c r="AZ16" s="147"/>
      <c r="BA16" s="147" t="s">
        <v>227</v>
      </c>
      <c r="BB16" s="147"/>
      <c r="BC16" s="147"/>
      <c r="BG16" s="147"/>
      <c r="BK16" s="147"/>
      <c r="BO16" s="147"/>
      <c r="BS16" s="147"/>
      <c r="BW16" s="147"/>
      <c r="BZ16" s="147"/>
      <c r="CA16" s="147"/>
      <c r="CE16" s="147"/>
      <c r="CI16" s="147"/>
      <c r="CM16" s="147"/>
      <c r="CQ16" s="147"/>
      <c r="CU16" s="147"/>
      <c r="CY16" s="147"/>
      <c r="DC16" s="147"/>
      <c r="DG16" s="147"/>
      <c r="DK16" s="147"/>
      <c r="DO16" s="147"/>
      <c r="DS16" s="147"/>
      <c r="DW16" s="147"/>
      <c r="EA16" s="147"/>
      <c r="EE16" s="147"/>
      <c r="EI16" s="147"/>
      <c r="EM16" s="147"/>
      <c r="EQ16" s="147"/>
      <c r="EU16" s="147"/>
      <c r="EY16" s="147"/>
      <c r="FC16" s="147"/>
      <c r="FG16" s="147"/>
      <c r="FK16" s="147"/>
      <c r="FO16" s="147"/>
      <c r="FS16" s="147"/>
      <c r="FW16" s="147"/>
      <c r="GA16" s="147"/>
      <c r="GE16" s="147"/>
      <c r="GI16" s="147"/>
    </row>
    <row r="17" spans="1:191" x14ac:dyDescent="0.25">
      <c r="A17" s="147">
        <v>1</v>
      </c>
      <c r="B17" s="153" t="s">
        <v>302</v>
      </c>
      <c r="C17" s="147" t="s">
        <v>299</v>
      </c>
      <c r="D17" s="147" t="str">
        <f>_xlfn.CONCAT(Control_1[[#This Row],[Day]], "_", Control_1[[#This Row],[Operator]], "_", Control_1[[#This Row],[Group]])</f>
        <v>1_Jan_Control</v>
      </c>
      <c r="E17" s="147" t="str">
        <f t="shared" si="0"/>
        <v>E6</v>
      </c>
      <c r="F17" s="154">
        <v>46136</v>
      </c>
      <c r="G17" s="147" t="s">
        <v>222</v>
      </c>
      <c r="H17" s="147">
        <v>16</v>
      </c>
      <c r="I17" s="147">
        <v>6</v>
      </c>
      <c r="J17" s="165">
        <v>0.50069444444444444</v>
      </c>
      <c r="K17" s="165">
        <v>0.4777777777777778</v>
      </c>
      <c r="L17" s="165">
        <v>0.48958333333333331</v>
      </c>
      <c r="M17" s="147">
        <v>3</v>
      </c>
      <c r="N17" s="147" t="str">
        <f>_xlfn.TEXTJOIN("_",TRUE,Control_1[[#This Row],[Batch_ID]],Control_1[[#This Row],[Ex_lot]],Control_1[[#This Row],[Ex_lot2]])</f>
        <v>1_Jan_Control_6_3</v>
      </c>
      <c r="O17" s="147">
        <v>0</v>
      </c>
      <c r="AY17" s="165">
        <v>0.62013888888888891</v>
      </c>
      <c r="AZ17" s="147"/>
      <c r="BA17" s="147" t="s">
        <v>227</v>
      </c>
      <c r="BB17" s="147"/>
      <c r="BC17" s="147"/>
      <c r="BG17" s="147"/>
      <c r="BK17" s="147"/>
      <c r="BO17" s="147"/>
      <c r="BS17" s="147"/>
      <c r="BW17" s="147"/>
      <c r="BZ17" s="147"/>
      <c r="CA17" s="147"/>
      <c r="CE17" s="147"/>
      <c r="CI17" s="147"/>
      <c r="CM17" s="147"/>
      <c r="CQ17" s="147"/>
      <c r="CU17" s="147"/>
      <c r="CY17" s="147"/>
      <c r="DC17" s="147"/>
      <c r="DG17" s="147"/>
      <c r="DK17" s="147"/>
      <c r="DO17" s="147"/>
      <c r="DS17" s="147"/>
      <c r="DW17" s="147"/>
      <c r="EA17" s="147"/>
      <c r="EE17" s="147"/>
      <c r="EI17" s="147"/>
      <c r="EM17" s="147"/>
      <c r="EQ17" s="147"/>
      <c r="EU17" s="147"/>
      <c r="EY17" s="147"/>
      <c r="FC17" s="147"/>
      <c r="FG17" s="147"/>
      <c r="FK17" s="147"/>
      <c r="FO17" s="147"/>
      <c r="FS17" s="147"/>
      <c r="FW17" s="147"/>
      <c r="GA17" s="147"/>
      <c r="GE17" s="147"/>
      <c r="GI17" s="147"/>
    </row>
    <row r="18" spans="1:191" x14ac:dyDescent="0.25">
      <c r="A18" s="147">
        <v>1</v>
      </c>
      <c r="B18" s="153" t="s">
        <v>302</v>
      </c>
      <c r="C18" s="147" t="s">
        <v>299</v>
      </c>
      <c r="D18" s="147" t="str">
        <f>_xlfn.CONCAT(Control_1[[#This Row],[Day]], "_", Control_1[[#This Row],[Operator]], "_", Control_1[[#This Row],[Group]])</f>
        <v>1_Jan_Control</v>
      </c>
      <c r="E18" s="147" t="str">
        <f t="shared" si="0"/>
        <v>E6</v>
      </c>
      <c r="F18" s="154">
        <v>46136</v>
      </c>
      <c r="G18" s="147" t="s">
        <v>222</v>
      </c>
      <c r="H18" s="147">
        <v>17</v>
      </c>
      <c r="I18" s="147">
        <v>7</v>
      </c>
      <c r="J18" s="165">
        <v>0.50069444444444444</v>
      </c>
      <c r="K18" s="165">
        <v>0.49027777777777776</v>
      </c>
      <c r="L18" s="165">
        <v>0.49652777777777779</v>
      </c>
      <c r="M18" s="147">
        <v>1</v>
      </c>
      <c r="N18" s="147" t="str">
        <f>_xlfn.TEXTJOIN("_",TRUE,Control_1[[#This Row],[Batch_ID]],Control_1[[#This Row],[Ex_lot]],Control_1[[#This Row],[Ex_lot2]])</f>
        <v>1_Jan_Control_7_1</v>
      </c>
      <c r="P18" s="147">
        <v>1</v>
      </c>
      <c r="AZ18" s="147"/>
      <c r="BA18" s="147"/>
      <c r="BB18" s="147"/>
      <c r="BC18" s="157">
        <v>15</v>
      </c>
      <c r="BF18" s="155" t="s">
        <v>229</v>
      </c>
      <c r="BG18" s="147"/>
      <c r="BK18" s="147"/>
      <c r="BO18" s="147"/>
      <c r="BS18" s="147"/>
      <c r="BW18" s="147"/>
      <c r="BZ18" s="147"/>
      <c r="CA18" s="147"/>
      <c r="CE18" s="147"/>
      <c r="CI18" s="147"/>
      <c r="CM18" s="147"/>
      <c r="CQ18" s="147"/>
      <c r="CU18" s="147"/>
      <c r="CY18" s="147"/>
      <c r="DC18" s="147"/>
      <c r="DG18" s="147"/>
      <c r="DK18" s="147"/>
      <c r="DO18" s="147"/>
      <c r="DS18" s="147"/>
      <c r="DW18" s="147"/>
      <c r="EA18" s="147"/>
      <c r="EE18" s="147"/>
      <c r="EI18" s="147"/>
      <c r="EM18" s="147"/>
      <c r="EQ18" s="147"/>
      <c r="EU18" s="147"/>
      <c r="EY18" s="147"/>
      <c r="FC18" s="147"/>
      <c r="FG18" s="147"/>
      <c r="FK18" s="147"/>
      <c r="FO18" s="147"/>
      <c r="FS18" s="147"/>
      <c r="FW18" s="147"/>
      <c r="GA18" s="147"/>
      <c r="GE18" s="147"/>
      <c r="GI18" s="147"/>
    </row>
    <row r="19" spans="1:191" x14ac:dyDescent="0.25">
      <c r="A19" s="147">
        <v>1</v>
      </c>
      <c r="B19" s="153" t="s">
        <v>302</v>
      </c>
      <c r="C19" s="147" t="s">
        <v>299</v>
      </c>
      <c r="D19" s="147" t="str">
        <f>_xlfn.CONCAT(Control_1[[#This Row],[Day]], "_", Control_1[[#This Row],[Operator]], "_", Control_1[[#This Row],[Group]])</f>
        <v>1_Jan_Control</v>
      </c>
      <c r="E19" s="147" t="str">
        <f t="shared" si="0"/>
        <v>E6</v>
      </c>
      <c r="F19" s="154">
        <v>46136</v>
      </c>
      <c r="G19" s="147" t="s">
        <v>222</v>
      </c>
      <c r="H19" s="147">
        <v>18</v>
      </c>
      <c r="I19" s="147">
        <v>7</v>
      </c>
      <c r="J19" s="165">
        <v>0.50069444444444444</v>
      </c>
      <c r="K19" s="165">
        <v>0.49027777777777776</v>
      </c>
      <c r="L19" s="165">
        <v>0.49652777777777779</v>
      </c>
      <c r="M19" s="147">
        <v>2</v>
      </c>
      <c r="N19" s="147" t="str">
        <f>_xlfn.TEXTJOIN("_",TRUE,Control_1[[#This Row],[Batch_ID]],Control_1[[#This Row],[Ex_lot]],Control_1[[#This Row],[Ex_lot2]])</f>
        <v>1_Jan_Control_7_2</v>
      </c>
      <c r="O19" s="147">
        <v>0</v>
      </c>
      <c r="AY19" s="165">
        <v>0.625</v>
      </c>
      <c r="AZ19" s="147"/>
      <c r="BA19" s="147" t="s">
        <v>227</v>
      </c>
      <c r="BB19" s="147"/>
      <c r="BC19" s="147"/>
      <c r="BG19" s="147"/>
      <c r="BK19" s="147"/>
      <c r="BO19" s="147"/>
      <c r="BS19" s="147"/>
      <c r="BW19" s="147"/>
      <c r="BZ19" s="147"/>
      <c r="CA19" s="147"/>
      <c r="CE19" s="147"/>
      <c r="CI19" s="147"/>
      <c r="CM19" s="147"/>
      <c r="CQ19" s="147"/>
      <c r="CU19" s="147"/>
      <c r="CY19" s="147"/>
      <c r="DC19" s="147"/>
      <c r="DG19" s="147"/>
      <c r="DK19" s="147"/>
      <c r="DO19" s="147"/>
      <c r="DS19" s="147"/>
      <c r="DW19" s="147"/>
      <c r="EA19" s="147"/>
      <c r="EE19" s="147"/>
      <c r="EI19" s="147"/>
      <c r="EM19" s="147"/>
      <c r="EQ19" s="147"/>
      <c r="EU19" s="147"/>
      <c r="EY19" s="147"/>
      <c r="FC19" s="147"/>
      <c r="FG19" s="147"/>
      <c r="FK19" s="147"/>
      <c r="FO19" s="147"/>
      <c r="FS19" s="147"/>
      <c r="FW19" s="147"/>
      <c r="GA19" s="147"/>
      <c r="GE19" s="147"/>
      <c r="GI19" s="147"/>
    </row>
    <row r="20" spans="1:191" x14ac:dyDescent="0.25">
      <c r="A20" s="147">
        <v>1</v>
      </c>
      <c r="B20" s="153" t="s">
        <v>302</v>
      </c>
      <c r="C20" s="147" t="s">
        <v>299</v>
      </c>
      <c r="D20" s="147" t="str">
        <f>_xlfn.CONCAT(Control_1[[#This Row],[Day]], "_", Control_1[[#This Row],[Operator]], "_", Control_1[[#This Row],[Group]])</f>
        <v>1_Jan_Control</v>
      </c>
      <c r="E20" s="147" t="str">
        <f t="shared" si="0"/>
        <v>E6</v>
      </c>
      <c r="F20" s="154">
        <v>46136</v>
      </c>
      <c r="G20" s="147" t="s">
        <v>222</v>
      </c>
      <c r="H20" s="147">
        <v>19</v>
      </c>
      <c r="I20" s="147">
        <v>7</v>
      </c>
      <c r="J20" s="165">
        <v>0.50069444444444444</v>
      </c>
      <c r="K20" s="165">
        <v>0.49027777777777776</v>
      </c>
      <c r="L20" s="165">
        <v>0.49652777777777779</v>
      </c>
      <c r="M20" s="147">
        <v>3</v>
      </c>
      <c r="N20" s="147" t="str">
        <f>_xlfn.TEXTJOIN("_",TRUE,Control_1[[#This Row],[Batch_ID]],Control_1[[#This Row],[Ex_lot]],Control_1[[#This Row],[Ex_lot2]])</f>
        <v>1_Jan_Control_7_3</v>
      </c>
      <c r="W20" s="147">
        <v>1</v>
      </c>
      <c r="X20" s="147">
        <v>1</v>
      </c>
      <c r="AB20" s="147">
        <v>1</v>
      </c>
      <c r="AH20" s="147">
        <v>1</v>
      </c>
      <c r="AJ20" s="147">
        <v>1</v>
      </c>
      <c r="AK20" s="147">
        <v>1</v>
      </c>
      <c r="AL20" s="147">
        <v>0</v>
      </c>
      <c r="AZ20" s="147"/>
      <c r="BA20" s="147"/>
      <c r="BB20" s="147"/>
      <c r="BC20" s="147"/>
      <c r="BG20" s="147"/>
      <c r="BK20" s="147"/>
      <c r="BO20" s="147"/>
      <c r="BS20" s="147"/>
      <c r="BW20" s="147"/>
      <c r="BZ20" s="147"/>
      <c r="CA20" s="147"/>
      <c r="CE20" s="164">
        <v>0.62361111111111112</v>
      </c>
      <c r="CH20" s="156" t="s">
        <v>226</v>
      </c>
      <c r="CI20" s="164">
        <v>0.6743055555555556</v>
      </c>
      <c r="CL20" s="156" t="s">
        <v>226</v>
      </c>
      <c r="CM20" s="147"/>
      <c r="CQ20" s="147"/>
      <c r="CU20" s="147"/>
      <c r="CY20" s="164">
        <v>0.7993055555555556</v>
      </c>
      <c r="DB20" s="156" t="s">
        <v>226</v>
      </c>
      <c r="DC20" s="147"/>
      <c r="DG20" s="147"/>
      <c r="DK20" s="147"/>
      <c r="DO20" s="147"/>
      <c r="DS20" s="147"/>
      <c r="DW20" s="157" t="s">
        <v>943</v>
      </c>
      <c r="DZ20" s="156" t="s">
        <v>226</v>
      </c>
      <c r="EA20" s="147"/>
      <c r="EE20" s="157">
        <v>13</v>
      </c>
      <c r="EH20" s="156" t="s">
        <v>229</v>
      </c>
      <c r="EI20" s="157">
        <v>16</v>
      </c>
      <c r="EL20" s="156" t="s">
        <v>229</v>
      </c>
      <c r="EM20" s="157">
        <v>9</v>
      </c>
      <c r="EQ20" s="147"/>
      <c r="EU20" s="147"/>
      <c r="EY20" s="147"/>
      <c r="FC20" s="147"/>
      <c r="FG20" s="147"/>
      <c r="FK20" s="147"/>
      <c r="FO20" s="147"/>
      <c r="FS20" s="147"/>
      <c r="FW20" s="147"/>
      <c r="GA20" s="147"/>
      <c r="GE20" s="147"/>
      <c r="GI20" s="147"/>
    </row>
    <row r="21" spans="1:191" x14ac:dyDescent="0.25">
      <c r="A21" s="147">
        <v>1</v>
      </c>
      <c r="B21" s="153" t="s">
        <v>302</v>
      </c>
      <c r="C21" s="147" t="s">
        <v>299</v>
      </c>
      <c r="D21" s="147" t="str">
        <f>_xlfn.CONCAT(Control_1[[#This Row],[Day]], "_", Control_1[[#This Row],[Operator]], "_", Control_1[[#This Row],[Group]])</f>
        <v>1_Jan_Control</v>
      </c>
      <c r="E21" s="147" t="str">
        <f t="shared" si="0"/>
        <v>E6</v>
      </c>
      <c r="F21" s="154">
        <v>46136</v>
      </c>
      <c r="G21" s="147" t="s">
        <v>222</v>
      </c>
      <c r="H21" s="147">
        <v>20</v>
      </c>
      <c r="I21" s="147">
        <v>8</v>
      </c>
      <c r="J21" s="165">
        <v>0.5229166666666667</v>
      </c>
      <c r="K21" s="165">
        <v>0.50208333333333333</v>
      </c>
      <c r="L21" s="165">
        <v>0.51111111111111107</v>
      </c>
      <c r="M21" s="147">
        <v>1</v>
      </c>
      <c r="N21" s="147" t="str">
        <f>_xlfn.TEXTJOIN("_",TRUE,Control_1[[#This Row],[Batch_ID]],Control_1[[#This Row],[Ex_lot]],Control_1[[#This Row],[Ex_lot2]])</f>
        <v>1_Jan_Control_8_1</v>
      </c>
      <c r="O21" s="147">
        <v>0</v>
      </c>
      <c r="AY21" s="165">
        <v>0.62708333333333333</v>
      </c>
      <c r="AZ21" s="147"/>
      <c r="BA21" s="147" t="s">
        <v>227</v>
      </c>
      <c r="BB21" s="147"/>
      <c r="BC21" s="147"/>
      <c r="BG21" s="147"/>
      <c r="BK21" s="147"/>
      <c r="BO21" s="147"/>
      <c r="BS21" s="147"/>
      <c r="BW21" s="147"/>
      <c r="BZ21" s="147"/>
      <c r="CA21" s="147"/>
      <c r="CE21" s="147"/>
      <c r="CI21" s="147"/>
      <c r="CM21" s="147"/>
      <c r="CQ21" s="147"/>
      <c r="CU21" s="147"/>
      <c r="CY21" s="147"/>
      <c r="DC21" s="147"/>
      <c r="DG21" s="147"/>
      <c r="DK21" s="147"/>
      <c r="DO21" s="147"/>
      <c r="DS21" s="147"/>
      <c r="DW21" s="147"/>
      <c r="EA21" s="147"/>
      <c r="EE21" s="147"/>
      <c r="EI21" s="147"/>
      <c r="EM21" s="147"/>
      <c r="EQ21" s="147"/>
      <c r="EU21" s="147"/>
      <c r="EY21" s="147"/>
      <c r="FC21" s="147"/>
      <c r="FG21" s="147"/>
      <c r="FK21" s="147"/>
      <c r="FO21" s="147"/>
      <c r="FS21" s="147"/>
      <c r="FW21" s="147"/>
      <c r="GA21" s="147"/>
      <c r="GE21" s="147"/>
      <c r="GI21" s="147"/>
    </row>
    <row r="22" spans="1:191" x14ac:dyDescent="0.25">
      <c r="A22" s="147">
        <v>1</v>
      </c>
      <c r="B22" s="153" t="s">
        <v>302</v>
      </c>
      <c r="C22" s="147" t="s">
        <v>299</v>
      </c>
      <c r="D22" s="147" t="str">
        <f>_xlfn.CONCAT(Control_1[[#This Row],[Day]], "_", Control_1[[#This Row],[Operator]], "_", Control_1[[#This Row],[Group]])</f>
        <v>1_Jan_Control</v>
      </c>
      <c r="E22" s="147" t="str">
        <f t="shared" si="0"/>
        <v>E6</v>
      </c>
      <c r="F22" s="154">
        <v>46136</v>
      </c>
      <c r="G22" s="147" t="s">
        <v>222</v>
      </c>
      <c r="H22" s="147">
        <v>21</v>
      </c>
      <c r="I22" s="147">
        <v>8</v>
      </c>
      <c r="J22" s="165">
        <v>0.5229166666666667</v>
      </c>
      <c r="K22" s="165">
        <v>0.50208333333333333</v>
      </c>
      <c r="L22" s="165">
        <v>0.51111111111111107</v>
      </c>
      <c r="M22" s="147">
        <v>2</v>
      </c>
      <c r="N22" s="147" t="str">
        <f>_xlfn.TEXTJOIN("_",TRUE,Control_1[[#This Row],[Batch_ID]],Control_1[[#This Row],[Ex_lot]],Control_1[[#This Row],[Ex_lot2]])</f>
        <v>1_Jan_Control_8_2</v>
      </c>
      <c r="P22" s="147">
        <v>1</v>
      </c>
      <c r="AZ22" s="147"/>
      <c r="BA22" s="147"/>
      <c r="BB22" s="147"/>
      <c r="BC22" s="164">
        <v>0.62708333333333333</v>
      </c>
      <c r="BF22" s="155" t="s">
        <v>229</v>
      </c>
      <c r="BG22" s="147"/>
      <c r="BK22" s="147"/>
      <c r="BO22" s="147"/>
      <c r="BS22" s="147"/>
      <c r="BW22" s="147"/>
      <c r="BZ22" s="147"/>
      <c r="CA22" s="147"/>
      <c r="CE22" s="147"/>
      <c r="CI22" s="147"/>
      <c r="CM22" s="147"/>
      <c r="CQ22" s="147"/>
      <c r="CU22" s="147"/>
      <c r="CY22" s="147"/>
      <c r="DC22" s="147"/>
      <c r="DG22" s="147"/>
      <c r="DK22" s="147"/>
      <c r="DO22" s="147"/>
      <c r="DS22" s="147"/>
      <c r="DW22" s="147"/>
      <c r="EA22" s="147"/>
      <c r="EE22" s="147"/>
      <c r="EI22" s="147"/>
      <c r="EM22" s="147"/>
      <c r="EQ22" s="147"/>
      <c r="EU22" s="147"/>
      <c r="EY22" s="147"/>
      <c r="FC22" s="147"/>
      <c r="FG22" s="147"/>
      <c r="FK22" s="147"/>
      <c r="FO22" s="147"/>
      <c r="FS22" s="147"/>
      <c r="FW22" s="147"/>
      <c r="GA22" s="147"/>
      <c r="GE22" s="147"/>
      <c r="GI22" s="147"/>
    </row>
    <row r="23" spans="1:191" x14ac:dyDescent="0.25">
      <c r="A23" s="147">
        <v>1</v>
      </c>
      <c r="B23" s="153" t="s">
        <v>302</v>
      </c>
      <c r="C23" s="147" t="s">
        <v>299</v>
      </c>
      <c r="D23" s="147" t="str">
        <f>_xlfn.CONCAT(Control_1[[#This Row],[Day]], "_", Control_1[[#This Row],[Operator]], "_", Control_1[[#This Row],[Group]])</f>
        <v>1_Jan_Control</v>
      </c>
      <c r="E23" s="147" t="str">
        <f t="shared" si="0"/>
        <v>E6</v>
      </c>
      <c r="F23" s="154">
        <v>46136</v>
      </c>
      <c r="G23" s="147" t="s">
        <v>222</v>
      </c>
      <c r="H23" s="147">
        <v>22</v>
      </c>
      <c r="I23" s="147">
        <v>8</v>
      </c>
      <c r="J23" s="165">
        <v>0.5229166666666667</v>
      </c>
      <c r="K23" s="165">
        <v>0.50208333333333333</v>
      </c>
      <c r="L23" s="165">
        <v>0.51111111111111107</v>
      </c>
      <c r="M23" s="147">
        <v>3</v>
      </c>
      <c r="N23" s="147" t="str">
        <f>_xlfn.TEXTJOIN("_",TRUE,Control_1[[#This Row],[Batch_ID]],Control_1[[#This Row],[Ex_lot]],Control_1[[#This Row],[Ex_lot2]])</f>
        <v>1_Jan_Control_8_3</v>
      </c>
      <c r="O23" s="147">
        <v>0</v>
      </c>
      <c r="AY23" s="165">
        <v>0.62708333333333333</v>
      </c>
      <c r="AZ23" s="147"/>
      <c r="BA23" s="147" t="s">
        <v>227</v>
      </c>
      <c r="BB23" s="147"/>
      <c r="BC23" s="147"/>
      <c r="BG23" s="147"/>
      <c r="BK23" s="147"/>
      <c r="BO23" s="147"/>
      <c r="BS23" s="147"/>
      <c r="BW23" s="147"/>
      <c r="BZ23" s="147"/>
      <c r="CA23" s="147"/>
      <c r="CE23" s="147"/>
      <c r="CI23" s="147"/>
      <c r="CM23" s="147"/>
      <c r="CQ23" s="147"/>
      <c r="CU23" s="147"/>
      <c r="CY23" s="147"/>
      <c r="DC23" s="147"/>
      <c r="DG23" s="147"/>
      <c r="DK23" s="147"/>
      <c r="DO23" s="147"/>
      <c r="DS23" s="147"/>
      <c r="DW23" s="147"/>
      <c r="EA23" s="147"/>
      <c r="EE23" s="147"/>
      <c r="EI23" s="147"/>
      <c r="EM23" s="147"/>
      <c r="EQ23" s="147"/>
      <c r="EU23" s="147"/>
      <c r="EY23" s="147"/>
      <c r="FC23" s="147"/>
      <c r="FG23" s="147"/>
      <c r="FK23" s="147"/>
      <c r="FO23" s="147"/>
      <c r="FS23" s="147"/>
      <c r="FW23" s="147"/>
      <c r="GA23" s="147"/>
      <c r="GE23" s="147"/>
      <c r="GI23" s="147"/>
    </row>
    <row r="24" spans="1:191" x14ac:dyDescent="0.25">
      <c r="A24" s="147">
        <v>1</v>
      </c>
      <c r="B24" s="153" t="s">
        <v>302</v>
      </c>
      <c r="C24" s="147" t="s">
        <v>299</v>
      </c>
      <c r="D24" s="147" t="str">
        <f>_xlfn.CONCAT(Control_1[[#This Row],[Day]], "_", Control_1[[#This Row],[Operator]], "_", Control_1[[#This Row],[Group]])</f>
        <v>1_Jan_Control</v>
      </c>
      <c r="E24" s="147" t="str">
        <f t="shared" si="0"/>
        <v>E6</v>
      </c>
      <c r="F24" s="154">
        <v>46136</v>
      </c>
      <c r="G24" s="147" t="s">
        <v>222</v>
      </c>
      <c r="H24" s="147">
        <v>23</v>
      </c>
      <c r="I24" s="147">
        <v>9</v>
      </c>
      <c r="J24" s="165">
        <v>0.53125</v>
      </c>
      <c r="K24" s="165">
        <v>0.51249999999999996</v>
      </c>
      <c r="L24" s="165">
        <v>0.52013888888888893</v>
      </c>
      <c r="M24" s="147">
        <v>1</v>
      </c>
      <c r="N24" s="147" t="str">
        <f>_xlfn.TEXTJOIN("_",TRUE,Control_1[[#This Row],[Batch_ID]],Control_1[[#This Row],[Ex_lot]],Control_1[[#This Row],[Ex_lot2]])</f>
        <v>1_Jan_Control_9_1</v>
      </c>
      <c r="O24" s="147">
        <v>0</v>
      </c>
      <c r="AY24" s="165">
        <v>0.62847222222222221</v>
      </c>
      <c r="AZ24" s="147"/>
      <c r="BA24" s="147" t="s">
        <v>227</v>
      </c>
      <c r="BB24" s="147"/>
      <c r="BC24" s="147"/>
      <c r="BG24" s="147"/>
      <c r="BK24" s="147"/>
      <c r="BO24" s="147"/>
      <c r="BS24" s="147"/>
      <c r="BW24" s="147"/>
      <c r="BZ24" s="147"/>
      <c r="CA24" s="147"/>
      <c r="CE24" s="147"/>
      <c r="CI24" s="147"/>
      <c r="CM24" s="147"/>
      <c r="CQ24" s="147"/>
      <c r="CU24" s="147"/>
      <c r="CY24" s="147"/>
      <c r="DC24" s="147"/>
      <c r="DG24" s="147"/>
      <c r="DK24" s="147"/>
      <c r="DO24" s="147"/>
      <c r="DS24" s="147"/>
      <c r="DW24" s="147"/>
      <c r="EA24" s="147"/>
      <c r="EE24" s="147"/>
      <c r="EI24" s="147"/>
      <c r="EM24" s="147"/>
      <c r="EQ24" s="147"/>
      <c r="EU24" s="147"/>
      <c r="EY24" s="147"/>
      <c r="FC24" s="147"/>
      <c r="FG24" s="147"/>
      <c r="FK24" s="147"/>
      <c r="FO24" s="147"/>
      <c r="FS24" s="147"/>
      <c r="FW24" s="147"/>
      <c r="GA24" s="147"/>
      <c r="GE24" s="147"/>
      <c r="GI24" s="147"/>
    </row>
    <row r="25" spans="1:191" x14ac:dyDescent="0.25">
      <c r="A25" s="147">
        <v>1</v>
      </c>
      <c r="B25" s="153" t="s">
        <v>302</v>
      </c>
      <c r="C25" s="147" t="s">
        <v>299</v>
      </c>
      <c r="D25" s="147" t="str">
        <f>_xlfn.CONCAT(Control_1[[#This Row],[Day]], "_", Control_1[[#This Row],[Operator]], "_", Control_1[[#This Row],[Group]])</f>
        <v>1_Jan_Control</v>
      </c>
      <c r="E25" s="147" t="str">
        <f t="shared" si="0"/>
        <v>E6</v>
      </c>
      <c r="F25" s="154">
        <v>46136</v>
      </c>
      <c r="G25" s="147" t="s">
        <v>222</v>
      </c>
      <c r="H25" s="147">
        <v>24</v>
      </c>
      <c r="I25" s="147">
        <v>9</v>
      </c>
      <c r="J25" s="165">
        <v>0.53125</v>
      </c>
      <c r="K25" s="165">
        <v>0.51249999999999996</v>
      </c>
      <c r="L25" s="165">
        <v>0.52013888888888893</v>
      </c>
      <c r="M25" s="147">
        <v>2</v>
      </c>
      <c r="N25" s="147" t="str">
        <f>_xlfn.TEXTJOIN("_",TRUE,Control_1[[#This Row],[Batch_ID]],Control_1[[#This Row],[Ex_lot]],Control_1[[#This Row],[Ex_lot2]])</f>
        <v>1_Jan_Control_9_2</v>
      </c>
      <c r="P25" s="147">
        <v>1</v>
      </c>
      <c r="AZ25" s="147"/>
      <c r="BA25" s="147"/>
      <c r="BB25" s="147"/>
      <c r="BC25" s="164">
        <v>0.62847222222222221</v>
      </c>
      <c r="BF25" s="155" t="s">
        <v>229</v>
      </c>
      <c r="BG25" s="147"/>
      <c r="BK25" s="147"/>
      <c r="BO25" s="147"/>
      <c r="BS25" s="147"/>
      <c r="BW25" s="147"/>
      <c r="BZ25" s="147"/>
      <c r="CA25" s="147"/>
      <c r="CE25" s="147"/>
      <c r="CI25" s="147"/>
      <c r="CM25" s="147"/>
      <c r="CQ25" s="147"/>
      <c r="CU25" s="147"/>
      <c r="CY25" s="147"/>
      <c r="DC25" s="147"/>
      <c r="DG25" s="147"/>
      <c r="DK25" s="147"/>
      <c r="DO25" s="147"/>
      <c r="DS25" s="147"/>
      <c r="DW25" s="147"/>
      <c r="EA25" s="147"/>
      <c r="EE25" s="147"/>
      <c r="EI25" s="147"/>
      <c r="EM25" s="147"/>
      <c r="EQ25" s="147"/>
      <c r="EU25" s="147"/>
      <c r="EY25" s="147"/>
      <c r="FC25" s="147"/>
      <c r="FG25" s="147"/>
      <c r="FK25" s="147"/>
      <c r="FO25" s="147"/>
      <c r="FS25" s="147"/>
      <c r="FW25" s="147"/>
      <c r="GA25" s="147"/>
      <c r="GE25" s="147"/>
      <c r="GI25" s="147"/>
    </row>
    <row r="26" spans="1:191" x14ac:dyDescent="0.25">
      <c r="A26" s="147">
        <v>1</v>
      </c>
      <c r="B26" s="153" t="s">
        <v>302</v>
      </c>
      <c r="C26" s="147" t="s">
        <v>299</v>
      </c>
      <c r="D26" s="147" t="str">
        <f>_xlfn.CONCAT(Control_1[[#This Row],[Day]], "_", Control_1[[#This Row],[Operator]], "_", Control_1[[#This Row],[Group]])</f>
        <v>1_Jan_Control</v>
      </c>
      <c r="E26" s="147" t="str">
        <f t="shared" si="0"/>
        <v>E6</v>
      </c>
      <c r="F26" s="154">
        <v>46136</v>
      </c>
      <c r="G26" s="147" t="s">
        <v>222</v>
      </c>
      <c r="H26" s="147">
        <v>25</v>
      </c>
      <c r="I26" s="147">
        <v>9</v>
      </c>
      <c r="J26" s="165">
        <v>0.53125</v>
      </c>
      <c r="K26" s="165">
        <v>0.51249999999999996</v>
      </c>
      <c r="L26" s="165">
        <v>0.52013888888888893</v>
      </c>
      <c r="M26" s="147">
        <v>3</v>
      </c>
      <c r="N26" s="147" t="str">
        <f>_xlfn.TEXTJOIN("_",TRUE,Control_1[[#This Row],[Batch_ID]],Control_1[[#This Row],[Ex_lot]],Control_1[[#This Row],[Ex_lot2]])</f>
        <v>1_Jan_Control_9_3</v>
      </c>
      <c r="O26" s="147">
        <v>0</v>
      </c>
      <c r="AY26" s="165">
        <v>0.62847222222222221</v>
      </c>
      <c r="AZ26" s="147"/>
      <c r="BA26" s="147" t="s">
        <v>227</v>
      </c>
      <c r="BB26" s="147"/>
      <c r="BC26" s="147"/>
      <c r="BG26" s="147"/>
      <c r="BK26" s="147"/>
      <c r="BO26" s="147"/>
      <c r="BS26" s="147"/>
      <c r="BW26" s="147"/>
      <c r="BZ26" s="147"/>
      <c r="CA26" s="147"/>
      <c r="CE26" s="147"/>
      <c r="CI26" s="147"/>
      <c r="CM26" s="147"/>
      <c r="CQ26" s="147"/>
      <c r="CU26" s="147"/>
      <c r="CY26" s="147"/>
      <c r="DC26" s="147"/>
      <c r="DG26" s="147"/>
      <c r="DK26" s="147"/>
      <c r="DO26" s="147"/>
      <c r="DS26" s="147"/>
      <c r="DW26" s="147"/>
      <c r="EA26" s="147"/>
      <c r="EE26" s="147"/>
      <c r="EI26" s="147"/>
      <c r="EM26" s="147"/>
      <c r="EQ26" s="147"/>
      <c r="EU26" s="147"/>
      <c r="EY26" s="147"/>
      <c r="FC26" s="147"/>
      <c r="FG26" s="147"/>
      <c r="FK26" s="147"/>
      <c r="FO26" s="147"/>
      <c r="FS26" s="147"/>
      <c r="FW26" s="147"/>
      <c r="GA26" s="147"/>
      <c r="GE26" s="147"/>
      <c r="GI26" s="147"/>
    </row>
    <row r="27" spans="1:191" x14ac:dyDescent="0.25">
      <c r="A27" s="147">
        <v>1</v>
      </c>
      <c r="B27" s="153" t="s">
        <v>302</v>
      </c>
      <c r="C27" s="147" t="s">
        <v>299</v>
      </c>
      <c r="D27" s="147" t="str">
        <f>_xlfn.CONCAT(Control_1[[#This Row],[Day]], "_", Control_1[[#This Row],[Operator]], "_", Control_1[[#This Row],[Group]])</f>
        <v>1_Jan_Control</v>
      </c>
      <c r="E27" s="147" t="str">
        <f t="shared" si="0"/>
        <v>E6</v>
      </c>
      <c r="F27" s="154">
        <v>46136</v>
      </c>
      <c r="G27" s="147" t="s">
        <v>222</v>
      </c>
      <c r="H27" s="147">
        <v>26</v>
      </c>
      <c r="I27" s="147">
        <v>10</v>
      </c>
      <c r="J27" s="165">
        <v>0.5395833333333333</v>
      </c>
      <c r="K27" s="165">
        <v>0.50208333333333333</v>
      </c>
      <c r="L27" s="165">
        <v>0.52847222222222223</v>
      </c>
      <c r="M27" s="147">
        <v>1</v>
      </c>
      <c r="N27" s="147" t="str">
        <f>_xlfn.TEXTJOIN("_",TRUE,Control_1[[#This Row],[Batch_ID]],Control_1[[#This Row],[Ex_lot]],Control_1[[#This Row],[Ex_lot2]])</f>
        <v>1_Jan_Control_10_1</v>
      </c>
      <c r="U27" s="147">
        <v>1</v>
      </c>
      <c r="W27" s="147">
        <v>1</v>
      </c>
      <c r="Y27" s="147">
        <v>1</v>
      </c>
      <c r="AA27" s="147">
        <v>1</v>
      </c>
      <c r="AB27" s="147">
        <v>0</v>
      </c>
      <c r="AZ27" s="147"/>
      <c r="BA27" s="147"/>
      <c r="BB27" s="147"/>
      <c r="BC27" s="147"/>
      <c r="BG27" s="147"/>
      <c r="BK27" s="147"/>
      <c r="BO27" s="147"/>
      <c r="BS27" s="147"/>
      <c r="BW27" s="164">
        <v>0.62986111111111109</v>
      </c>
      <c r="BZ27" s="155" t="s">
        <v>229</v>
      </c>
      <c r="CA27" s="147"/>
      <c r="CE27" s="164">
        <v>0.67500000000000004</v>
      </c>
      <c r="CH27" s="155" t="s">
        <v>229</v>
      </c>
      <c r="CI27" s="147"/>
      <c r="CM27" s="164">
        <v>0.7993055555555556</v>
      </c>
      <c r="CP27" s="155" t="s">
        <v>229</v>
      </c>
      <c r="CQ27" s="147"/>
      <c r="CU27" s="157" t="s">
        <v>943</v>
      </c>
      <c r="CX27" s="155" t="s">
        <v>229</v>
      </c>
      <c r="CY27" s="147"/>
      <c r="DA27" s="147" t="s">
        <v>858</v>
      </c>
      <c r="DB27" s="155" t="s">
        <v>229</v>
      </c>
      <c r="DC27" s="147"/>
      <c r="DG27" s="147"/>
      <c r="DK27" s="147"/>
      <c r="DO27" s="147"/>
      <c r="DS27" s="147"/>
      <c r="DW27" s="147"/>
      <c r="EA27" s="147"/>
      <c r="EE27" s="147"/>
      <c r="EI27" s="147"/>
      <c r="EM27" s="147"/>
      <c r="EQ27" s="147"/>
      <c r="EU27" s="147"/>
      <c r="EY27" s="147"/>
      <c r="FC27" s="147"/>
      <c r="FG27" s="147"/>
      <c r="FK27" s="147"/>
      <c r="FO27" s="147"/>
      <c r="FS27" s="147"/>
      <c r="FW27" s="147"/>
      <c r="GA27" s="147"/>
      <c r="GE27" s="147"/>
      <c r="GI27" s="147"/>
    </row>
    <row r="28" spans="1:191" x14ac:dyDescent="0.25">
      <c r="A28" s="147">
        <v>1</v>
      </c>
      <c r="B28" s="153" t="s">
        <v>302</v>
      </c>
      <c r="C28" s="147" t="s">
        <v>299</v>
      </c>
      <c r="D28" s="147" t="str">
        <f>_xlfn.CONCAT(Control_1[[#This Row],[Day]], "_", Control_1[[#This Row],[Operator]], "_", Control_1[[#This Row],[Group]])</f>
        <v>1_Jan_Control</v>
      </c>
      <c r="E28" s="147" t="str">
        <f t="shared" si="0"/>
        <v>E6</v>
      </c>
      <c r="F28" s="154">
        <v>46136</v>
      </c>
      <c r="G28" s="147" t="s">
        <v>222</v>
      </c>
      <c r="H28" s="147">
        <v>27</v>
      </c>
      <c r="I28" s="147">
        <v>10</v>
      </c>
      <c r="J28" s="165">
        <v>0.5395833333333333</v>
      </c>
      <c r="K28" s="165">
        <v>0.50208333333333333</v>
      </c>
      <c r="L28" s="165">
        <v>0.52847222222222223</v>
      </c>
      <c r="M28" s="147">
        <v>2</v>
      </c>
      <c r="N28" s="147" t="str">
        <f>_xlfn.TEXTJOIN("_",TRUE,Control_1[[#This Row],[Batch_ID]],Control_1[[#This Row],[Ex_lot]],Control_1[[#This Row],[Ex_lot2]])</f>
        <v>1_Jan_Control_10_2</v>
      </c>
      <c r="O28" s="147">
        <v>0</v>
      </c>
      <c r="AY28" s="165">
        <v>0.62916666666666665</v>
      </c>
      <c r="AZ28" s="147"/>
      <c r="BA28" s="147" t="s">
        <v>227</v>
      </c>
      <c r="BB28" s="147"/>
      <c r="BC28" s="147"/>
      <c r="BG28" s="147"/>
      <c r="BK28" s="147"/>
      <c r="BO28" s="147"/>
      <c r="BS28" s="147"/>
      <c r="BW28" s="147"/>
      <c r="BZ28" s="147"/>
      <c r="CA28" s="147"/>
      <c r="CE28" s="147"/>
      <c r="CI28" s="147"/>
      <c r="CM28" s="147"/>
      <c r="CQ28" s="147"/>
      <c r="CU28" s="147"/>
      <c r="CY28" s="147"/>
      <c r="DC28" s="147"/>
      <c r="DG28" s="147"/>
      <c r="DK28" s="147"/>
      <c r="DO28" s="147"/>
      <c r="DS28" s="147"/>
      <c r="DW28" s="147"/>
      <c r="EA28" s="147"/>
      <c r="EE28" s="147"/>
      <c r="EI28" s="147"/>
      <c r="EM28" s="147"/>
      <c r="EQ28" s="147"/>
      <c r="EU28" s="147"/>
      <c r="EY28" s="147"/>
      <c r="FC28" s="147"/>
      <c r="FG28" s="147"/>
      <c r="FK28" s="147"/>
      <c r="FO28" s="147"/>
      <c r="FS28" s="147"/>
      <c r="FW28" s="147"/>
      <c r="GA28" s="147"/>
      <c r="GE28" s="147"/>
      <c r="GI28" s="147"/>
    </row>
    <row r="29" spans="1:191" x14ac:dyDescent="0.25">
      <c r="A29" s="147">
        <v>1</v>
      </c>
      <c r="B29" s="153" t="s">
        <v>302</v>
      </c>
      <c r="C29" s="147" t="s">
        <v>299</v>
      </c>
      <c r="D29" s="147" t="str">
        <f>_xlfn.CONCAT(Control_1[[#This Row],[Day]], "_", Control_1[[#This Row],[Operator]], "_", Control_1[[#This Row],[Group]])</f>
        <v>1_Jan_Control</v>
      </c>
      <c r="E29" s="147" t="str">
        <f t="shared" si="0"/>
        <v>E6</v>
      </c>
      <c r="F29" s="154">
        <v>46136</v>
      </c>
      <c r="G29" s="147" t="s">
        <v>222</v>
      </c>
      <c r="H29" s="147">
        <v>28</v>
      </c>
      <c r="I29" s="147">
        <v>10</v>
      </c>
      <c r="J29" s="165">
        <v>0.5395833333333333</v>
      </c>
      <c r="K29" s="165">
        <v>0.50208333333333333</v>
      </c>
      <c r="L29" s="165">
        <v>0.52847222222222223</v>
      </c>
      <c r="M29" s="147">
        <v>3</v>
      </c>
      <c r="N29" s="147" t="str">
        <f>_xlfn.TEXTJOIN("_",TRUE,Control_1[[#This Row],[Batch_ID]],Control_1[[#This Row],[Ex_lot]],Control_1[[#This Row],[Ex_lot2]])</f>
        <v>1_Jan_Control_10_3</v>
      </c>
      <c r="O29" s="147">
        <v>0</v>
      </c>
      <c r="AY29" s="165">
        <v>0.62916666666666665</v>
      </c>
      <c r="AZ29" s="147"/>
      <c r="BA29" s="147" t="s">
        <v>227</v>
      </c>
      <c r="BB29" s="147"/>
      <c r="BC29" s="147"/>
      <c r="BG29" s="147"/>
      <c r="BK29" s="147"/>
      <c r="BO29" s="147"/>
      <c r="BS29" s="147"/>
      <c r="BW29" s="147"/>
      <c r="BZ29" s="147"/>
      <c r="CA29" s="147"/>
      <c r="CE29" s="147"/>
      <c r="CI29" s="147"/>
      <c r="CM29" s="147"/>
      <c r="CQ29" s="147"/>
      <c r="CU29" s="147"/>
      <c r="CY29" s="147"/>
      <c r="DC29" s="147"/>
      <c r="DG29" s="147"/>
      <c r="DK29" s="147"/>
      <c r="DO29" s="147"/>
      <c r="DS29" s="147"/>
      <c r="DW29" s="147"/>
      <c r="EA29" s="147"/>
      <c r="EE29" s="147"/>
      <c r="EI29" s="147"/>
      <c r="EM29" s="147"/>
      <c r="EQ29" s="147"/>
      <c r="EU29" s="147"/>
      <c r="EY29" s="147"/>
      <c r="FC29" s="147"/>
      <c r="FG29" s="147"/>
      <c r="FK29" s="147"/>
      <c r="FO29" s="147"/>
      <c r="FS29" s="147"/>
      <c r="FW29" s="147"/>
      <c r="GA29" s="147"/>
      <c r="GE29" s="147"/>
      <c r="GI29" s="147"/>
    </row>
    <row r="30" spans="1:191" x14ac:dyDescent="0.25">
      <c r="J30" s="154"/>
      <c r="M30" s="147"/>
      <c r="AZ30" s="147"/>
      <c r="BA30" s="147"/>
      <c r="BB30" s="147"/>
      <c r="BZ30" s="147"/>
    </row>
    <row r="31" spans="1:191" x14ac:dyDescent="0.25">
      <c r="J31" s="154"/>
      <c r="M31" s="147"/>
      <c r="AZ31" s="147"/>
      <c r="BA31" s="147"/>
      <c r="BB31" s="147"/>
      <c r="BZ31" s="147"/>
    </row>
    <row r="32" spans="1:191" x14ac:dyDescent="0.25">
      <c r="J32" s="154"/>
      <c r="M32" s="147"/>
      <c r="AZ32" s="147"/>
      <c r="BA32" s="147"/>
      <c r="BB32" s="147"/>
      <c r="BZ32" s="147"/>
    </row>
    <row r="33" spans="3:78" x14ac:dyDescent="0.25">
      <c r="J33" s="154"/>
      <c r="M33" s="147"/>
      <c r="AZ33" s="147"/>
      <c r="BA33" s="147"/>
      <c r="BB33" s="147"/>
      <c r="BZ33" s="147"/>
    </row>
    <row r="34" spans="3:78" s="155" customFormat="1" x14ac:dyDescent="0.25">
      <c r="C34" s="160"/>
      <c r="D34" s="160"/>
      <c r="E34" s="160"/>
      <c r="J34" s="158"/>
      <c r="AY34" s="167"/>
    </row>
    <row r="35" spans="3:78" x14ac:dyDescent="0.25">
      <c r="J35" s="154"/>
      <c r="M35" s="147"/>
      <c r="AZ35" s="147"/>
      <c r="BA35" s="147"/>
      <c r="BB35" s="147"/>
      <c r="BZ35" s="147"/>
    </row>
    <row r="36" spans="3:78" x14ac:dyDescent="0.25">
      <c r="J36" s="154"/>
      <c r="M36" s="147"/>
      <c r="AZ36" s="147"/>
      <c r="BA36" s="147"/>
      <c r="BB36" s="147"/>
      <c r="BZ36" s="147"/>
    </row>
    <row r="37" spans="3:78" x14ac:dyDescent="0.25">
      <c r="J37" s="154"/>
      <c r="M37" s="147"/>
      <c r="AZ37" s="147"/>
      <c r="BA37" s="147"/>
      <c r="BB37" s="147"/>
      <c r="BZ37" s="147"/>
    </row>
    <row r="38" spans="3:78" x14ac:dyDescent="0.25">
      <c r="J38" s="154"/>
      <c r="M38" s="147"/>
      <c r="AZ38" s="147"/>
      <c r="BA38" s="147"/>
      <c r="BB38" s="147"/>
      <c r="BZ38" s="147"/>
    </row>
    <row r="39" spans="3:78" s="155" customFormat="1" x14ac:dyDescent="0.25">
      <c r="C39" s="160"/>
      <c r="D39" s="160"/>
      <c r="E39" s="160"/>
      <c r="J39" s="158"/>
      <c r="AY39" s="167"/>
    </row>
    <row r="40" spans="3:78" x14ac:dyDescent="0.25">
      <c r="J40" s="154"/>
      <c r="M40" s="147"/>
      <c r="AZ40" s="147"/>
      <c r="BA40" s="147"/>
      <c r="BB40" s="147"/>
      <c r="BZ40" s="147"/>
    </row>
    <row r="41" spans="3:78" x14ac:dyDescent="0.25">
      <c r="J41" s="154"/>
      <c r="M41" s="147"/>
      <c r="AZ41" s="147"/>
      <c r="BA41" s="147"/>
      <c r="BB41" s="147"/>
      <c r="BZ41" s="147"/>
    </row>
    <row r="42" spans="3:78" x14ac:dyDescent="0.25">
      <c r="J42" s="154"/>
      <c r="M42" s="147"/>
      <c r="AZ42" s="147"/>
      <c r="BA42" s="147"/>
      <c r="BB42" s="147"/>
      <c r="BZ42" s="147"/>
    </row>
    <row r="43" spans="3:78" x14ac:dyDescent="0.25">
      <c r="J43" s="154"/>
      <c r="M43" s="147"/>
      <c r="AZ43" s="147"/>
      <c r="BA43" s="147"/>
      <c r="BB43" s="147"/>
      <c r="BZ43" s="147"/>
    </row>
    <row r="44" spans="3:78" s="156" customFormat="1" x14ac:dyDescent="0.25">
      <c r="C44" s="161"/>
      <c r="D44" s="161"/>
      <c r="E44" s="161"/>
      <c r="J44" s="159"/>
      <c r="AY44" s="168"/>
    </row>
    <row r="45" spans="3:78" x14ac:dyDescent="0.25">
      <c r="J45" s="154"/>
      <c r="M45" s="147"/>
      <c r="AZ45" s="147"/>
      <c r="BA45" s="147"/>
      <c r="BB45" s="147"/>
      <c r="BZ45" s="147"/>
    </row>
    <row r="46" spans="3:78" x14ac:dyDescent="0.25">
      <c r="J46" s="154"/>
      <c r="M46" s="147"/>
      <c r="AZ46" s="147"/>
      <c r="BA46" s="147"/>
      <c r="BB46" s="147"/>
      <c r="BZ46" s="147"/>
    </row>
    <row r="47" spans="3:78" x14ac:dyDescent="0.25">
      <c r="J47" s="154"/>
      <c r="M47" s="147"/>
      <c r="AZ47" s="147"/>
      <c r="BA47" s="147"/>
      <c r="BB47" s="147"/>
      <c r="BZ47" s="147"/>
    </row>
    <row r="48" spans="3:78" x14ac:dyDescent="0.25">
      <c r="J48" s="154"/>
      <c r="M48" s="147"/>
      <c r="AZ48" s="147"/>
      <c r="BA48" s="147"/>
      <c r="BB48" s="147"/>
      <c r="BZ48" s="147"/>
    </row>
    <row r="49" spans="3:78" s="155" customFormat="1" x14ac:dyDescent="0.25">
      <c r="C49" s="160"/>
      <c r="D49" s="160"/>
      <c r="E49" s="160"/>
      <c r="J49" s="158"/>
      <c r="AY49" s="167"/>
    </row>
    <row r="50" spans="3:78" x14ac:dyDescent="0.25">
      <c r="J50" s="154"/>
      <c r="M50" s="147"/>
      <c r="AZ50" s="147"/>
      <c r="BA50" s="147"/>
      <c r="BB50" s="147"/>
      <c r="BZ50" s="147"/>
    </row>
    <row r="51" spans="3:78" x14ac:dyDescent="0.25">
      <c r="J51" s="154"/>
      <c r="M51" s="147"/>
      <c r="AZ51" s="147"/>
      <c r="BA51" s="147"/>
      <c r="BB51" s="147"/>
      <c r="BZ51" s="147"/>
    </row>
    <row r="52" spans="3:78" x14ac:dyDescent="0.25">
      <c r="J52" s="154"/>
      <c r="M52" s="147"/>
      <c r="AZ52" s="147"/>
      <c r="BA52" s="147"/>
      <c r="BB52" s="147"/>
      <c r="BZ52" s="147"/>
    </row>
    <row r="53" spans="3:78" x14ac:dyDescent="0.25">
      <c r="J53" s="154"/>
      <c r="M53" s="147"/>
      <c r="AZ53" s="147"/>
      <c r="BA53" s="147"/>
      <c r="BB53" s="147"/>
      <c r="BZ53" s="147"/>
    </row>
    <row r="54" spans="3:78" s="155" customFormat="1" x14ac:dyDescent="0.25">
      <c r="C54" s="160"/>
      <c r="D54" s="160"/>
      <c r="E54" s="160"/>
      <c r="J54" s="158"/>
      <c r="AY54" s="167"/>
    </row>
    <row r="55" spans="3:78" x14ac:dyDescent="0.25">
      <c r="J55" s="154"/>
      <c r="M55" s="147"/>
      <c r="AZ55" s="147"/>
      <c r="BA55" s="147"/>
      <c r="BB55" s="147"/>
      <c r="BZ55" s="147"/>
    </row>
    <row r="56" spans="3:78" x14ac:dyDescent="0.25">
      <c r="J56" s="154"/>
      <c r="M56" s="147"/>
      <c r="AZ56" s="147"/>
      <c r="BA56" s="147"/>
      <c r="BB56" s="147"/>
      <c r="BZ56" s="147"/>
    </row>
    <row r="57" spans="3:78" x14ac:dyDescent="0.25">
      <c r="J57" s="154"/>
      <c r="M57" s="147"/>
      <c r="AZ57" s="147"/>
      <c r="BA57" s="147"/>
      <c r="BB57" s="147"/>
      <c r="BZ57" s="147"/>
    </row>
    <row r="58" spans="3:78" x14ac:dyDescent="0.25">
      <c r="J58" s="154"/>
      <c r="M58" s="147"/>
      <c r="AZ58" s="147"/>
      <c r="BA58" s="147"/>
      <c r="BB58" s="147"/>
      <c r="BZ58" s="147"/>
    </row>
    <row r="59" spans="3:78" s="156" customFormat="1" x14ac:dyDescent="0.25">
      <c r="C59" s="161"/>
      <c r="D59" s="161"/>
      <c r="E59" s="161"/>
      <c r="J59" s="159"/>
      <c r="AY59" s="168"/>
    </row>
    <row r="60" spans="3:78" x14ac:dyDescent="0.25">
      <c r="J60" s="154"/>
      <c r="M60" s="147"/>
      <c r="AZ60" s="147"/>
      <c r="BA60" s="147"/>
      <c r="BB60" s="147"/>
      <c r="BZ60" s="147"/>
    </row>
    <row r="61" spans="3:78" x14ac:dyDescent="0.25">
      <c r="J61" s="154"/>
      <c r="M61" s="147"/>
      <c r="AZ61" s="147"/>
      <c r="BA61" s="147"/>
      <c r="BB61" s="147"/>
      <c r="BZ61" s="147"/>
    </row>
    <row r="62" spans="3:78" x14ac:dyDescent="0.25">
      <c r="J62" s="154"/>
      <c r="M62" s="147"/>
      <c r="AZ62" s="147"/>
      <c r="BA62" s="147"/>
      <c r="BB62" s="147"/>
      <c r="BZ62" s="147"/>
    </row>
    <row r="63" spans="3:78" x14ac:dyDescent="0.25">
      <c r="J63" s="154"/>
      <c r="M63" s="147"/>
      <c r="AZ63" s="147"/>
      <c r="BA63" s="147"/>
      <c r="BB63" s="147"/>
      <c r="BZ63" s="147"/>
    </row>
    <row r="64" spans="3:78" s="155" customFormat="1" x14ac:dyDescent="0.25">
      <c r="C64" s="160"/>
      <c r="D64" s="160"/>
      <c r="E64" s="160"/>
      <c r="J64" s="158"/>
      <c r="AY64" s="167"/>
    </row>
    <row r="65" spans="3:78" x14ac:dyDescent="0.25">
      <c r="J65" s="154"/>
      <c r="M65" s="147"/>
      <c r="AZ65" s="147"/>
      <c r="BA65" s="147"/>
      <c r="BB65" s="147"/>
      <c r="BZ65" s="147"/>
    </row>
    <row r="66" spans="3:78" x14ac:dyDescent="0.25">
      <c r="J66" s="154"/>
      <c r="M66" s="147"/>
      <c r="AZ66" s="147"/>
      <c r="BA66" s="147"/>
      <c r="BB66" s="147"/>
      <c r="BZ66" s="147"/>
    </row>
    <row r="67" spans="3:78" x14ac:dyDescent="0.25">
      <c r="J67" s="154"/>
      <c r="M67" s="147"/>
      <c r="AZ67" s="147"/>
      <c r="BA67" s="147"/>
      <c r="BB67" s="147"/>
      <c r="BZ67" s="147"/>
    </row>
    <row r="68" spans="3:78" x14ac:dyDescent="0.25">
      <c r="J68" s="154"/>
      <c r="M68" s="147"/>
      <c r="AZ68" s="147"/>
      <c r="BA68" s="147"/>
      <c r="BB68" s="147"/>
      <c r="BZ68" s="147"/>
    </row>
    <row r="69" spans="3:78" s="155" customFormat="1" x14ac:dyDescent="0.25">
      <c r="C69" s="160"/>
      <c r="D69" s="160"/>
      <c r="E69" s="160"/>
      <c r="J69" s="158"/>
      <c r="AY69" s="167"/>
    </row>
    <row r="70" spans="3:78" x14ac:dyDescent="0.25">
      <c r="J70" s="154"/>
      <c r="M70" s="147"/>
      <c r="AZ70" s="147"/>
      <c r="BA70" s="147"/>
      <c r="BB70" s="147"/>
      <c r="BZ70" s="147"/>
    </row>
    <row r="71" spans="3:78" x14ac:dyDescent="0.25">
      <c r="J71" s="154"/>
      <c r="M71" s="147"/>
      <c r="AZ71" s="147"/>
      <c r="BA71" s="147"/>
      <c r="BB71" s="147"/>
      <c r="BZ71" s="147"/>
    </row>
    <row r="72" spans="3:78" x14ac:dyDescent="0.25">
      <c r="J72" s="154"/>
      <c r="M72" s="147"/>
      <c r="AZ72" s="147"/>
      <c r="BA72" s="147"/>
      <c r="BB72" s="147"/>
      <c r="BZ72" s="147"/>
    </row>
    <row r="73" spans="3:78" x14ac:dyDescent="0.25">
      <c r="J73" s="154"/>
      <c r="M73" s="147"/>
      <c r="AZ73" s="147"/>
      <c r="BA73" s="147"/>
      <c r="BB73" s="147"/>
      <c r="BZ73" s="147"/>
    </row>
    <row r="74" spans="3:78" s="155" customFormat="1" x14ac:dyDescent="0.25">
      <c r="C74" s="160"/>
      <c r="D74" s="160"/>
      <c r="E74" s="160"/>
      <c r="J74" s="158"/>
      <c r="AY74" s="167"/>
    </row>
    <row r="75" spans="3:78" x14ac:dyDescent="0.25">
      <c r="J75" s="154"/>
      <c r="M75" s="147"/>
      <c r="AZ75" s="147"/>
      <c r="BA75" s="147"/>
      <c r="BB75" s="147"/>
      <c r="BZ75" s="147"/>
    </row>
    <row r="76" spans="3:78" x14ac:dyDescent="0.25">
      <c r="J76" s="154"/>
      <c r="M76" s="147"/>
      <c r="AZ76" s="147"/>
      <c r="BA76" s="147"/>
      <c r="BB76" s="147"/>
      <c r="BZ76" s="147"/>
    </row>
    <row r="77" spans="3:78" x14ac:dyDescent="0.25">
      <c r="J77" s="154"/>
      <c r="M77" s="147"/>
      <c r="AZ77" s="147"/>
      <c r="BA77" s="147"/>
      <c r="BB77" s="147"/>
      <c r="BZ77" s="147"/>
    </row>
    <row r="78" spans="3:78" x14ac:dyDescent="0.25">
      <c r="J78" s="154"/>
      <c r="M78" s="147"/>
      <c r="AZ78" s="147"/>
      <c r="BA78" s="147"/>
      <c r="BB78" s="147"/>
      <c r="BZ78" s="147"/>
    </row>
    <row r="79" spans="3:78" s="155" customFormat="1" x14ac:dyDescent="0.25">
      <c r="C79" s="160"/>
      <c r="D79" s="160"/>
      <c r="E79" s="160"/>
      <c r="J79" s="158"/>
      <c r="AY79" s="167"/>
    </row>
    <row r="80" spans="3:78" x14ac:dyDescent="0.25">
      <c r="J80" s="154"/>
      <c r="M80" s="147"/>
      <c r="AZ80" s="147"/>
      <c r="BA80" s="147"/>
      <c r="BB80" s="147"/>
      <c r="BZ80" s="147"/>
    </row>
    <row r="81" spans="3:78" x14ac:dyDescent="0.25">
      <c r="J81" s="154"/>
      <c r="M81" s="147"/>
      <c r="AZ81" s="147"/>
      <c r="BA81" s="147"/>
      <c r="BB81" s="147"/>
      <c r="BZ81" s="147"/>
    </row>
    <row r="82" spans="3:78" x14ac:dyDescent="0.25">
      <c r="J82" s="154"/>
      <c r="M82" s="147"/>
      <c r="AZ82" s="147"/>
      <c r="BA82" s="147"/>
      <c r="BB82" s="147"/>
      <c r="BZ82" s="147"/>
    </row>
    <row r="83" spans="3:78" x14ac:dyDescent="0.25">
      <c r="J83" s="154"/>
      <c r="M83" s="147"/>
      <c r="AZ83" s="147"/>
      <c r="BA83" s="147"/>
      <c r="BB83" s="147"/>
      <c r="BZ83" s="147"/>
    </row>
    <row r="84" spans="3:78" s="155" customFormat="1" x14ac:dyDescent="0.25">
      <c r="C84" s="160"/>
      <c r="D84" s="160"/>
      <c r="E84" s="160"/>
      <c r="J84" s="158"/>
      <c r="AY84" s="167"/>
    </row>
    <row r="85" spans="3:78" x14ac:dyDescent="0.25">
      <c r="J85" s="154"/>
      <c r="M85" s="147"/>
      <c r="AZ85" s="147"/>
      <c r="BA85" s="147"/>
      <c r="BB85" s="147"/>
      <c r="BZ85" s="147"/>
    </row>
    <row r="86" spans="3:78" x14ac:dyDescent="0.25">
      <c r="J86" s="154"/>
      <c r="M86" s="147"/>
      <c r="AZ86" s="147"/>
      <c r="BA86" s="147"/>
      <c r="BB86" s="147"/>
      <c r="BZ86" s="147"/>
    </row>
    <row r="87" spans="3:78" x14ac:dyDescent="0.25">
      <c r="J87" s="154"/>
      <c r="M87" s="147"/>
      <c r="AZ87" s="147"/>
      <c r="BA87" s="147"/>
      <c r="BB87" s="147"/>
      <c r="BZ87" s="147"/>
    </row>
    <row r="88" spans="3:78" x14ac:dyDescent="0.25">
      <c r="J88" s="154"/>
      <c r="M88" s="147"/>
      <c r="AZ88" s="147"/>
      <c r="BA88" s="147"/>
      <c r="BB88" s="147"/>
      <c r="BZ88" s="147"/>
    </row>
    <row r="89" spans="3:78" s="155" customFormat="1" x14ac:dyDescent="0.25">
      <c r="C89" s="160"/>
      <c r="D89" s="160"/>
      <c r="E89" s="160"/>
      <c r="J89" s="158"/>
      <c r="AY89" s="167"/>
    </row>
    <row r="90" spans="3:78" x14ac:dyDescent="0.25">
      <c r="J90" s="154"/>
      <c r="M90" s="147"/>
      <c r="AZ90" s="147"/>
      <c r="BA90" s="147"/>
      <c r="BB90" s="147"/>
      <c r="BZ90" s="147"/>
    </row>
    <row r="91" spans="3:78" x14ac:dyDescent="0.25">
      <c r="J91" s="154"/>
      <c r="M91" s="147"/>
      <c r="AZ91" s="147"/>
      <c r="BA91" s="147"/>
      <c r="BB91" s="147"/>
      <c r="BZ91" s="147"/>
    </row>
    <row r="92" spans="3:78" x14ac:dyDescent="0.25">
      <c r="J92" s="154"/>
      <c r="M92" s="147"/>
      <c r="AZ92" s="147"/>
      <c r="BA92" s="147"/>
      <c r="BB92" s="147"/>
      <c r="BZ92" s="147"/>
    </row>
    <row r="93" spans="3:78" x14ac:dyDescent="0.25">
      <c r="J93" s="154"/>
      <c r="M93" s="147"/>
      <c r="AZ93" s="147"/>
      <c r="BA93" s="147"/>
      <c r="BB93" s="147"/>
      <c r="BZ93" s="147"/>
    </row>
    <row r="94" spans="3:78" s="155" customFormat="1" x14ac:dyDescent="0.25">
      <c r="C94" s="160"/>
      <c r="D94" s="160"/>
      <c r="E94" s="160"/>
      <c r="J94" s="158"/>
      <c r="AY94" s="167"/>
    </row>
    <row r="95" spans="3:78" x14ac:dyDescent="0.25">
      <c r="J95" s="154"/>
      <c r="M95" s="147"/>
      <c r="AZ95" s="147"/>
      <c r="BA95" s="147"/>
      <c r="BB95" s="147"/>
      <c r="BZ95" s="147"/>
    </row>
    <row r="96" spans="3:78" x14ac:dyDescent="0.25">
      <c r="J96" s="154"/>
      <c r="M96" s="147"/>
      <c r="AZ96" s="147"/>
      <c r="BA96" s="147"/>
      <c r="BB96" s="147"/>
      <c r="BZ96" s="147"/>
    </row>
    <row r="97" spans="3:78" x14ac:dyDescent="0.25">
      <c r="J97" s="154"/>
      <c r="M97" s="147"/>
      <c r="AZ97" s="147"/>
      <c r="BA97" s="147"/>
      <c r="BB97" s="147"/>
      <c r="BZ97" s="147"/>
    </row>
    <row r="98" spans="3:78" x14ac:dyDescent="0.25">
      <c r="J98" s="154"/>
      <c r="M98" s="147"/>
      <c r="AZ98" s="147"/>
      <c r="BA98" s="147"/>
      <c r="BB98" s="147"/>
      <c r="BZ98" s="147"/>
    </row>
    <row r="99" spans="3:78" s="155" customFormat="1" x14ac:dyDescent="0.25">
      <c r="C99" s="160"/>
      <c r="D99" s="160"/>
      <c r="E99" s="160"/>
      <c r="J99" s="158"/>
      <c r="AY99" s="167"/>
    </row>
    <row r="100" spans="3:78" x14ac:dyDescent="0.25">
      <c r="J100" s="154"/>
      <c r="M100" s="147"/>
      <c r="AZ100" s="147"/>
      <c r="BA100" s="147"/>
      <c r="BB100" s="147"/>
      <c r="BZ100" s="147"/>
    </row>
    <row r="101" spans="3:78" x14ac:dyDescent="0.25">
      <c r="J101" s="154"/>
      <c r="M101" s="147"/>
      <c r="AZ101" s="147"/>
      <c r="BA101" s="147"/>
      <c r="BB101" s="147"/>
      <c r="BZ101" s="147"/>
    </row>
    <row r="102" spans="3:78" x14ac:dyDescent="0.25">
      <c r="J102" s="154"/>
      <c r="M102" s="147"/>
      <c r="AZ102" s="147"/>
      <c r="BA102" s="147"/>
      <c r="BB102" s="147"/>
      <c r="BZ102" s="147"/>
    </row>
    <row r="103" spans="3:78" x14ac:dyDescent="0.25">
      <c r="J103" s="154"/>
      <c r="M103" s="147"/>
      <c r="AZ103" s="147"/>
      <c r="BA103" s="147"/>
      <c r="BB103" s="147"/>
      <c r="BZ103" s="147"/>
    </row>
    <row r="104" spans="3:78" s="155" customFormat="1" x14ac:dyDescent="0.25">
      <c r="C104" s="160"/>
      <c r="D104" s="160"/>
      <c r="E104" s="160"/>
      <c r="J104" s="158"/>
      <c r="AY104" s="167"/>
    </row>
    <row r="105" spans="3:78" x14ac:dyDescent="0.25">
      <c r="J105" s="154"/>
      <c r="M105" s="147"/>
      <c r="AZ105" s="147"/>
      <c r="BA105" s="147"/>
      <c r="BB105" s="147"/>
      <c r="BZ105" s="147"/>
    </row>
    <row r="106" spans="3:78" x14ac:dyDescent="0.25">
      <c r="J106" s="154"/>
      <c r="M106" s="147"/>
      <c r="AZ106" s="147"/>
      <c r="BA106" s="147"/>
      <c r="BB106" s="147"/>
      <c r="BZ106" s="147"/>
    </row>
    <row r="107" spans="3:78" x14ac:dyDescent="0.25">
      <c r="J107" s="154"/>
      <c r="M107" s="147"/>
      <c r="AZ107" s="147"/>
      <c r="BA107" s="147"/>
      <c r="BB107" s="147"/>
      <c r="BZ107" s="147"/>
    </row>
    <row r="108" spans="3:78" x14ac:dyDescent="0.25">
      <c r="J108" s="154"/>
      <c r="M108" s="147"/>
      <c r="AZ108" s="147"/>
      <c r="BA108" s="147"/>
      <c r="BB108" s="147"/>
      <c r="BZ108" s="147"/>
    </row>
    <row r="109" spans="3:78" s="155" customFormat="1" x14ac:dyDescent="0.25">
      <c r="C109" s="160"/>
      <c r="D109" s="160"/>
      <c r="E109" s="160"/>
      <c r="J109" s="158"/>
      <c r="AY109" s="167"/>
    </row>
    <row r="110" spans="3:78" x14ac:dyDescent="0.25">
      <c r="J110" s="154"/>
      <c r="M110" s="147"/>
      <c r="AZ110" s="147"/>
      <c r="BA110" s="147"/>
      <c r="BB110" s="147"/>
      <c r="BZ110" s="147"/>
    </row>
    <row r="111" spans="3:78" x14ac:dyDescent="0.25">
      <c r="J111" s="154"/>
      <c r="M111" s="147"/>
      <c r="AZ111" s="147"/>
      <c r="BA111" s="147"/>
      <c r="BB111" s="147"/>
      <c r="BZ111" s="147"/>
    </row>
    <row r="112" spans="3:78" x14ac:dyDescent="0.25">
      <c r="J112" s="154"/>
      <c r="M112" s="147"/>
      <c r="AZ112" s="147"/>
      <c r="BA112" s="147"/>
      <c r="BB112" s="147"/>
      <c r="BZ112" s="147"/>
    </row>
    <row r="113" spans="3:78" x14ac:dyDescent="0.25">
      <c r="J113" s="154"/>
      <c r="M113" s="147"/>
      <c r="AZ113" s="147"/>
      <c r="BA113" s="147"/>
      <c r="BB113" s="147"/>
      <c r="BZ113" s="147"/>
    </row>
    <row r="114" spans="3:78" s="155" customFormat="1" x14ac:dyDescent="0.25">
      <c r="C114" s="160"/>
      <c r="D114" s="160"/>
      <c r="E114" s="160"/>
      <c r="J114" s="158"/>
      <c r="AY114" s="167"/>
    </row>
    <row r="115" spans="3:78" x14ac:dyDescent="0.25">
      <c r="J115" s="154"/>
      <c r="M115" s="147"/>
      <c r="AZ115" s="147"/>
      <c r="BA115" s="147"/>
      <c r="BB115" s="147"/>
      <c r="BZ115" s="147"/>
    </row>
    <row r="116" spans="3:78" x14ac:dyDescent="0.25">
      <c r="J116" s="154"/>
      <c r="M116" s="147"/>
      <c r="AZ116" s="147"/>
      <c r="BA116" s="147"/>
      <c r="BB116" s="147"/>
      <c r="BZ116" s="147"/>
    </row>
    <row r="117" spans="3:78" x14ac:dyDescent="0.25">
      <c r="J117" s="154"/>
      <c r="M117" s="147"/>
      <c r="AZ117" s="147"/>
      <c r="BA117" s="147"/>
      <c r="BB117" s="147"/>
      <c r="BZ117" s="147"/>
    </row>
    <row r="118" spans="3:78" x14ac:dyDescent="0.25">
      <c r="J118" s="154"/>
      <c r="M118" s="147"/>
      <c r="AZ118" s="147"/>
      <c r="BA118" s="147"/>
      <c r="BB118" s="147"/>
      <c r="BZ118" s="147"/>
    </row>
    <row r="119" spans="3:78" s="155" customFormat="1" x14ac:dyDescent="0.25">
      <c r="C119" s="160"/>
      <c r="D119" s="160"/>
      <c r="E119" s="160"/>
      <c r="J119" s="158"/>
      <c r="AY119" s="167"/>
    </row>
    <row r="120" spans="3:78" x14ac:dyDescent="0.25">
      <c r="J120" s="154"/>
      <c r="M120" s="147"/>
      <c r="AZ120" s="147"/>
      <c r="BA120" s="147"/>
      <c r="BB120" s="147"/>
      <c r="BZ120" s="147"/>
    </row>
    <row r="121" spans="3:78" x14ac:dyDescent="0.25">
      <c r="J121" s="154"/>
      <c r="M121" s="147"/>
      <c r="AZ121" s="147"/>
      <c r="BA121" s="147"/>
      <c r="BB121" s="147"/>
      <c r="BZ121" s="147"/>
    </row>
    <row r="122" spans="3:78" x14ac:dyDescent="0.25">
      <c r="J122" s="154"/>
      <c r="M122" s="147"/>
      <c r="AZ122" s="147"/>
      <c r="BA122" s="147"/>
      <c r="BB122" s="147"/>
      <c r="BZ122" s="147"/>
    </row>
    <row r="123" spans="3:78" x14ac:dyDescent="0.25">
      <c r="J123" s="154"/>
      <c r="M123" s="147"/>
      <c r="AZ123" s="147"/>
      <c r="BA123" s="147"/>
      <c r="BB123" s="147"/>
      <c r="BZ123" s="147"/>
    </row>
    <row r="124" spans="3:78" s="155" customFormat="1" x14ac:dyDescent="0.25">
      <c r="C124" s="160"/>
      <c r="D124" s="160"/>
      <c r="E124" s="160"/>
      <c r="J124" s="158"/>
      <c r="AY124" s="167"/>
    </row>
    <row r="125" spans="3:78" x14ac:dyDescent="0.25">
      <c r="J125" s="154"/>
      <c r="M125" s="147"/>
      <c r="AZ125" s="147"/>
      <c r="BA125" s="147"/>
      <c r="BB125" s="147"/>
      <c r="BZ125" s="147"/>
    </row>
    <row r="126" spans="3:78" x14ac:dyDescent="0.25">
      <c r="J126" s="154"/>
      <c r="M126" s="147"/>
      <c r="AZ126" s="147"/>
      <c r="BA126" s="147"/>
      <c r="BB126" s="147"/>
      <c r="BZ126" s="147"/>
    </row>
    <row r="127" spans="3:78" x14ac:dyDescent="0.25">
      <c r="J127" s="154"/>
      <c r="M127" s="147"/>
      <c r="AZ127" s="147"/>
      <c r="BA127" s="147"/>
      <c r="BB127" s="147"/>
      <c r="BZ127" s="147"/>
    </row>
    <row r="128" spans="3:78" x14ac:dyDescent="0.25">
      <c r="J128" s="154"/>
      <c r="M128" s="147"/>
      <c r="AZ128" s="147"/>
      <c r="BA128" s="147"/>
      <c r="BB128" s="147"/>
      <c r="BZ128" s="147"/>
    </row>
    <row r="129" spans="3:78" s="155" customFormat="1" x14ac:dyDescent="0.25">
      <c r="C129" s="160"/>
      <c r="D129" s="160"/>
      <c r="E129" s="160"/>
      <c r="J129" s="158"/>
      <c r="AY129" s="167"/>
    </row>
    <row r="130" spans="3:78" x14ac:dyDescent="0.25">
      <c r="J130" s="154"/>
      <c r="M130" s="147"/>
      <c r="AZ130" s="147"/>
      <c r="BA130" s="147"/>
      <c r="BB130" s="147"/>
      <c r="BZ130" s="147"/>
    </row>
    <row r="131" spans="3:78" x14ac:dyDescent="0.25">
      <c r="J131" s="154"/>
      <c r="M131" s="147"/>
      <c r="AZ131" s="147"/>
      <c r="BA131" s="147"/>
      <c r="BB131" s="147"/>
      <c r="BZ131" s="147"/>
    </row>
    <row r="132" spans="3:78" x14ac:dyDescent="0.25">
      <c r="J132" s="154"/>
      <c r="M132" s="147"/>
      <c r="AZ132" s="147"/>
      <c r="BA132" s="147"/>
      <c r="BB132" s="147"/>
      <c r="BZ132" s="147"/>
    </row>
    <row r="133" spans="3:78" x14ac:dyDescent="0.25">
      <c r="J133" s="154"/>
      <c r="M133" s="147"/>
      <c r="AZ133" s="147"/>
      <c r="BA133" s="147"/>
      <c r="BB133" s="147"/>
      <c r="BZ133" s="147"/>
    </row>
    <row r="134" spans="3:78" s="155" customFormat="1" x14ac:dyDescent="0.25">
      <c r="C134" s="160"/>
      <c r="D134" s="160"/>
      <c r="E134" s="160"/>
      <c r="J134" s="158"/>
      <c r="AY134" s="167"/>
    </row>
    <row r="135" spans="3:78" x14ac:dyDescent="0.25">
      <c r="J135" s="154"/>
      <c r="M135" s="147"/>
      <c r="AZ135" s="147"/>
      <c r="BA135" s="147"/>
      <c r="BB135" s="147"/>
      <c r="BZ135" s="147"/>
    </row>
    <row r="136" spans="3:78" x14ac:dyDescent="0.25">
      <c r="J136" s="154"/>
      <c r="M136" s="147"/>
      <c r="AZ136" s="147"/>
      <c r="BA136" s="147"/>
      <c r="BB136" s="147"/>
      <c r="BZ136" s="147"/>
    </row>
    <row r="137" spans="3:78" x14ac:dyDescent="0.25">
      <c r="J137" s="154"/>
      <c r="M137" s="147"/>
      <c r="AZ137" s="147"/>
      <c r="BA137" s="147"/>
      <c r="BB137" s="147"/>
      <c r="BZ137" s="147"/>
    </row>
    <row r="139" spans="3:78" s="155" customFormat="1" x14ac:dyDescent="0.25">
      <c r="AY139" s="167"/>
      <c r="BZ139" s="162"/>
    </row>
    <row r="144" spans="3:78" s="155" customFormat="1" x14ac:dyDescent="0.25">
      <c r="AY144" s="167"/>
      <c r="BZ144" s="162"/>
    </row>
    <row r="149" spans="51:78" s="155" customFormat="1" x14ac:dyDescent="0.25">
      <c r="AY149" s="167"/>
      <c r="BZ149" s="162"/>
    </row>
    <row r="154" spans="51:78" s="155" customFormat="1" x14ac:dyDescent="0.25">
      <c r="AY154" s="167"/>
      <c r="BZ154" s="162"/>
    </row>
    <row r="159" spans="51:78" s="155" customFormat="1" x14ac:dyDescent="0.25">
      <c r="AY159" s="167"/>
      <c r="BZ159" s="162"/>
    </row>
    <row r="164" spans="51:78" s="155" customFormat="1" x14ac:dyDescent="0.25">
      <c r="AY164" s="167"/>
      <c r="BZ164" s="162"/>
    </row>
    <row r="169" spans="51:78" s="155" customFormat="1" x14ac:dyDescent="0.25">
      <c r="AY169" s="167"/>
      <c r="BZ169" s="162"/>
    </row>
    <row r="174" spans="51:78" s="155" customFormat="1" x14ac:dyDescent="0.25">
      <c r="AY174" s="167"/>
      <c r="BZ174" s="162"/>
    </row>
    <row r="179" spans="51:78" s="155" customFormat="1" x14ac:dyDescent="0.25">
      <c r="AY179" s="167"/>
      <c r="BZ179" s="162"/>
    </row>
    <row r="184" spans="51:78" s="155" customFormat="1" x14ac:dyDescent="0.25">
      <c r="AY184" s="167"/>
      <c r="BZ184" s="162"/>
    </row>
    <row r="189" spans="51:78" s="155" customFormat="1" x14ac:dyDescent="0.25">
      <c r="AY189" s="167"/>
      <c r="BZ189" s="162"/>
    </row>
    <row r="194" spans="51:78" s="155" customFormat="1" x14ac:dyDescent="0.25">
      <c r="AY194" s="167"/>
      <c r="BZ194" s="162"/>
    </row>
    <row r="199" spans="51:78" s="155" customFormat="1" x14ac:dyDescent="0.25">
      <c r="AY199" s="167"/>
      <c r="BZ199" s="162"/>
    </row>
  </sheetData>
  <phoneticPr fontId="10" type="noConversion"/>
  <conditionalFormatting sqref="O2:AX29">
    <cfRule type="expression" dxfId="0" priority="1">
      <formula>AND(ISNUMBER(O2), O2=0, COUNTIF(P2:$AX2, 1)&gt;0)</formula>
    </cfRule>
  </conditionalFormatting>
  <pageMargins left="0.7" right="0.7" top="0.75" bottom="0.75" header="0.3" footer="0.3"/>
  <pageSetup orientation="portrait" horizontalDpi="360" verticalDpi="360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06FA-E53E-427A-9B03-5AA680417990}">
  <sheetPr>
    <tabColor theme="6" tint="0.39997558519241921"/>
  </sheetPr>
  <dimension ref="A1:FC29"/>
  <sheetViews>
    <sheetView workbookViewId="0">
      <selection activeCell="J26" sqref="J26"/>
    </sheetView>
  </sheetViews>
  <sheetFormatPr defaultRowHeight="15" x14ac:dyDescent="0.25"/>
  <cols>
    <col min="1" max="1" width="6.7109375" bestFit="1" customWidth="1"/>
    <col min="2" max="2" width="11.28515625" bestFit="1" customWidth="1"/>
    <col min="3" max="3" width="8.85546875" bestFit="1" customWidth="1"/>
    <col min="4" max="4" width="13.28515625" bestFit="1" customWidth="1"/>
    <col min="5" max="5" width="12.140625" bestFit="1" customWidth="1"/>
    <col min="6" max="6" width="9.42578125" bestFit="1" customWidth="1"/>
    <col min="7" max="7" width="21.42578125" bestFit="1" customWidth="1"/>
    <col min="8" max="8" width="10.7109375" bestFit="1" customWidth="1"/>
    <col min="9" max="9" width="8.7109375" bestFit="1" customWidth="1"/>
    <col min="10" max="10" width="14.5703125" bestFit="1" customWidth="1"/>
    <col min="11" max="12" width="11.28515625" bestFit="1" customWidth="1"/>
    <col min="13" max="13" width="9.7109375" bestFit="1" customWidth="1"/>
    <col min="14" max="14" width="18.140625" bestFit="1" customWidth="1"/>
    <col min="15" max="15" width="14.28515625" bestFit="1" customWidth="1"/>
    <col min="16" max="39" width="7.7109375" bestFit="1" customWidth="1"/>
    <col min="40" max="75" width="6.7109375" bestFit="1" customWidth="1"/>
    <col min="83" max="83" width="17.85546875" bestFit="1" customWidth="1"/>
    <col min="84" max="86" width="6.85546875" bestFit="1" customWidth="1"/>
    <col min="87" max="87" width="12" bestFit="1" customWidth="1"/>
    <col min="88" max="91" width="7" bestFit="1" customWidth="1"/>
    <col min="99" max="99" width="12" bestFit="1" customWidth="1"/>
    <col min="100" max="102" width="7.140625" bestFit="1" customWidth="1"/>
    <col min="103" max="103" width="12" bestFit="1" customWidth="1"/>
    <col min="104" max="106" width="8" bestFit="1" customWidth="1"/>
    <col min="107" max="107" width="12" bestFit="1" customWidth="1"/>
    <col min="108" max="110" width="6.85546875" bestFit="1" customWidth="1"/>
    <col min="111" max="111" width="17.85546875" bestFit="1" customWidth="1"/>
    <col min="112" max="114" width="6.28515625" bestFit="1" customWidth="1"/>
    <col min="115" max="115" width="12" bestFit="1" customWidth="1"/>
    <col min="116" max="118" width="6.42578125" bestFit="1" customWidth="1"/>
    <col min="119" max="119" width="12" bestFit="1" customWidth="1"/>
    <col min="120" max="122" width="8.7109375" bestFit="1" customWidth="1"/>
    <col min="123" max="123" width="12" bestFit="1" customWidth="1"/>
    <col min="124" max="126" width="8.7109375" bestFit="1" customWidth="1"/>
    <col min="127" max="127" width="12" bestFit="1" customWidth="1"/>
    <col min="128" max="130" width="8.7109375" bestFit="1" customWidth="1"/>
    <col min="131" max="131" width="12" bestFit="1" customWidth="1"/>
    <col min="132" max="134" width="7.7109375" bestFit="1" customWidth="1"/>
    <col min="135" max="135" width="12" bestFit="1" customWidth="1"/>
    <col min="136" max="143" width="7.7109375" bestFit="1" customWidth="1"/>
    <col min="144" max="154" width="6.7109375" bestFit="1" customWidth="1"/>
    <col min="155" max="155" width="12" bestFit="1" customWidth="1"/>
    <col min="156" max="158" width="6.7109375" bestFit="1" customWidth="1"/>
    <col min="159" max="159" width="12" bestFit="1" customWidth="1"/>
  </cols>
  <sheetData>
    <row r="1" spans="1:159" x14ac:dyDescent="0.25">
      <c r="A1" t="s">
        <v>936</v>
      </c>
      <c r="B1" t="s">
        <v>937</v>
      </c>
      <c r="C1" t="s">
        <v>45</v>
      </c>
      <c r="D1" t="s">
        <v>938</v>
      </c>
      <c r="E1" t="s">
        <v>940</v>
      </c>
      <c r="F1" t="s">
        <v>0</v>
      </c>
      <c r="G1" t="s">
        <v>942</v>
      </c>
      <c r="H1" t="s">
        <v>935</v>
      </c>
      <c r="I1" t="s">
        <v>749</v>
      </c>
      <c r="J1" t="s">
        <v>939</v>
      </c>
      <c r="K1" t="s">
        <v>751</v>
      </c>
      <c r="L1" t="s">
        <v>752</v>
      </c>
      <c r="M1" t="s">
        <v>750</v>
      </c>
      <c r="N1" t="s">
        <v>941</v>
      </c>
      <c r="O1" t="s">
        <v>1048</v>
      </c>
      <c r="P1" t="s">
        <v>933</v>
      </c>
      <c r="Q1" t="s">
        <v>932</v>
      </c>
      <c r="R1" t="s">
        <v>931</v>
      </c>
      <c r="S1" t="s">
        <v>930</v>
      </c>
      <c r="T1" t="s">
        <v>928</v>
      </c>
      <c r="U1" t="s">
        <v>927</v>
      </c>
      <c r="V1" t="s">
        <v>926</v>
      </c>
      <c r="W1" t="s">
        <v>925</v>
      </c>
      <c r="X1" t="s">
        <v>923</v>
      </c>
      <c r="Y1" t="s">
        <v>922</v>
      </c>
      <c r="Z1" t="s">
        <v>921</v>
      </c>
      <c r="AA1" t="s">
        <v>920</v>
      </c>
      <c r="AB1" t="s">
        <v>918</v>
      </c>
      <c r="AC1" t="s">
        <v>917</v>
      </c>
      <c r="AD1" t="s">
        <v>916</v>
      </c>
      <c r="AE1" t="s">
        <v>915</v>
      </c>
      <c r="AF1" t="s">
        <v>913</v>
      </c>
      <c r="AG1" t="s">
        <v>912</v>
      </c>
      <c r="AH1" t="s">
        <v>911</v>
      </c>
      <c r="AI1" t="s">
        <v>910</v>
      </c>
      <c r="AJ1" t="s">
        <v>908</v>
      </c>
      <c r="AK1" t="s">
        <v>907</v>
      </c>
      <c r="AL1" t="s">
        <v>906</v>
      </c>
      <c r="AM1" t="s">
        <v>905</v>
      </c>
      <c r="AN1" t="s">
        <v>903</v>
      </c>
      <c r="AO1" t="s">
        <v>902</v>
      </c>
      <c r="AP1" t="s">
        <v>901</v>
      </c>
      <c r="AQ1" t="s">
        <v>900</v>
      </c>
      <c r="AR1" t="s">
        <v>898</v>
      </c>
      <c r="AS1" t="s">
        <v>897</v>
      </c>
      <c r="AT1" t="s">
        <v>896</v>
      </c>
      <c r="AU1" t="s">
        <v>895</v>
      </c>
      <c r="AV1" t="s">
        <v>893</v>
      </c>
      <c r="AW1" t="s">
        <v>892</v>
      </c>
      <c r="AX1" t="s">
        <v>891</v>
      </c>
      <c r="AY1" t="s">
        <v>890</v>
      </c>
      <c r="AZ1" t="s">
        <v>888</v>
      </c>
      <c r="BA1" t="s">
        <v>887</v>
      </c>
      <c r="BB1" t="s">
        <v>886</v>
      </c>
      <c r="BC1" t="s">
        <v>885</v>
      </c>
      <c r="BD1" t="s">
        <v>883</v>
      </c>
      <c r="BE1" t="s">
        <v>882</v>
      </c>
      <c r="BF1" t="s">
        <v>881</v>
      </c>
      <c r="BG1" t="s">
        <v>880</v>
      </c>
      <c r="BH1" t="s">
        <v>878</v>
      </c>
      <c r="BI1" t="s">
        <v>877</v>
      </c>
      <c r="BJ1" t="s">
        <v>876</v>
      </c>
      <c r="BK1" t="s">
        <v>875</v>
      </c>
      <c r="BL1" t="s">
        <v>873</v>
      </c>
      <c r="BM1" t="s">
        <v>872</v>
      </c>
      <c r="BN1" t="s">
        <v>871</v>
      </c>
      <c r="BO1" t="s">
        <v>870</v>
      </c>
      <c r="BP1" t="s">
        <v>868</v>
      </c>
      <c r="BQ1" t="s">
        <v>867</v>
      </c>
      <c r="BR1" t="s">
        <v>866</v>
      </c>
      <c r="BS1" t="s">
        <v>865</v>
      </c>
      <c r="BT1" t="s">
        <v>863</v>
      </c>
      <c r="BU1" t="s">
        <v>862</v>
      </c>
      <c r="BV1" t="s">
        <v>861</v>
      </c>
      <c r="BW1" t="s">
        <v>860</v>
      </c>
      <c r="BX1" t="s">
        <v>857</v>
      </c>
      <c r="BY1" t="s">
        <v>856</v>
      </c>
      <c r="BZ1" t="s">
        <v>855</v>
      </c>
      <c r="CA1" t="s">
        <v>854</v>
      </c>
      <c r="CB1" t="s">
        <v>852</v>
      </c>
      <c r="CC1" t="s">
        <v>851</v>
      </c>
      <c r="CD1" t="s">
        <v>850</v>
      </c>
      <c r="CE1" t="s">
        <v>849</v>
      </c>
      <c r="CF1" t="s">
        <v>847</v>
      </c>
      <c r="CG1" t="s">
        <v>846</v>
      </c>
      <c r="CH1" t="s">
        <v>845</v>
      </c>
      <c r="CI1" t="s">
        <v>844</v>
      </c>
      <c r="CJ1" t="s">
        <v>842</v>
      </c>
      <c r="CK1" t="s">
        <v>841</v>
      </c>
      <c r="CL1" t="s">
        <v>840</v>
      </c>
      <c r="CM1" t="s">
        <v>839</v>
      </c>
      <c r="CN1" t="s">
        <v>837</v>
      </c>
      <c r="CO1" t="s">
        <v>836</v>
      </c>
      <c r="CP1" t="s">
        <v>835</v>
      </c>
      <c r="CQ1" t="s">
        <v>834</v>
      </c>
      <c r="CR1" t="s">
        <v>832</v>
      </c>
      <c r="CS1" t="s">
        <v>831</v>
      </c>
      <c r="CT1" t="s">
        <v>830</v>
      </c>
      <c r="CU1" t="s">
        <v>829</v>
      </c>
      <c r="CV1" t="s">
        <v>827</v>
      </c>
      <c r="CW1" t="s">
        <v>826</v>
      </c>
      <c r="CX1" t="s">
        <v>825</v>
      </c>
      <c r="CY1" t="s">
        <v>824</v>
      </c>
      <c r="CZ1" t="s">
        <v>822</v>
      </c>
      <c r="DA1" t="s">
        <v>821</v>
      </c>
      <c r="DB1" t="s">
        <v>820</v>
      </c>
      <c r="DC1" t="s">
        <v>819</v>
      </c>
      <c r="DD1" t="s">
        <v>817</v>
      </c>
      <c r="DE1" t="s">
        <v>816</v>
      </c>
      <c r="DF1" t="s">
        <v>815</v>
      </c>
      <c r="DG1" t="s">
        <v>814</v>
      </c>
      <c r="DH1" t="s">
        <v>812</v>
      </c>
      <c r="DI1" t="s">
        <v>811</v>
      </c>
      <c r="DJ1" t="s">
        <v>810</v>
      </c>
      <c r="DK1" t="s">
        <v>809</v>
      </c>
      <c r="DL1" t="s">
        <v>807</v>
      </c>
      <c r="DM1" t="s">
        <v>806</v>
      </c>
      <c r="DN1" t="s">
        <v>805</v>
      </c>
      <c r="DO1" t="s">
        <v>804</v>
      </c>
      <c r="DP1" t="s">
        <v>802</v>
      </c>
      <c r="DQ1" t="s">
        <v>801</v>
      </c>
      <c r="DR1" t="s">
        <v>800</v>
      </c>
      <c r="DS1" t="s">
        <v>799</v>
      </c>
      <c r="DT1" t="s">
        <v>797</v>
      </c>
      <c r="DU1" t="s">
        <v>796</v>
      </c>
      <c r="DV1" t="s">
        <v>795</v>
      </c>
      <c r="DW1" t="s">
        <v>794</v>
      </c>
      <c r="DX1" t="s">
        <v>792</v>
      </c>
      <c r="DY1" t="s">
        <v>791</v>
      </c>
      <c r="DZ1" t="s">
        <v>790</v>
      </c>
      <c r="EA1" t="s">
        <v>789</v>
      </c>
      <c r="EB1" t="s">
        <v>787</v>
      </c>
      <c r="EC1" t="s">
        <v>786</v>
      </c>
      <c r="ED1" t="s">
        <v>785</v>
      </c>
      <c r="EE1" t="s">
        <v>784</v>
      </c>
      <c r="EF1" t="s">
        <v>782</v>
      </c>
      <c r="EG1" t="s">
        <v>781</v>
      </c>
      <c r="EH1" t="s">
        <v>780</v>
      </c>
      <c r="EI1" t="s">
        <v>779</v>
      </c>
      <c r="EJ1" t="s">
        <v>777</v>
      </c>
      <c r="EK1" t="s">
        <v>776</v>
      </c>
      <c r="EL1" t="s">
        <v>775</v>
      </c>
      <c r="EM1" t="s">
        <v>774</v>
      </c>
      <c r="EN1" t="s">
        <v>772</v>
      </c>
      <c r="EO1" t="s">
        <v>771</v>
      </c>
      <c r="EP1" t="s">
        <v>770</v>
      </c>
      <c r="EQ1" t="s">
        <v>769</v>
      </c>
      <c r="ER1" t="s">
        <v>767</v>
      </c>
      <c r="ES1" t="s">
        <v>766</v>
      </c>
      <c r="ET1" t="s">
        <v>765</v>
      </c>
      <c r="EU1" t="s">
        <v>764</v>
      </c>
      <c r="EV1" t="s">
        <v>762</v>
      </c>
      <c r="EW1" t="s">
        <v>760</v>
      </c>
      <c r="EX1" t="s">
        <v>759</v>
      </c>
      <c r="EY1" t="s">
        <v>758</v>
      </c>
      <c r="EZ1" t="s">
        <v>761</v>
      </c>
      <c r="FA1" t="s">
        <v>756</v>
      </c>
      <c r="FB1" t="s">
        <v>755</v>
      </c>
      <c r="FC1" t="s">
        <v>754</v>
      </c>
    </row>
    <row r="2" spans="1:159" x14ac:dyDescent="0.25">
      <c r="A2">
        <v>1</v>
      </c>
      <c r="B2" t="s">
        <v>302</v>
      </c>
      <c r="C2" t="s">
        <v>299</v>
      </c>
      <c r="D2" t="s">
        <v>1018</v>
      </c>
      <c r="E2" t="s">
        <v>223</v>
      </c>
      <c r="F2" s="174">
        <v>46136</v>
      </c>
      <c r="G2" t="s">
        <v>222</v>
      </c>
      <c r="H2">
        <v>1</v>
      </c>
      <c r="I2">
        <v>1</v>
      </c>
      <c r="J2" s="175">
        <v>0.45763888888888887</v>
      </c>
      <c r="K2" s="175"/>
      <c r="L2" s="175">
        <v>0.44791666666666669</v>
      </c>
      <c r="M2">
        <v>1</v>
      </c>
      <c r="N2" t="s">
        <v>1019</v>
      </c>
      <c r="O2" t="s">
        <v>1020</v>
      </c>
      <c r="EY2">
        <v>0.60486111111111107</v>
      </c>
    </row>
    <row r="3" spans="1:159" x14ac:dyDescent="0.25">
      <c r="A3">
        <v>1</v>
      </c>
      <c r="B3" t="s">
        <v>302</v>
      </c>
      <c r="C3" t="s">
        <v>299</v>
      </c>
      <c r="D3" t="s">
        <v>1018</v>
      </c>
      <c r="E3" t="s">
        <v>223</v>
      </c>
      <c r="F3" s="174">
        <v>46136</v>
      </c>
      <c r="G3" t="s">
        <v>222</v>
      </c>
      <c r="H3">
        <v>2</v>
      </c>
      <c r="I3">
        <v>1</v>
      </c>
      <c r="J3" s="175">
        <v>0.45763888888888887</v>
      </c>
      <c r="K3" s="175"/>
      <c r="L3" s="175">
        <v>0.44791666666666669</v>
      </c>
      <c r="M3">
        <v>2</v>
      </c>
      <c r="N3" t="s">
        <v>1021</v>
      </c>
      <c r="O3" t="s">
        <v>1020</v>
      </c>
      <c r="CT3" t="s">
        <v>858</v>
      </c>
      <c r="CU3">
        <v>0.79513888888888884</v>
      </c>
      <c r="CV3" t="s">
        <v>226</v>
      </c>
      <c r="CY3">
        <v>0.67083333333333328</v>
      </c>
      <c r="DL3" t="s">
        <v>226</v>
      </c>
      <c r="DO3">
        <v>0.60486111111111107</v>
      </c>
    </row>
    <row r="4" spans="1:159" x14ac:dyDescent="0.25">
      <c r="A4">
        <v>1</v>
      </c>
      <c r="B4" t="s">
        <v>302</v>
      </c>
      <c r="C4" t="s">
        <v>299</v>
      </c>
      <c r="D4" t="s">
        <v>1018</v>
      </c>
      <c r="E4" t="s">
        <v>223</v>
      </c>
      <c r="F4" s="174">
        <v>46136</v>
      </c>
      <c r="G4" t="s">
        <v>222</v>
      </c>
      <c r="H4">
        <v>3</v>
      </c>
      <c r="I4">
        <v>1</v>
      </c>
      <c r="J4" s="175">
        <v>0.45763888888888887</v>
      </c>
      <c r="K4" s="175"/>
      <c r="L4" s="175">
        <v>0.44791666666666669</v>
      </c>
      <c r="M4">
        <v>3</v>
      </c>
      <c r="N4" t="s">
        <v>1022</v>
      </c>
      <c r="O4" t="s">
        <v>1020</v>
      </c>
      <c r="FA4" t="s">
        <v>227</v>
      </c>
      <c r="FC4">
        <v>0.60902777777777772</v>
      </c>
    </row>
    <row r="5" spans="1:159" x14ac:dyDescent="0.25">
      <c r="A5">
        <v>1</v>
      </c>
      <c r="B5" t="s">
        <v>302</v>
      </c>
      <c r="C5" t="s">
        <v>299</v>
      </c>
      <c r="D5" t="s">
        <v>1018</v>
      </c>
      <c r="E5" t="s">
        <v>223</v>
      </c>
      <c r="F5" s="174">
        <v>46136</v>
      </c>
      <c r="G5" t="s">
        <v>222</v>
      </c>
      <c r="H5">
        <v>4</v>
      </c>
      <c r="I5">
        <v>2</v>
      </c>
      <c r="J5" s="175">
        <v>0.46458333333333335</v>
      </c>
      <c r="K5" s="175">
        <v>0.44930555555555557</v>
      </c>
      <c r="L5" s="175">
        <v>0.45416666666666666</v>
      </c>
      <c r="M5">
        <v>1</v>
      </c>
      <c r="N5" t="s">
        <v>1023</v>
      </c>
      <c r="O5" t="s">
        <v>1020</v>
      </c>
      <c r="CZ5" t="s">
        <v>229</v>
      </c>
      <c r="DB5" t="s">
        <v>858</v>
      </c>
      <c r="DC5">
        <v>0.86597222222222225</v>
      </c>
      <c r="DD5" t="s">
        <v>229</v>
      </c>
      <c r="DG5">
        <v>0.79583333333333328</v>
      </c>
      <c r="DH5" t="s">
        <v>226</v>
      </c>
      <c r="DK5">
        <v>0.67291666666666672</v>
      </c>
      <c r="DT5" t="s">
        <v>226</v>
      </c>
      <c r="DW5">
        <v>0.61041666666666672</v>
      </c>
    </row>
    <row r="6" spans="1:159" x14ac:dyDescent="0.25">
      <c r="A6">
        <v>1</v>
      </c>
      <c r="B6" t="s">
        <v>302</v>
      </c>
      <c r="C6" t="s">
        <v>299</v>
      </c>
      <c r="D6" t="s">
        <v>1018</v>
      </c>
      <c r="E6" t="s">
        <v>223</v>
      </c>
      <c r="F6" s="174">
        <v>46136</v>
      </c>
      <c r="G6" t="s">
        <v>222</v>
      </c>
      <c r="H6">
        <v>5</v>
      </c>
      <c r="I6">
        <v>2</v>
      </c>
      <c r="J6" s="175">
        <v>0.46458333333333335</v>
      </c>
      <c r="K6" s="175">
        <v>0.44930555555555557</v>
      </c>
      <c r="L6" s="175">
        <v>0.45416666666666666</v>
      </c>
      <c r="M6">
        <v>2</v>
      </c>
      <c r="N6" t="s">
        <v>1024</v>
      </c>
      <c r="O6" t="s">
        <v>1020</v>
      </c>
      <c r="FA6" t="s">
        <v>227</v>
      </c>
      <c r="FC6">
        <v>0.60902777777777772</v>
      </c>
    </row>
    <row r="7" spans="1:159" x14ac:dyDescent="0.25">
      <c r="A7">
        <v>1</v>
      </c>
      <c r="B7" t="s">
        <v>302</v>
      </c>
      <c r="C7" t="s">
        <v>299</v>
      </c>
      <c r="D7" t="s">
        <v>1018</v>
      </c>
      <c r="E7" t="s">
        <v>223</v>
      </c>
      <c r="F7" s="174">
        <v>46136</v>
      </c>
      <c r="G7" t="s">
        <v>222</v>
      </c>
      <c r="H7">
        <v>6</v>
      </c>
      <c r="I7">
        <v>3</v>
      </c>
      <c r="J7" s="175">
        <v>0.47083333333333333</v>
      </c>
      <c r="K7" s="175">
        <v>0.45555555555555555</v>
      </c>
      <c r="L7" s="175">
        <v>0.46111111111111114</v>
      </c>
      <c r="M7">
        <v>1</v>
      </c>
      <c r="N7" t="s">
        <v>1025</v>
      </c>
      <c r="O7" t="s">
        <v>1020</v>
      </c>
      <c r="FA7" t="s">
        <v>227</v>
      </c>
      <c r="FC7">
        <v>0.61250000000000004</v>
      </c>
    </row>
    <row r="8" spans="1:159" x14ac:dyDescent="0.25">
      <c r="A8">
        <v>1</v>
      </c>
      <c r="B8" t="s">
        <v>302</v>
      </c>
      <c r="C8" t="s">
        <v>299</v>
      </c>
      <c r="D8" t="s">
        <v>1018</v>
      </c>
      <c r="E8" t="s">
        <v>223</v>
      </c>
      <c r="F8" s="174">
        <v>46136</v>
      </c>
      <c r="G8" t="s">
        <v>222</v>
      </c>
      <c r="H8">
        <v>7</v>
      </c>
      <c r="I8">
        <v>3</v>
      </c>
      <c r="J8" s="175">
        <v>0.47083333333333333</v>
      </c>
      <c r="K8" s="175">
        <v>0.45555555555555555</v>
      </c>
      <c r="L8" s="175">
        <v>0.46111111111111114</v>
      </c>
      <c r="M8">
        <v>2</v>
      </c>
      <c r="N8" t="s">
        <v>1026</v>
      </c>
      <c r="O8" t="s">
        <v>1020</v>
      </c>
      <c r="DF8" t="s">
        <v>858</v>
      </c>
      <c r="DG8">
        <v>0.79513888888888884</v>
      </c>
      <c r="DH8" t="s">
        <v>229</v>
      </c>
      <c r="DK8">
        <v>0.67291666666666672</v>
      </c>
      <c r="DT8" t="s">
        <v>226</v>
      </c>
      <c r="DW8">
        <v>0.61319444444444449</v>
      </c>
    </row>
    <row r="9" spans="1:159" x14ac:dyDescent="0.25">
      <c r="A9">
        <v>1</v>
      </c>
      <c r="B9" t="s">
        <v>302</v>
      </c>
      <c r="C9" t="s">
        <v>299</v>
      </c>
      <c r="D9" t="s">
        <v>1018</v>
      </c>
      <c r="E9" t="s">
        <v>223</v>
      </c>
      <c r="F9" s="174">
        <v>46136</v>
      </c>
      <c r="G9" t="s">
        <v>222</v>
      </c>
      <c r="H9">
        <v>8</v>
      </c>
      <c r="I9">
        <v>4</v>
      </c>
      <c r="J9" s="175">
        <v>0.47986111111111113</v>
      </c>
      <c r="K9" s="175">
        <v>0.46111111111111114</v>
      </c>
      <c r="L9" s="175">
        <v>0.46875</v>
      </c>
      <c r="M9">
        <v>1</v>
      </c>
      <c r="N9" t="s">
        <v>1027</v>
      </c>
      <c r="O9" t="s">
        <v>1020</v>
      </c>
      <c r="DN9" t="s">
        <v>858</v>
      </c>
      <c r="DO9">
        <v>0.79652777777777772</v>
      </c>
      <c r="DT9" t="s">
        <v>229</v>
      </c>
      <c r="DW9">
        <v>0.66736111111111107</v>
      </c>
      <c r="DX9" t="s">
        <v>229</v>
      </c>
      <c r="EA9">
        <v>0.61597222222222225</v>
      </c>
    </row>
    <row r="10" spans="1:159" x14ac:dyDescent="0.25">
      <c r="A10">
        <v>1</v>
      </c>
      <c r="B10" t="s">
        <v>302</v>
      </c>
      <c r="C10" t="s">
        <v>299</v>
      </c>
      <c r="D10" t="s">
        <v>1018</v>
      </c>
      <c r="E10" t="s">
        <v>223</v>
      </c>
      <c r="F10" s="174">
        <v>46136</v>
      </c>
      <c r="G10" t="s">
        <v>222</v>
      </c>
      <c r="H10">
        <v>9</v>
      </c>
      <c r="I10">
        <v>4</v>
      </c>
      <c r="J10" s="175">
        <v>0.47986111111111113</v>
      </c>
      <c r="K10" s="175">
        <v>0.46111111111111114</v>
      </c>
      <c r="L10" s="175">
        <v>0.46875</v>
      </c>
      <c r="M10">
        <v>2</v>
      </c>
      <c r="N10" t="s">
        <v>1028</v>
      </c>
      <c r="O10" t="s">
        <v>1020</v>
      </c>
      <c r="EZ10" t="s">
        <v>229</v>
      </c>
      <c r="FA10" t="s">
        <v>227</v>
      </c>
      <c r="FC10">
        <v>0.61527777777777781</v>
      </c>
    </row>
    <row r="11" spans="1:159" x14ac:dyDescent="0.25">
      <c r="A11">
        <v>1</v>
      </c>
      <c r="B11" t="s">
        <v>302</v>
      </c>
      <c r="C11" t="s">
        <v>299</v>
      </c>
      <c r="D11" t="s">
        <v>1018</v>
      </c>
      <c r="E11" t="s">
        <v>223</v>
      </c>
      <c r="F11" s="174">
        <v>46136</v>
      </c>
      <c r="G11" t="s">
        <v>222</v>
      </c>
      <c r="H11">
        <v>10</v>
      </c>
      <c r="I11">
        <v>4</v>
      </c>
      <c r="J11" s="175">
        <v>0.47986111111111113</v>
      </c>
      <c r="K11" s="175">
        <v>0.46111111111111114</v>
      </c>
      <c r="L11" s="175">
        <v>0.46875</v>
      </c>
      <c r="M11">
        <v>3</v>
      </c>
      <c r="N11" t="s">
        <v>1029</v>
      </c>
      <c r="O11" t="s">
        <v>1020</v>
      </c>
      <c r="CB11">
        <v>1</v>
      </c>
      <c r="CD11" t="s">
        <v>858</v>
      </c>
      <c r="CE11">
        <v>0.8666666666666667</v>
      </c>
      <c r="CF11" t="s">
        <v>226</v>
      </c>
      <c r="CI11">
        <v>0.79722222222222228</v>
      </c>
      <c r="DD11" t="s">
        <v>226</v>
      </c>
      <c r="DG11">
        <v>0.66736111111111107</v>
      </c>
      <c r="DP11" t="s">
        <v>226</v>
      </c>
      <c r="DS11">
        <v>0.61458333333333337</v>
      </c>
    </row>
    <row r="12" spans="1:159" x14ac:dyDescent="0.25">
      <c r="A12">
        <v>1</v>
      </c>
      <c r="B12" t="s">
        <v>302</v>
      </c>
      <c r="C12" t="s">
        <v>299</v>
      </c>
      <c r="D12" t="s">
        <v>1018</v>
      </c>
      <c r="E12" t="s">
        <v>223</v>
      </c>
      <c r="F12" s="174">
        <v>46136</v>
      </c>
      <c r="G12" t="s">
        <v>222</v>
      </c>
      <c r="H12">
        <v>11</v>
      </c>
      <c r="I12">
        <v>5</v>
      </c>
      <c r="J12" s="175">
        <v>0.48888888888888887</v>
      </c>
      <c r="K12" s="175"/>
      <c r="L12" s="175">
        <v>0.4777777777777778</v>
      </c>
      <c r="M12">
        <v>1</v>
      </c>
      <c r="N12" t="s">
        <v>1030</v>
      </c>
      <c r="O12" t="s">
        <v>1020</v>
      </c>
      <c r="EZ12" t="s">
        <v>229</v>
      </c>
      <c r="FA12" t="s">
        <v>227</v>
      </c>
      <c r="FC12">
        <v>0.61736111111111114</v>
      </c>
    </row>
    <row r="13" spans="1:159" x14ac:dyDescent="0.25">
      <c r="A13">
        <v>1</v>
      </c>
      <c r="B13" t="s">
        <v>302</v>
      </c>
      <c r="C13" t="s">
        <v>299</v>
      </c>
      <c r="D13" t="s">
        <v>1018</v>
      </c>
      <c r="E13" t="s">
        <v>223</v>
      </c>
      <c r="F13" s="174">
        <v>46136</v>
      </c>
      <c r="G13" t="s">
        <v>222</v>
      </c>
      <c r="H13">
        <v>12</v>
      </c>
      <c r="I13">
        <v>5</v>
      </c>
      <c r="J13" s="175">
        <v>0.48888888888888887</v>
      </c>
      <c r="K13" s="175"/>
      <c r="L13" s="175">
        <v>0.4777777777777778</v>
      </c>
      <c r="M13">
        <v>2</v>
      </c>
      <c r="N13" t="s">
        <v>1031</v>
      </c>
      <c r="O13" t="s">
        <v>1020</v>
      </c>
      <c r="DJ13" t="s">
        <v>858</v>
      </c>
      <c r="DK13">
        <v>0.79791666666666672</v>
      </c>
      <c r="DL13" t="s">
        <v>229</v>
      </c>
      <c r="DO13">
        <v>0.6743055555555556</v>
      </c>
      <c r="DT13" t="s">
        <v>229</v>
      </c>
      <c r="DW13">
        <v>0.58680555555555558</v>
      </c>
    </row>
    <row r="14" spans="1:159" x14ac:dyDescent="0.25">
      <c r="A14">
        <v>1</v>
      </c>
      <c r="B14" t="s">
        <v>302</v>
      </c>
      <c r="C14" t="s">
        <v>299</v>
      </c>
      <c r="D14" t="s">
        <v>1018</v>
      </c>
      <c r="E14" t="s">
        <v>223</v>
      </c>
      <c r="F14" s="174">
        <v>46136</v>
      </c>
      <c r="G14" t="s">
        <v>222</v>
      </c>
      <c r="H14">
        <v>13</v>
      </c>
      <c r="I14">
        <v>5</v>
      </c>
      <c r="J14" s="175">
        <v>0.48888888888888887</v>
      </c>
      <c r="K14" s="175"/>
      <c r="L14" s="175">
        <v>0.4777777777777778</v>
      </c>
      <c r="M14">
        <v>3</v>
      </c>
      <c r="N14" t="s">
        <v>1032</v>
      </c>
      <c r="O14" t="s">
        <v>1020</v>
      </c>
      <c r="FA14" t="s">
        <v>227</v>
      </c>
      <c r="FC14">
        <v>0.61875000000000002</v>
      </c>
    </row>
    <row r="15" spans="1:159" x14ac:dyDescent="0.25">
      <c r="A15">
        <v>1</v>
      </c>
      <c r="B15" t="s">
        <v>302</v>
      </c>
      <c r="C15" t="s">
        <v>299</v>
      </c>
      <c r="D15" t="s">
        <v>1018</v>
      </c>
      <c r="E15" t="s">
        <v>223</v>
      </c>
      <c r="F15" s="174">
        <v>46136</v>
      </c>
      <c r="G15" t="s">
        <v>222</v>
      </c>
      <c r="H15">
        <v>14</v>
      </c>
      <c r="I15">
        <v>6</v>
      </c>
      <c r="J15" s="175">
        <v>0.50069444444444444</v>
      </c>
      <c r="K15" s="175">
        <v>0.4777777777777778</v>
      </c>
      <c r="L15" s="175">
        <v>0.48958333333333331</v>
      </c>
      <c r="M15">
        <v>1</v>
      </c>
      <c r="N15" t="s">
        <v>1033</v>
      </c>
      <c r="O15" t="s">
        <v>1020</v>
      </c>
      <c r="FA15" t="s">
        <v>227</v>
      </c>
      <c r="FC15">
        <v>0.62013888888888891</v>
      </c>
    </row>
    <row r="16" spans="1:159" x14ac:dyDescent="0.25">
      <c r="A16">
        <v>1</v>
      </c>
      <c r="B16" t="s">
        <v>302</v>
      </c>
      <c r="C16" t="s">
        <v>299</v>
      </c>
      <c r="D16" t="s">
        <v>1018</v>
      </c>
      <c r="E16" t="s">
        <v>223</v>
      </c>
      <c r="F16" s="174">
        <v>46136</v>
      </c>
      <c r="G16" t="s">
        <v>222</v>
      </c>
      <c r="H16">
        <v>15</v>
      </c>
      <c r="I16">
        <v>6</v>
      </c>
      <c r="J16" s="175">
        <v>0.50069444444444444</v>
      </c>
      <c r="K16" s="175">
        <v>0.4777777777777778</v>
      </c>
      <c r="L16" s="175">
        <v>0.48958333333333331</v>
      </c>
      <c r="M16">
        <v>2</v>
      </c>
      <c r="N16" t="s">
        <v>1034</v>
      </c>
      <c r="O16" t="s">
        <v>1020</v>
      </c>
      <c r="FA16" t="s">
        <v>227</v>
      </c>
      <c r="FC16">
        <v>0.62013888888888891</v>
      </c>
    </row>
    <row r="17" spans="1:159" x14ac:dyDescent="0.25">
      <c r="A17">
        <v>1</v>
      </c>
      <c r="B17" t="s">
        <v>302</v>
      </c>
      <c r="C17" t="s">
        <v>299</v>
      </c>
      <c r="D17" t="s">
        <v>1018</v>
      </c>
      <c r="E17" t="s">
        <v>223</v>
      </c>
      <c r="F17" s="174">
        <v>46136</v>
      </c>
      <c r="G17" t="s">
        <v>222</v>
      </c>
      <c r="H17">
        <v>16</v>
      </c>
      <c r="I17">
        <v>6</v>
      </c>
      <c r="J17" s="175">
        <v>0.50069444444444444</v>
      </c>
      <c r="K17" s="175">
        <v>0.4777777777777778</v>
      </c>
      <c r="L17" s="175">
        <v>0.48958333333333331</v>
      </c>
      <c r="M17">
        <v>3</v>
      </c>
      <c r="N17" t="s">
        <v>1035</v>
      </c>
      <c r="O17" t="s">
        <v>1020</v>
      </c>
      <c r="FA17" t="s">
        <v>227</v>
      </c>
      <c r="FC17">
        <v>0.62013888888888891</v>
      </c>
    </row>
    <row r="18" spans="1:159" x14ac:dyDescent="0.25">
      <c r="A18">
        <v>1</v>
      </c>
      <c r="B18" t="s">
        <v>302</v>
      </c>
      <c r="C18" t="s">
        <v>299</v>
      </c>
      <c r="D18" t="s">
        <v>1018</v>
      </c>
      <c r="E18" t="s">
        <v>223</v>
      </c>
      <c r="F18" s="174">
        <v>46136</v>
      </c>
      <c r="G18" t="s">
        <v>222</v>
      </c>
      <c r="H18">
        <v>17</v>
      </c>
      <c r="I18">
        <v>7</v>
      </c>
      <c r="J18" s="175">
        <v>0.50069444444444444</v>
      </c>
      <c r="K18" s="175">
        <v>0.49027777777777776</v>
      </c>
      <c r="L18" s="175">
        <v>0.49652777777777779</v>
      </c>
      <c r="M18">
        <v>1</v>
      </c>
      <c r="N18" t="s">
        <v>1036</v>
      </c>
      <c r="O18" t="s">
        <v>1020</v>
      </c>
      <c r="EV18" t="s">
        <v>229</v>
      </c>
      <c r="EY18">
        <v>15</v>
      </c>
    </row>
    <row r="19" spans="1:159" x14ac:dyDescent="0.25">
      <c r="A19">
        <v>1</v>
      </c>
      <c r="B19" t="s">
        <v>302</v>
      </c>
      <c r="C19" t="s">
        <v>299</v>
      </c>
      <c r="D19" t="s">
        <v>1018</v>
      </c>
      <c r="E19" t="s">
        <v>223</v>
      </c>
      <c r="F19" s="174">
        <v>46136</v>
      </c>
      <c r="G19" t="s">
        <v>222</v>
      </c>
      <c r="H19">
        <v>18</v>
      </c>
      <c r="I19">
        <v>7</v>
      </c>
      <c r="J19" s="175">
        <v>0.50069444444444444</v>
      </c>
      <c r="K19" s="175">
        <v>0.49027777777777776</v>
      </c>
      <c r="L19" s="175">
        <v>0.49652777777777779</v>
      </c>
      <c r="M19">
        <v>2</v>
      </c>
      <c r="N19" t="s">
        <v>1037</v>
      </c>
      <c r="O19" t="s">
        <v>1020</v>
      </c>
      <c r="FA19" t="s">
        <v>227</v>
      </c>
      <c r="FC19">
        <v>0.625</v>
      </c>
    </row>
    <row r="20" spans="1:159" x14ac:dyDescent="0.25">
      <c r="A20">
        <v>1</v>
      </c>
      <c r="B20" t="s">
        <v>302</v>
      </c>
      <c r="C20" t="s">
        <v>299</v>
      </c>
      <c r="D20" t="s">
        <v>1018</v>
      </c>
      <c r="E20" t="s">
        <v>223</v>
      </c>
      <c r="F20" s="174">
        <v>46136</v>
      </c>
      <c r="G20" t="s">
        <v>222</v>
      </c>
      <c r="H20">
        <v>19</v>
      </c>
      <c r="I20">
        <v>7</v>
      </c>
      <c r="J20" s="175">
        <v>0.50069444444444444</v>
      </c>
      <c r="K20" s="175">
        <v>0.49027777777777776</v>
      </c>
      <c r="L20" s="175">
        <v>0.49652777777777779</v>
      </c>
      <c r="M20">
        <v>3</v>
      </c>
      <c r="N20" t="s">
        <v>1038</v>
      </c>
      <c r="O20" t="s">
        <v>1020</v>
      </c>
      <c r="BO20">
        <v>9</v>
      </c>
      <c r="BP20" t="s">
        <v>229</v>
      </c>
      <c r="BS20">
        <v>16</v>
      </c>
      <c r="BT20" t="s">
        <v>229</v>
      </c>
      <c r="BW20">
        <v>13</v>
      </c>
      <c r="CB20" t="s">
        <v>226</v>
      </c>
      <c r="CE20" t="s">
        <v>943</v>
      </c>
      <c r="CZ20" t="s">
        <v>226</v>
      </c>
      <c r="DC20">
        <v>0.7993055555555556</v>
      </c>
      <c r="DP20" t="s">
        <v>226</v>
      </c>
      <c r="DS20">
        <v>0.6743055555555556</v>
      </c>
      <c r="DT20" t="s">
        <v>226</v>
      </c>
      <c r="DW20">
        <v>0.62361111111111112</v>
      </c>
    </row>
    <row r="21" spans="1:159" x14ac:dyDescent="0.25">
      <c r="A21">
        <v>1</v>
      </c>
      <c r="B21" t="s">
        <v>302</v>
      </c>
      <c r="C21" t="s">
        <v>299</v>
      </c>
      <c r="D21" t="s">
        <v>1018</v>
      </c>
      <c r="E21" t="s">
        <v>223</v>
      </c>
      <c r="F21" s="174">
        <v>46136</v>
      </c>
      <c r="G21" t="s">
        <v>222</v>
      </c>
      <c r="H21">
        <v>20</v>
      </c>
      <c r="I21">
        <v>8</v>
      </c>
      <c r="J21" s="175">
        <v>0.5229166666666667</v>
      </c>
      <c r="K21" s="175">
        <v>0.50208333333333333</v>
      </c>
      <c r="L21" s="175">
        <v>0.51111111111111107</v>
      </c>
      <c r="M21">
        <v>1</v>
      </c>
      <c r="N21" t="s">
        <v>1039</v>
      </c>
      <c r="O21" t="s">
        <v>1020</v>
      </c>
      <c r="FA21" t="s">
        <v>227</v>
      </c>
      <c r="FC21">
        <v>0.62708333333333333</v>
      </c>
    </row>
    <row r="22" spans="1:159" x14ac:dyDescent="0.25">
      <c r="A22">
        <v>1</v>
      </c>
      <c r="B22" t="s">
        <v>302</v>
      </c>
      <c r="C22" t="s">
        <v>299</v>
      </c>
      <c r="D22" t="s">
        <v>1018</v>
      </c>
      <c r="E22" t="s">
        <v>223</v>
      </c>
      <c r="F22" s="174">
        <v>46136</v>
      </c>
      <c r="G22" t="s">
        <v>222</v>
      </c>
      <c r="H22">
        <v>21</v>
      </c>
      <c r="I22">
        <v>8</v>
      </c>
      <c r="J22" s="175">
        <v>0.5229166666666667</v>
      </c>
      <c r="K22" s="175">
        <v>0.50208333333333333</v>
      </c>
      <c r="L22" s="175">
        <v>0.51111111111111107</v>
      </c>
      <c r="M22">
        <v>2</v>
      </c>
      <c r="N22" t="s">
        <v>1040</v>
      </c>
      <c r="O22" t="s">
        <v>1020</v>
      </c>
      <c r="EV22" t="s">
        <v>229</v>
      </c>
      <c r="EY22">
        <v>0.62708333333333333</v>
      </c>
    </row>
    <row r="23" spans="1:159" x14ac:dyDescent="0.25">
      <c r="A23">
        <v>1</v>
      </c>
      <c r="B23" t="s">
        <v>302</v>
      </c>
      <c r="C23" t="s">
        <v>299</v>
      </c>
      <c r="D23" t="s">
        <v>1018</v>
      </c>
      <c r="E23" t="s">
        <v>223</v>
      </c>
      <c r="F23" s="174">
        <v>46136</v>
      </c>
      <c r="G23" t="s">
        <v>222</v>
      </c>
      <c r="H23">
        <v>22</v>
      </c>
      <c r="I23">
        <v>8</v>
      </c>
      <c r="J23" s="175">
        <v>0.5229166666666667</v>
      </c>
      <c r="K23" s="175">
        <v>0.50208333333333333</v>
      </c>
      <c r="L23" s="175">
        <v>0.51111111111111107</v>
      </c>
      <c r="M23">
        <v>3</v>
      </c>
      <c r="N23" t="s">
        <v>1041</v>
      </c>
      <c r="O23" t="s">
        <v>1020</v>
      </c>
      <c r="FA23" t="s">
        <v>227</v>
      </c>
      <c r="FC23">
        <v>0.62708333333333333</v>
      </c>
    </row>
    <row r="24" spans="1:159" x14ac:dyDescent="0.25">
      <c r="A24">
        <v>1</v>
      </c>
      <c r="B24" t="s">
        <v>302</v>
      </c>
      <c r="C24" t="s">
        <v>299</v>
      </c>
      <c r="D24" t="s">
        <v>1018</v>
      </c>
      <c r="E24" t="s">
        <v>223</v>
      </c>
      <c r="F24" s="174">
        <v>46136</v>
      </c>
      <c r="G24" t="s">
        <v>222</v>
      </c>
      <c r="H24">
        <v>23</v>
      </c>
      <c r="I24">
        <v>9</v>
      </c>
      <c r="J24" s="175">
        <v>0.53125</v>
      </c>
      <c r="K24" s="175">
        <v>0.51249999999999996</v>
      </c>
      <c r="L24" s="175">
        <v>0.52013888888888893</v>
      </c>
      <c r="M24">
        <v>1</v>
      </c>
      <c r="N24" t="s">
        <v>1042</v>
      </c>
      <c r="O24" t="s">
        <v>1020</v>
      </c>
      <c r="FA24" t="s">
        <v>227</v>
      </c>
      <c r="FC24">
        <v>0.62847222222222221</v>
      </c>
    </row>
    <row r="25" spans="1:159" x14ac:dyDescent="0.25">
      <c r="A25">
        <v>1</v>
      </c>
      <c r="B25" t="s">
        <v>302</v>
      </c>
      <c r="C25" t="s">
        <v>299</v>
      </c>
      <c r="D25" t="s">
        <v>1018</v>
      </c>
      <c r="E25" t="s">
        <v>223</v>
      </c>
      <c r="F25" s="174">
        <v>46136</v>
      </c>
      <c r="G25" t="s">
        <v>222</v>
      </c>
      <c r="H25">
        <v>24</v>
      </c>
      <c r="I25">
        <v>9</v>
      </c>
      <c r="J25" s="175">
        <v>0.53125</v>
      </c>
      <c r="K25" s="175">
        <v>0.51249999999999996</v>
      </c>
      <c r="L25" s="175">
        <v>0.52013888888888893</v>
      </c>
      <c r="M25">
        <v>2</v>
      </c>
      <c r="N25" t="s">
        <v>1043</v>
      </c>
      <c r="O25" t="s">
        <v>1020</v>
      </c>
      <c r="EV25" t="s">
        <v>229</v>
      </c>
      <c r="EY25">
        <v>0.62847222222222221</v>
      </c>
    </row>
    <row r="26" spans="1:159" x14ac:dyDescent="0.25">
      <c r="A26">
        <v>1</v>
      </c>
      <c r="B26" t="s">
        <v>302</v>
      </c>
      <c r="C26" t="s">
        <v>299</v>
      </c>
      <c r="D26" t="s">
        <v>1018</v>
      </c>
      <c r="E26" t="s">
        <v>223</v>
      </c>
      <c r="F26" s="174">
        <v>46136</v>
      </c>
      <c r="G26" t="s">
        <v>222</v>
      </c>
      <c r="H26">
        <v>25</v>
      </c>
      <c r="I26">
        <v>9</v>
      </c>
      <c r="J26" s="175">
        <v>0.53125</v>
      </c>
      <c r="K26" s="175">
        <v>0.51249999999999996</v>
      </c>
      <c r="L26" s="175">
        <v>0.52013888888888893</v>
      </c>
      <c r="M26">
        <v>3</v>
      </c>
      <c r="N26" t="s">
        <v>1044</v>
      </c>
      <c r="O26" t="s">
        <v>1020</v>
      </c>
      <c r="FA26" t="s">
        <v>227</v>
      </c>
      <c r="FC26">
        <v>0.62847222222222221</v>
      </c>
    </row>
    <row r="27" spans="1:159" x14ac:dyDescent="0.25">
      <c r="A27">
        <v>1</v>
      </c>
      <c r="B27" t="s">
        <v>302</v>
      </c>
      <c r="C27" t="s">
        <v>299</v>
      </c>
      <c r="D27" t="s">
        <v>1018</v>
      </c>
      <c r="E27" t="s">
        <v>223</v>
      </c>
      <c r="F27" s="174">
        <v>46136</v>
      </c>
      <c r="G27" t="s">
        <v>222</v>
      </c>
      <c r="H27">
        <v>26</v>
      </c>
      <c r="I27">
        <v>10</v>
      </c>
      <c r="J27" s="175">
        <v>0.5395833333333333</v>
      </c>
      <c r="K27" s="175">
        <v>0.50208333333333333</v>
      </c>
      <c r="L27" s="175">
        <v>0.52847222222222223</v>
      </c>
      <c r="M27">
        <v>1</v>
      </c>
      <c r="N27" t="s">
        <v>1045</v>
      </c>
      <c r="O27" t="s">
        <v>1020</v>
      </c>
      <c r="CZ27" t="s">
        <v>229</v>
      </c>
      <c r="DA27" t="s">
        <v>858</v>
      </c>
      <c r="DD27" t="s">
        <v>229</v>
      </c>
      <c r="DG27" t="s">
        <v>943</v>
      </c>
      <c r="DL27" t="s">
        <v>229</v>
      </c>
      <c r="DO27">
        <v>0.7993055555555556</v>
      </c>
      <c r="DT27" t="s">
        <v>229</v>
      </c>
      <c r="DW27">
        <v>0.67500000000000004</v>
      </c>
      <c r="EB27" t="s">
        <v>229</v>
      </c>
      <c r="EE27">
        <v>0.62986111111111109</v>
      </c>
    </row>
    <row r="28" spans="1:159" x14ac:dyDescent="0.25">
      <c r="A28">
        <v>1</v>
      </c>
      <c r="B28" t="s">
        <v>302</v>
      </c>
      <c r="C28" t="s">
        <v>299</v>
      </c>
      <c r="D28" t="s">
        <v>1018</v>
      </c>
      <c r="E28" t="s">
        <v>223</v>
      </c>
      <c r="F28" s="174">
        <v>46136</v>
      </c>
      <c r="G28" t="s">
        <v>222</v>
      </c>
      <c r="H28">
        <v>27</v>
      </c>
      <c r="I28">
        <v>10</v>
      </c>
      <c r="J28" s="175">
        <v>0.5395833333333333</v>
      </c>
      <c r="K28" s="175">
        <v>0.50208333333333333</v>
      </c>
      <c r="L28" s="175">
        <v>0.52847222222222223</v>
      </c>
      <c r="M28">
        <v>2</v>
      </c>
      <c r="N28" t="s">
        <v>1046</v>
      </c>
      <c r="O28" t="s">
        <v>1020</v>
      </c>
      <c r="FA28" t="s">
        <v>227</v>
      </c>
      <c r="FC28">
        <v>0.62916666666666665</v>
      </c>
    </row>
    <row r="29" spans="1:159" x14ac:dyDescent="0.25">
      <c r="A29">
        <v>1</v>
      </c>
      <c r="B29" t="s">
        <v>302</v>
      </c>
      <c r="C29" t="s">
        <v>299</v>
      </c>
      <c r="D29" t="s">
        <v>1018</v>
      </c>
      <c r="E29" t="s">
        <v>223</v>
      </c>
      <c r="F29" s="174">
        <v>46136</v>
      </c>
      <c r="G29" t="s">
        <v>222</v>
      </c>
      <c r="H29">
        <v>28</v>
      </c>
      <c r="I29">
        <v>10</v>
      </c>
      <c r="J29" s="175">
        <v>0.5395833333333333</v>
      </c>
      <c r="K29" s="175">
        <v>0.50208333333333333</v>
      </c>
      <c r="L29" s="175">
        <v>0.52847222222222223</v>
      </c>
      <c r="M29">
        <v>3</v>
      </c>
      <c r="N29" t="s">
        <v>1047</v>
      </c>
      <c r="O29" t="s">
        <v>1020</v>
      </c>
      <c r="FA29" t="s">
        <v>227</v>
      </c>
      <c r="FC29">
        <v>0.62916666666666665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BCE1-73F8-4587-B9CC-7228575E853D}">
  <sheetPr>
    <tabColor theme="6" tint="0.39997558519241921"/>
  </sheetPr>
  <dimension ref="A1:GM29"/>
  <sheetViews>
    <sheetView workbookViewId="0"/>
  </sheetViews>
  <sheetFormatPr defaultRowHeight="15" x14ac:dyDescent="0.25"/>
  <cols>
    <col min="1" max="1" width="6.7109375" bestFit="1" customWidth="1"/>
    <col min="2" max="2" width="11.28515625" bestFit="1" customWidth="1"/>
    <col min="3" max="3" width="8.85546875" bestFit="1" customWidth="1"/>
    <col min="4" max="4" width="13.28515625" bestFit="1" customWidth="1"/>
    <col min="5" max="5" width="12.140625" bestFit="1" customWidth="1"/>
    <col min="6" max="6" width="9.42578125" bestFit="1" customWidth="1"/>
    <col min="7" max="7" width="21.42578125" bestFit="1" customWidth="1"/>
    <col min="8" max="8" width="10.7109375" bestFit="1" customWidth="1"/>
    <col min="9" max="9" width="8.7109375" bestFit="1" customWidth="1"/>
    <col min="10" max="10" width="14.5703125" bestFit="1" customWidth="1"/>
    <col min="11" max="12" width="11.28515625" bestFit="1" customWidth="1"/>
    <col min="13" max="13" width="9.7109375" bestFit="1" customWidth="1"/>
    <col min="14" max="14" width="18.140625" bestFit="1" customWidth="1"/>
    <col min="15" max="18" width="14.28515625" bestFit="1" customWidth="1"/>
    <col min="19" max="21" width="15.42578125" bestFit="1" customWidth="1"/>
    <col min="22" max="24" width="16.42578125" bestFit="1" customWidth="1"/>
    <col min="25" max="25" width="14" bestFit="1" customWidth="1"/>
    <col min="26" max="26" width="13.85546875" bestFit="1" customWidth="1"/>
    <col min="27" max="27" width="14.42578125" bestFit="1" customWidth="1"/>
    <col min="28" max="28" width="15.7109375" bestFit="1" customWidth="1"/>
    <col min="29" max="29" width="14.7109375" bestFit="1" customWidth="1"/>
    <col min="30" max="31" width="16.85546875" bestFit="1" customWidth="1"/>
    <col min="32" max="32" width="14.5703125" bestFit="1" customWidth="1"/>
    <col min="33" max="33" width="14.42578125" bestFit="1" customWidth="1"/>
    <col min="34" max="35" width="16.85546875" bestFit="1" customWidth="1"/>
    <col min="36" max="44" width="14.28515625" bestFit="1" customWidth="1"/>
    <col min="45" max="50" width="15.42578125" bestFit="1" customWidth="1"/>
    <col min="51" max="51" width="12" bestFit="1" customWidth="1"/>
    <col min="52" max="54" width="6.7109375" bestFit="1" customWidth="1"/>
    <col min="55" max="55" width="12" bestFit="1" customWidth="1"/>
    <col min="56" max="66" width="6.7109375" bestFit="1" customWidth="1"/>
    <col min="67" max="74" width="7.7109375" bestFit="1" customWidth="1"/>
    <col min="75" max="75" width="12" bestFit="1" customWidth="1"/>
    <col min="76" max="78" width="7.7109375" bestFit="1" customWidth="1"/>
    <col min="79" max="79" width="12" bestFit="1" customWidth="1"/>
    <col min="80" max="82" width="8.7109375" bestFit="1" customWidth="1"/>
    <col min="83" max="83" width="12" bestFit="1" customWidth="1"/>
    <col min="84" max="86" width="8.7109375" bestFit="1" customWidth="1"/>
    <col min="87" max="87" width="12" bestFit="1" customWidth="1"/>
    <col min="88" max="90" width="8.7109375" bestFit="1" customWidth="1"/>
    <col min="91" max="91" width="12" bestFit="1" customWidth="1"/>
    <col min="92" max="94" width="6.42578125" bestFit="1" customWidth="1"/>
    <col min="95" max="95" width="12" bestFit="1" customWidth="1"/>
    <col min="96" max="98" width="6.28515625" bestFit="1" customWidth="1"/>
    <col min="99" max="99" width="17.85546875" bestFit="1" customWidth="1"/>
    <col min="100" max="102" width="6.85546875" bestFit="1" customWidth="1"/>
    <col min="103" max="103" width="12" bestFit="1" customWidth="1"/>
    <col min="104" max="106" width="8" bestFit="1" customWidth="1"/>
    <col min="107" max="107" width="12" bestFit="1" customWidth="1"/>
    <col min="108" max="110" width="7.140625" bestFit="1" customWidth="1"/>
    <col min="111" max="111" width="12" bestFit="1" customWidth="1"/>
    <col min="119" max="122" width="7" bestFit="1" customWidth="1"/>
    <col min="123" max="123" width="12" bestFit="1" customWidth="1"/>
    <col min="124" max="126" width="6.85546875" bestFit="1" customWidth="1"/>
    <col min="127" max="127" width="17.85546875" bestFit="1" customWidth="1"/>
    <col min="135" max="170" width="6.7109375" bestFit="1" customWidth="1"/>
    <col min="171" max="194" width="7.7109375" bestFit="1" customWidth="1"/>
    <col min="195" max="195" width="13.7109375" bestFit="1" customWidth="1"/>
  </cols>
  <sheetData>
    <row r="1" spans="1:195" x14ac:dyDescent="0.25">
      <c r="A1" t="s">
        <v>936</v>
      </c>
      <c r="B1" t="s">
        <v>937</v>
      </c>
      <c r="C1" t="s">
        <v>45</v>
      </c>
      <c r="D1" t="s">
        <v>938</v>
      </c>
      <c r="E1" t="s">
        <v>940</v>
      </c>
      <c r="F1" t="s">
        <v>0</v>
      </c>
      <c r="G1" t="s">
        <v>942</v>
      </c>
      <c r="H1" t="s">
        <v>935</v>
      </c>
      <c r="I1" t="s">
        <v>749</v>
      </c>
      <c r="J1" t="s">
        <v>939</v>
      </c>
      <c r="K1" t="s">
        <v>751</v>
      </c>
      <c r="L1" t="s">
        <v>752</v>
      </c>
      <c r="M1" t="s">
        <v>750</v>
      </c>
      <c r="N1" t="s">
        <v>941</v>
      </c>
      <c r="O1" t="s">
        <v>981</v>
      </c>
      <c r="P1" t="s">
        <v>982</v>
      </c>
      <c r="Q1" t="s">
        <v>983</v>
      </c>
      <c r="R1" t="s">
        <v>984</v>
      </c>
      <c r="S1" t="s">
        <v>985</v>
      </c>
      <c r="T1" t="s">
        <v>986</v>
      </c>
      <c r="U1" t="s">
        <v>987</v>
      </c>
      <c r="V1" t="s">
        <v>988</v>
      </c>
      <c r="W1" t="s">
        <v>989</v>
      </c>
      <c r="X1" t="s">
        <v>990</v>
      </c>
      <c r="Y1" t="s">
        <v>991</v>
      </c>
      <c r="Z1" t="s">
        <v>992</v>
      </c>
      <c r="AA1" t="s">
        <v>993</v>
      </c>
      <c r="AB1" t="s">
        <v>994</v>
      </c>
      <c r="AC1" t="s">
        <v>995</v>
      </c>
      <c r="AD1" t="s">
        <v>996</v>
      </c>
      <c r="AE1" t="s">
        <v>997</v>
      </c>
      <c r="AF1" t="s">
        <v>998</v>
      </c>
      <c r="AG1" t="s">
        <v>999</v>
      </c>
      <c r="AH1" t="s">
        <v>1000</v>
      </c>
      <c r="AI1" t="s">
        <v>1001</v>
      </c>
      <c r="AJ1" t="s">
        <v>1002</v>
      </c>
      <c r="AK1" t="s">
        <v>1003</v>
      </c>
      <c r="AL1" t="s">
        <v>1004</v>
      </c>
      <c r="AM1" t="s">
        <v>1005</v>
      </c>
      <c r="AN1" t="s">
        <v>1006</v>
      </c>
      <c r="AO1" t="s">
        <v>1007</v>
      </c>
      <c r="AP1" t="s">
        <v>1008</v>
      </c>
      <c r="AQ1" t="s">
        <v>1009</v>
      </c>
      <c r="AR1" t="s">
        <v>1010</v>
      </c>
      <c r="AS1" t="s">
        <v>1011</v>
      </c>
      <c r="AT1" t="s">
        <v>1012</v>
      </c>
      <c r="AU1" t="s">
        <v>1013</v>
      </c>
      <c r="AV1" t="s">
        <v>1014</v>
      </c>
      <c r="AW1" t="s">
        <v>1015</v>
      </c>
      <c r="AX1" t="s">
        <v>1016</v>
      </c>
      <c r="AY1" t="s">
        <v>754</v>
      </c>
      <c r="AZ1" t="s">
        <v>755</v>
      </c>
      <c r="BA1" t="s">
        <v>756</v>
      </c>
      <c r="BB1" t="s">
        <v>761</v>
      </c>
      <c r="BC1" t="s">
        <v>758</v>
      </c>
      <c r="BD1" t="s">
        <v>759</v>
      </c>
      <c r="BE1" t="s">
        <v>760</v>
      </c>
      <c r="BF1" t="s">
        <v>762</v>
      </c>
      <c r="BG1" t="s">
        <v>764</v>
      </c>
      <c r="BH1" t="s">
        <v>765</v>
      </c>
      <c r="BI1" t="s">
        <v>766</v>
      </c>
      <c r="BJ1" t="s">
        <v>767</v>
      </c>
      <c r="BK1" t="s">
        <v>769</v>
      </c>
      <c r="BL1" t="s">
        <v>770</v>
      </c>
      <c r="BM1" t="s">
        <v>771</v>
      </c>
      <c r="BN1" t="s">
        <v>772</v>
      </c>
      <c r="BO1" t="s">
        <v>774</v>
      </c>
      <c r="BP1" t="s">
        <v>775</v>
      </c>
      <c r="BQ1" t="s">
        <v>776</v>
      </c>
      <c r="BR1" t="s">
        <v>777</v>
      </c>
      <c r="BS1" t="s">
        <v>779</v>
      </c>
      <c r="BT1" t="s">
        <v>780</v>
      </c>
      <c r="BU1" t="s">
        <v>781</v>
      </c>
      <c r="BV1" t="s">
        <v>782</v>
      </c>
      <c r="BW1" t="s">
        <v>784</v>
      </c>
      <c r="BX1" t="s">
        <v>785</v>
      </c>
      <c r="BY1" t="s">
        <v>786</v>
      </c>
      <c r="BZ1" t="s">
        <v>787</v>
      </c>
      <c r="CA1" t="s">
        <v>789</v>
      </c>
      <c r="CB1" t="s">
        <v>790</v>
      </c>
      <c r="CC1" t="s">
        <v>791</v>
      </c>
      <c r="CD1" t="s">
        <v>792</v>
      </c>
      <c r="CE1" t="s">
        <v>794</v>
      </c>
      <c r="CF1" t="s">
        <v>795</v>
      </c>
      <c r="CG1" t="s">
        <v>796</v>
      </c>
      <c r="CH1" t="s">
        <v>797</v>
      </c>
      <c r="CI1" t="s">
        <v>799</v>
      </c>
      <c r="CJ1" t="s">
        <v>800</v>
      </c>
      <c r="CK1" t="s">
        <v>801</v>
      </c>
      <c r="CL1" t="s">
        <v>802</v>
      </c>
      <c r="CM1" t="s">
        <v>804</v>
      </c>
      <c r="CN1" t="s">
        <v>805</v>
      </c>
      <c r="CO1" t="s">
        <v>806</v>
      </c>
      <c r="CP1" t="s">
        <v>807</v>
      </c>
      <c r="CQ1" t="s">
        <v>809</v>
      </c>
      <c r="CR1" t="s">
        <v>810</v>
      </c>
      <c r="CS1" t="s">
        <v>811</v>
      </c>
      <c r="CT1" t="s">
        <v>812</v>
      </c>
      <c r="CU1" t="s">
        <v>814</v>
      </c>
      <c r="CV1" t="s">
        <v>815</v>
      </c>
      <c r="CW1" t="s">
        <v>816</v>
      </c>
      <c r="CX1" t="s">
        <v>817</v>
      </c>
      <c r="CY1" t="s">
        <v>819</v>
      </c>
      <c r="CZ1" t="s">
        <v>820</v>
      </c>
      <c r="DA1" t="s">
        <v>821</v>
      </c>
      <c r="DB1" t="s">
        <v>822</v>
      </c>
      <c r="DC1" t="s">
        <v>824</v>
      </c>
      <c r="DD1" t="s">
        <v>825</v>
      </c>
      <c r="DE1" t="s">
        <v>826</v>
      </c>
      <c r="DF1" t="s">
        <v>827</v>
      </c>
      <c r="DG1" t="s">
        <v>829</v>
      </c>
      <c r="DH1" t="s">
        <v>830</v>
      </c>
      <c r="DI1" t="s">
        <v>831</v>
      </c>
      <c r="DJ1" t="s">
        <v>832</v>
      </c>
      <c r="DK1" t="s">
        <v>834</v>
      </c>
      <c r="DL1" t="s">
        <v>835</v>
      </c>
      <c r="DM1" t="s">
        <v>836</v>
      </c>
      <c r="DN1" t="s">
        <v>837</v>
      </c>
      <c r="DO1" t="s">
        <v>839</v>
      </c>
      <c r="DP1" t="s">
        <v>840</v>
      </c>
      <c r="DQ1" t="s">
        <v>841</v>
      </c>
      <c r="DR1" t="s">
        <v>842</v>
      </c>
      <c r="DS1" t="s">
        <v>844</v>
      </c>
      <c r="DT1" t="s">
        <v>845</v>
      </c>
      <c r="DU1" t="s">
        <v>846</v>
      </c>
      <c r="DV1" t="s">
        <v>847</v>
      </c>
      <c r="DW1" t="s">
        <v>849</v>
      </c>
      <c r="DX1" t="s">
        <v>850</v>
      </c>
      <c r="DY1" t="s">
        <v>851</v>
      </c>
      <c r="DZ1" t="s">
        <v>852</v>
      </c>
      <c r="EA1" t="s">
        <v>854</v>
      </c>
      <c r="EB1" t="s">
        <v>855</v>
      </c>
      <c r="EC1" t="s">
        <v>856</v>
      </c>
      <c r="ED1" t="s">
        <v>857</v>
      </c>
      <c r="EE1" t="s">
        <v>860</v>
      </c>
      <c r="EF1" t="s">
        <v>861</v>
      </c>
      <c r="EG1" t="s">
        <v>862</v>
      </c>
      <c r="EH1" t="s">
        <v>863</v>
      </c>
      <c r="EI1" t="s">
        <v>865</v>
      </c>
      <c r="EJ1" t="s">
        <v>866</v>
      </c>
      <c r="EK1" t="s">
        <v>867</v>
      </c>
      <c r="EL1" t="s">
        <v>868</v>
      </c>
      <c r="EM1" t="s">
        <v>870</v>
      </c>
      <c r="EN1" t="s">
        <v>871</v>
      </c>
      <c r="EO1" t="s">
        <v>872</v>
      </c>
      <c r="EP1" t="s">
        <v>873</v>
      </c>
      <c r="EQ1" t="s">
        <v>875</v>
      </c>
      <c r="ER1" t="s">
        <v>876</v>
      </c>
      <c r="ES1" t="s">
        <v>877</v>
      </c>
      <c r="ET1" t="s">
        <v>878</v>
      </c>
      <c r="EU1" t="s">
        <v>880</v>
      </c>
      <c r="EV1" t="s">
        <v>881</v>
      </c>
      <c r="EW1" t="s">
        <v>882</v>
      </c>
      <c r="EX1" t="s">
        <v>883</v>
      </c>
      <c r="EY1" t="s">
        <v>885</v>
      </c>
      <c r="EZ1" t="s">
        <v>886</v>
      </c>
      <c r="FA1" t="s">
        <v>887</v>
      </c>
      <c r="FB1" t="s">
        <v>888</v>
      </c>
      <c r="FC1" t="s">
        <v>890</v>
      </c>
      <c r="FD1" t="s">
        <v>891</v>
      </c>
      <c r="FE1" t="s">
        <v>892</v>
      </c>
      <c r="FF1" t="s">
        <v>893</v>
      </c>
      <c r="FG1" t="s">
        <v>895</v>
      </c>
      <c r="FH1" t="s">
        <v>896</v>
      </c>
      <c r="FI1" t="s">
        <v>897</v>
      </c>
      <c r="FJ1" t="s">
        <v>898</v>
      </c>
      <c r="FK1" t="s">
        <v>900</v>
      </c>
      <c r="FL1" t="s">
        <v>901</v>
      </c>
      <c r="FM1" t="s">
        <v>902</v>
      </c>
      <c r="FN1" t="s">
        <v>903</v>
      </c>
      <c r="FO1" t="s">
        <v>905</v>
      </c>
      <c r="FP1" t="s">
        <v>906</v>
      </c>
      <c r="FQ1" t="s">
        <v>907</v>
      </c>
      <c r="FR1" t="s">
        <v>908</v>
      </c>
      <c r="FS1" t="s">
        <v>910</v>
      </c>
      <c r="FT1" t="s">
        <v>911</v>
      </c>
      <c r="FU1" t="s">
        <v>912</v>
      </c>
      <c r="FV1" t="s">
        <v>913</v>
      </c>
      <c r="FW1" t="s">
        <v>915</v>
      </c>
      <c r="FX1" t="s">
        <v>916</v>
      </c>
      <c r="FY1" t="s">
        <v>917</v>
      </c>
      <c r="FZ1" t="s">
        <v>918</v>
      </c>
      <c r="GA1" t="s">
        <v>920</v>
      </c>
      <c r="GB1" t="s">
        <v>921</v>
      </c>
      <c r="GC1" t="s">
        <v>922</v>
      </c>
      <c r="GD1" t="s">
        <v>923</v>
      </c>
      <c r="GE1" t="s">
        <v>925</v>
      </c>
      <c r="GF1" t="s">
        <v>926</v>
      </c>
      <c r="GG1" t="s">
        <v>927</v>
      </c>
      <c r="GH1" t="s">
        <v>928</v>
      </c>
      <c r="GI1" t="s">
        <v>930</v>
      </c>
      <c r="GJ1" t="s">
        <v>931</v>
      </c>
      <c r="GK1" t="s">
        <v>932</v>
      </c>
      <c r="GL1" t="s">
        <v>933</v>
      </c>
      <c r="GM1" t="s">
        <v>1017</v>
      </c>
    </row>
    <row r="2" spans="1:195" x14ac:dyDescent="0.25">
      <c r="A2">
        <v>1</v>
      </c>
      <c r="B2" t="s">
        <v>302</v>
      </c>
      <c r="C2" t="s">
        <v>299</v>
      </c>
      <c r="D2" t="s">
        <v>1018</v>
      </c>
      <c r="E2" t="s">
        <v>223</v>
      </c>
      <c r="F2" s="174">
        <v>46136</v>
      </c>
      <c r="G2" t="s">
        <v>222</v>
      </c>
      <c r="H2">
        <v>1</v>
      </c>
      <c r="I2">
        <v>1</v>
      </c>
      <c r="J2" s="175">
        <v>0.45763888888888887</v>
      </c>
      <c r="K2" s="175"/>
      <c r="L2" s="175">
        <v>0.44791666666666669</v>
      </c>
      <c r="M2">
        <v>1</v>
      </c>
      <c r="N2" t="s">
        <v>1019</v>
      </c>
      <c r="P2">
        <v>0</v>
      </c>
      <c r="BC2">
        <v>0.60486111111111107</v>
      </c>
      <c r="GM2" t="s">
        <v>1020</v>
      </c>
    </row>
    <row r="3" spans="1:195" x14ac:dyDescent="0.25">
      <c r="A3">
        <v>1</v>
      </c>
      <c r="B3" t="s">
        <v>302</v>
      </c>
      <c r="C3" t="s">
        <v>299</v>
      </c>
      <c r="D3" t="s">
        <v>1018</v>
      </c>
      <c r="E3" t="s">
        <v>223</v>
      </c>
      <c r="F3" s="174">
        <v>46136</v>
      </c>
      <c r="G3" t="s">
        <v>222</v>
      </c>
      <c r="H3">
        <v>2</v>
      </c>
      <c r="I3">
        <v>1</v>
      </c>
      <c r="J3" s="175">
        <v>0.45763888888888887</v>
      </c>
      <c r="K3" s="175"/>
      <c r="L3" s="175">
        <v>0.44791666666666669</v>
      </c>
      <c r="M3">
        <v>2</v>
      </c>
      <c r="N3" t="s">
        <v>1021</v>
      </c>
      <c r="Y3">
        <v>1</v>
      </c>
      <c r="AC3">
        <v>1</v>
      </c>
      <c r="AD3">
        <v>0</v>
      </c>
      <c r="CM3">
        <v>0.60486111111111107</v>
      </c>
      <c r="CP3" t="s">
        <v>226</v>
      </c>
      <c r="DC3">
        <v>0.67083333333333328</v>
      </c>
      <c r="DF3" t="s">
        <v>226</v>
      </c>
      <c r="DG3">
        <v>0.79513888888888884</v>
      </c>
      <c r="DH3" t="s">
        <v>858</v>
      </c>
      <c r="GM3" t="s">
        <v>1020</v>
      </c>
    </row>
    <row r="4" spans="1:195" x14ac:dyDescent="0.25">
      <c r="A4">
        <v>1</v>
      </c>
      <c r="B4" t="s">
        <v>302</v>
      </c>
      <c r="C4" t="s">
        <v>299</v>
      </c>
      <c r="D4" t="s">
        <v>1018</v>
      </c>
      <c r="E4" t="s">
        <v>223</v>
      </c>
      <c r="F4" s="174">
        <v>46136</v>
      </c>
      <c r="G4" t="s">
        <v>222</v>
      </c>
      <c r="H4">
        <v>3</v>
      </c>
      <c r="I4">
        <v>1</v>
      </c>
      <c r="J4" s="175">
        <v>0.45763888888888887</v>
      </c>
      <c r="K4" s="175"/>
      <c r="L4" s="175">
        <v>0.44791666666666669</v>
      </c>
      <c r="M4">
        <v>3</v>
      </c>
      <c r="N4" t="s">
        <v>1022</v>
      </c>
      <c r="O4">
        <v>0</v>
      </c>
      <c r="AY4">
        <v>0.60902777777777772</v>
      </c>
      <c r="BA4" t="s">
        <v>227</v>
      </c>
      <c r="GM4" t="s">
        <v>1020</v>
      </c>
    </row>
    <row r="5" spans="1:195" x14ac:dyDescent="0.25">
      <c r="A5">
        <v>1</v>
      </c>
      <c r="B5" t="s">
        <v>302</v>
      </c>
      <c r="C5" t="s">
        <v>299</v>
      </c>
      <c r="D5" t="s">
        <v>1018</v>
      </c>
      <c r="E5" t="s">
        <v>223</v>
      </c>
      <c r="F5" s="174">
        <v>46136</v>
      </c>
      <c r="G5" t="s">
        <v>222</v>
      </c>
      <c r="H5">
        <v>4</v>
      </c>
      <c r="I5">
        <v>2</v>
      </c>
      <c r="J5" s="175">
        <v>0.46458333333333335</v>
      </c>
      <c r="K5" s="175">
        <v>0.44930555555555557</v>
      </c>
      <c r="L5" s="175">
        <v>0.45416666666666666</v>
      </c>
      <c r="M5">
        <v>1</v>
      </c>
      <c r="N5" t="s">
        <v>1023</v>
      </c>
      <c r="W5">
        <v>1</v>
      </c>
      <c r="Z5">
        <v>1</v>
      </c>
      <c r="AA5">
        <v>1</v>
      </c>
      <c r="AB5">
        <v>0</v>
      </c>
      <c r="CE5">
        <v>0.61041666666666672</v>
      </c>
      <c r="CH5" t="s">
        <v>226</v>
      </c>
      <c r="CQ5">
        <v>0.67291666666666672</v>
      </c>
      <c r="CT5" t="s">
        <v>226</v>
      </c>
      <c r="CU5">
        <v>0.79583333333333328</v>
      </c>
      <c r="CX5" t="s">
        <v>229</v>
      </c>
      <c r="CY5">
        <v>0.86597222222222225</v>
      </c>
      <c r="CZ5" t="s">
        <v>858</v>
      </c>
      <c r="DB5" t="s">
        <v>229</v>
      </c>
      <c r="GM5" t="s">
        <v>1020</v>
      </c>
    </row>
    <row r="6" spans="1:195" x14ac:dyDescent="0.25">
      <c r="A6">
        <v>1</v>
      </c>
      <c r="B6" t="s">
        <v>302</v>
      </c>
      <c r="C6" t="s">
        <v>299</v>
      </c>
      <c r="D6" t="s">
        <v>1018</v>
      </c>
      <c r="E6" t="s">
        <v>223</v>
      </c>
      <c r="F6" s="174">
        <v>46136</v>
      </c>
      <c r="G6" t="s">
        <v>222</v>
      </c>
      <c r="H6">
        <v>5</v>
      </c>
      <c r="I6">
        <v>2</v>
      </c>
      <c r="J6" s="175">
        <v>0.46458333333333335</v>
      </c>
      <c r="K6" s="175">
        <v>0.44930555555555557</v>
      </c>
      <c r="L6" s="175">
        <v>0.45416666666666666</v>
      </c>
      <c r="M6">
        <v>2</v>
      </c>
      <c r="N6" t="s">
        <v>1024</v>
      </c>
      <c r="O6">
        <v>0</v>
      </c>
      <c r="AY6">
        <v>0.60902777777777772</v>
      </c>
      <c r="BA6" t="s">
        <v>227</v>
      </c>
      <c r="GM6" t="s">
        <v>1020</v>
      </c>
    </row>
    <row r="7" spans="1:195" x14ac:dyDescent="0.25">
      <c r="A7">
        <v>1</v>
      </c>
      <c r="B7" t="s">
        <v>302</v>
      </c>
      <c r="C7" t="s">
        <v>299</v>
      </c>
      <c r="D7" t="s">
        <v>1018</v>
      </c>
      <c r="E7" t="s">
        <v>223</v>
      </c>
      <c r="F7" s="174">
        <v>46136</v>
      </c>
      <c r="G7" t="s">
        <v>222</v>
      </c>
      <c r="H7">
        <v>6</v>
      </c>
      <c r="I7">
        <v>3</v>
      </c>
      <c r="J7" s="175">
        <v>0.47083333333333333</v>
      </c>
      <c r="K7" s="175">
        <v>0.45555555555555555</v>
      </c>
      <c r="L7" s="175">
        <v>0.46111111111111114</v>
      </c>
      <c r="M7">
        <v>1</v>
      </c>
      <c r="N7" t="s">
        <v>1025</v>
      </c>
      <c r="O7">
        <v>0</v>
      </c>
      <c r="AY7">
        <v>0.61250000000000004</v>
      </c>
      <c r="BA7" t="s">
        <v>227</v>
      </c>
      <c r="GM7" t="s">
        <v>1020</v>
      </c>
    </row>
    <row r="8" spans="1:195" x14ac:dyDescent="0.25">
      <c r="A8">
        <v>1</v>
      </c>
      <c r="B8" t="s">
        <v>302</v>
      </c>
      <c r="C8" t="s">
        <v>299</v>
      </c>
      <c r="D8" t="s">
        <v>1018</v>
      </c>
      <c r="E8" t="s">
        <v>223</v>
      </c>
      <c r="F8" s="174">
        <v>46136</v>
      </c>
      <c r="G8" t="s">
        <v>222</v>
      </c>
      <c r="H8">
        <v>7</v>
      </c>
      <c r="I8">
        <v>3</v>
      </c>
      <c r="J8" s="175">
        <v>0.47083333333333333</v>
      </c>
      <c r="K8" s="175">
        <v>0.45555555555555555</v>
      </c>
      <c r="L8" s="175">
        <v>0.46111111111111114</v>
      </c>
      <c r="M8">
        <v>2</v>
      </c>
      <c r="N8" t="s">
        <v>1026</v>
      </c>
      <c r="W8">
        <v>1</v>
      </c>
      <c r="Z8">
        <v>1</v>
      </c>
      <c r="AA8">
        <v>0</v>
      </c>
      <c r="CE8">
        <v>0.61319444444444449</v>
      </c>
      <c r="CH8" t="s">
        <v>226</v>
      </c>
      <c r="CQ8">
        <v>0.67291666666666672</v>
      </c>
      <c r="CT8" t="s">
        <v>229</v>
      </c>
      <c r="CU8">
        <v>0.79513888888888884</v>
      </c>
      <c r="CV8" t="s">
        <v>858</v>
      </c>
      <c r="GM8" t="s">
        <v>1020</v>
      </c>
    </row>
    <row r="9" spans="1:195" x14ac:dyDescent="0.25">
      <c r="A9">
        <v>1</v>
      </c>
      <c r="B9" t="s">
        <v>302</v>
      </c>
      <c r="C9" t="s">
        <v>299</v>
      </c>
      <c r="D9" t="s">
        <v>1018</v>
      </c>
      <c r="E9" t="s">
        <v>223</v>
      </c>
      <c r="F9" s="174">
        <v>46136</v>
      </c>
      <c r="G9" t="s">
        <v>222</v>
      </c>
      <c r="H9">
        <v>8</v>
      </c>
      <c r="I9">
        <v>4</v>
      </c>
      <c r="J9" s="175">
        <v>0.47986111111111113</v>
      </c>
      <c r="K9" s="175">
        <v>0.46111111111111114</v>
      </c>
      <c r="L9" s="175">
        <v>0.46875</v>
      </c>
      <c r="M9">
        <v>1</v>
      </c>
      <c r="N9" t="s">
        <v>1027</v>
      </c>
      <c r="V9">
        <v>1</v>
      </c>
      <c r="W9">
        <v>1</v>
      </c>
      <c r="Y9">
        <v>1</v>
      </c>
      <c r="CA9">
        <v>0.61597222222222225</v>
      </c>
      <c r="CD9" t="s">
        <v>229</v>
      </c>
      <c r="CE9">
        <v>0.66736111111111107</v>
      </c>
      <c r="CH9" t="s">
        <v>229</v>
      </c>
      <c r="CM9">
        <v>0.79652777777777772</v>
      </c>
      <c r="CN9" t="s">
        <v>858</v>
      </c>
      <c r="GM9" t="s">
        <v>1020</v>
      </c>
    </row>
    <row r="10" spans="1:195" x14ac:dyDescent="0.25">
      <c r="A10">
        <v>1</v>
      </c>
      <c r="B10" t="s">
        <v>302</v>
      </c>
      <c r="C10" t="s">
        <v>299</v>
      </c>
      <c r="D10" t="s">
        <v>1018</v>
      </c>
      <c r="E10" t="s">
        <v>223</v>
      </c>
      <c r="F10" s="174">
        <v>46136</v>
      </c>
      <c r="G10" t="s">
        <v>222</v>
      </c>
      <c r="H10">
        <v>9</v>
      </c>
      <c r="I10">
        <v>4</v>
      </c>
      <c r="J10" s="175">
        <v>0.47986111111111113</v>
      </c>
      <c r="K10" s="175">
        <v>0.46111111111111114</v>
      </c>
      <c r="L10" s="175">
        <v>0.46875</v>
      </c>
      <c r="M10">
        <v>2</v>
      </c>
      <c r="N10" t="s">
        <v>1028</v>
      </c>
      <c r="O10">
        <v>0</v>
      </c>
      <c r="AY10">
        <v>0.61527777777777781</v>
      </c>
      <c r="BA10" t="s">
        <v>227</v>
      </c>
      <c r="BB10" t="s">
        <v>229</v>
      </c>
      <c r="GM10" t="s">
        <v>1020</v>
      </c>
    </row>
    <row r="11" spans="1:195" x14ac:dyDescent="0.25">
      <c r="A11">
        <v>1</v>
      </c>
      <c r="B11" t="s">
        <v>302</v>
      </c>
      <c r="C11" t="s">
        <v>299</v>
      </c>
      <c r="D11" t="s">
        <v>1018</v>
      </c>
      <c r="E11" t="s">
        <v>223</v>
      </c>
      <c r="F11" s="174">
        <v>46136</v>
      </c>
      <c r="G11" t="s">
        <v>222</v>
      </c>
      <c r="H11">
        <v>10</v>
      </c>
      <c r="I11">
        <v>4</v>
      </c>
      <c r="J11" s="175">
        <v>0.47986111111111113</v>
      </c>
      <c r="K11" s="175">
        <v>0.46111111111111114</v>
      </c>
      <c r="L11" s="175">
        <v>0.46875</v>
      </c>
      <c r="M11">
        <v>3</v>
      </c>
      <c r="N11" t="s">
        <v>1029</v>
      </c>
      <c r="X11">
        <v>1</v>
      </c>
      <c r="AA11">
        <v>1</v>
      </c>
      <c r="AG11">
        <v>1</v>
      </c>
      <c r="AH11">
        <v>0</v>
      </c>
      <c r="CI11">
        <v>0.61458333333333337</v>
      </c>
      <c r="CL11" t="s">
        <v>226</v>
      </c>
      <c r="CU11">
        <v>0.66736111111111107</v>
      </c>
      <c r="CX11" t="s">
        <v>226</v>
      </c>
      <c r="DS11">
        <v>0.79722222222222228</v>
      </c>
      <c r="DV11" t="s">
        <v>226</v>
      </c>
      <c r="DW11">
        <v>0.8666666666666667</v>
      </c>
      <c r="DX11" t="s">
        <v>858</v>
      </c>
      <c r="DZ11">
        <v>1</v>
      </c>
      <c r="GM11" t="s">
        <v>1020</v>
      </c>
    </row>
    <row r="12" spans="1:195" x14ac:dyDescent="0.25">
      <c r="A12">
        <v>1</v>
      </c>
      <c r="B12" t="s">
        <v>302</v>
      </c>
      <c r="C12" t="s">
        <v>299</v>
      </c>
      <c r="D12" t="s">
        <v>1018</v>
      </c>
      <c r="E12" t="s">
        <v>223</v>
      </c>
      <c r="F12" s="174">
        <v>46136</v>
      </c>
      <c r="G12" t="s">
        <v>222</v>
      </c>
      <c r="H12">
        <v>11</v>
      </c>
      <c r="I12">
        <v>5</v>
      </c>
      <c r="J12" s="175">
        <v>0.48888888888888887</v>
      </c>
      <c r="K12" s="175"/>
      <c r="L12" s="175">
        <v>0.4777777777777778</v>
      </c>
      <c r="M12">
        <v>1</v>
      </c>
      <c r="N12" t="s">
        <v>1030</v>
      </c>
      <c r="O12">
        <v>0</v>
      </c>
      <c r="AY12">
        <v>0.61736111111111114</v>
      </c>
      <c r="BA12" t="s">
        <v>227</v>
      </c>
      <c r="BB12" t="s">
        <v>229</v>
      </c>
      <c r="GM12" t="s">
        <v>1020</v>
      </c>
    </row>
    <row r="13" spans="1:195" x14ac:dyDescent="0.25">
      <c r="A13">
        <v>1</v>
      </c>
      <c r="B13" t="s">
        <v>302</v>
      </c>
      <c r="C13" t="s">
        <v>299</v>
      </c>
      <c r="D13" t="s">
        <v>1018</v>
      </c>
      <c r="E13" t="s">
        <v>223</v>
      </c>
      <c r="F13" s="174">
        <v>46136</v>
      </c>
      <c r="G13" t="s">
        <v>222</v>
      </c>
      <c r="H13">
        <v>12</v>
      </c>
      <c r="I13">
        <v>5</v>
      </c>
      <c r="J13" s="175">
        <v>0.48888888888888887</v>
      </c>
      <c r="K13" s="175"/>
      <c r="L13" s="175">
        <v>0.4777777777777778</v>
      </c>
      <c r="M13">
        <v>2</v>
      </c>
      <c r="N13" t="s">
        <v>1031</v>
      </c>
      <c r="W13">
        <v>1</v>
      </c>
      <c r="Y13">
        <v>1</v>
      </c>
      <c r="Z13">
        <v>0</v>
      </c>
      <c r="CE13">
        <v>0.58680555555555558</v>
      </c>
      <c r="CH13" t="s">
        <v>229</v>
      </c>
      <c r="CM13">
        <v>0.6743055555555556</v>
      </c>
      <c r="CP13" t="s">
        <v>229</v>
      </c>
      <c r="CQ13">
        <v>0.79791666666666672</v>
      </c>
      <c r="CR13" t="s">
        <v>858</v>
      </c>
      <c r="GM13" t="s">
        <v>1020</v>
      </c>
    </row>
    <row r="14" spans="1:195" x14ac:dyDescent="0.25">
      <c r="A14">
        <v>1</v>
      </c>
      <c r="B14" t="s">
        <v>302</v>
      </c>
      <c r="C14" t="s">
        <v>299</v>
      </c>
      <c r="D14" t="s">
        <v>1018</v>
      </c>
      <c r="E14" t="s">
        <v>223</v>
      </c>
      <c r="F14" s="174">
        <v>46136</v>
      </c>
      <c r="G14" t="s">
        <v>222</v>
      </c>
      <c r="H14">
        <v>13</v>
      </c>
      <c r="I14">
        <v>5</v>
      </c>
      <c r="J14" s="175">
        <v>0.48888888888888887</v>
      </c>
      <c r="K14" s="175"/>
      <c r="L14" s="175">
        <v>0.4777777777777778</v>
      </c>
      <c r="M14">
        <v>3</v>
      </c>
      <c r="N14" t="s">
        <v>1032</v>
      </c>
      <c r="O14">
        <v>0</v>
      </c>
      <c r="AY14">
        <v>0.61875000000000002</v>
      </c>
      <c r="BA14" t="s">
        <v>227</v>
      </c>
      <c r="GM14" t="s">
        <v>1020</v>
      </c>
    </row>
    <row r="15" spans="1:195" x14ac:dyDescent="0.25">
      <c r="A15">
        <v>1</v>
      </c>
      <c r="B15" t="s">
        <v>302</v>
      </c>
      <c r="C15" t="s">
        <v>299</v>
      </c>
      <c r="D15" t="s">
        <v>1018</v>
      </c>
      <c r="E15" t="s">
        <v>223</v>
      </c>
      <c r="F15" s="174">
        <v>46136</v>
      </c>
      <c r="G15" t="s">
        <v>222</v>
      </c>
      <c r="H15">
        <v>14</v>
      </c>
      <c r="I15">
        <v>6</v>
      </c>
      <c r="J15" s="175">
        <v>0.50069444444444444</v>
      </c>
      <c r="K15" s="175">
        <v>0.4777777777777778</v>
      </c>
      <c r="L15" s="175">
        <v>0.48958333333333331</v>
      </c>
      <c r="M15">
        <v>1</v>
      </c>
      <c r="N15" t="s">
        <v>1033</v>
      </c>
      <c r="O15">
        <v>0</v>
      </c>
      <c r="AY15">
        <v>0.62013888888888891</v>
      </c>
      <c r="BA15" t="s">
        <v>227</v>
      </c>
      <c r="GM15" t="s">
        <v>1020</v>
      </c>
    </row>
    <row r="16" spans="1:195" x14ac:dyDescent="0.25">
      <c r="A16">
        <v>1</v>
      </c>
      <c r="B16" t="s">
        <v>302</v>
      </c>
      <c r="C16" t="s">
        <v>299</v>
      </c>
      <c r="D16" t="s">
        <v>1018</v>
      </c>
      <c r="E16" t="s">
        <v>223</v>
      </c>
      <c r="F16" s="174">
        <v>46136</v>
      </c>
      <c r="G16" t="s">
        <v>222</v>
      </c>
      <c r="H16">
        <v>15</v>
      </c>
      <c r="I16">
        <v>6</v>
      </c>
      <c r="J16" s="175">
        <v>0.50069444444444444</v>
      </c>
      <c r="K16" s="175">
        <v>0.4777777777777778</v>
      </c>
      <c r="L16" s="175">
        <v>0.48958333333333331</v>
      </c>
      <c r="M16">
        <v>2</v>
      </c>
      <c r="N16" t="s">
        <v>1034</v>
      </c>
      <c r="O16">
        <v>0</v>
      </c>
      <c r="AY16">
        <v>0.62013888888888891</v>
      </c>
      <c r="BA16" t="s">
        <v>227</v>
      </c>
      <c r="GM16" t="s">
        <v>1020</v>
      </c>
    </row>
    <row r="17" spans="1:195" x14ac:dyDescent="0.25">
      <c r="A17">
        <v>1</v>
      </c>
      <c r="B17" t="s">
        <v>302</v>
      </c>
      <c r="C17" t="s">
        <v>299</v>
      </c>
      <c r="D17" t="s">
        <v>1018</v>
      </c>
      <c r="E17" t="s">
        <v>223</v>
      </c>
      <c r="F17" s="174">
        <v>46136</v>
      </c>
      <c r="G17" t="s">
        <v>222</v>
      </c>
      <c r="H17">
        <v>16</v>
      </c>
      <c r="I17">
        <v>6</v>
      </c>
      <c r="J17" s="175">
        <v>0.50069444444444444</v>
      </c>
      <c r="K17" s="175">
        <v>0.4777777777777778</v>
      </c>
      <c r="L17" s="175">
        <v>0.48958333333333331</v>
      </c>
      <c r="M17">
        <v>3</v>
      </c>
      <c r="N17" t="s">
        <v>1035</v>
      </c>
      <c r="O17">
        <v>0</v>
      </c>
      <c r="AY17">
        <v>0.62013888888888891</v>
      </c>
      <c r="BA17" t="s">
        <v>227</v>
      </c>
      <c r="GM17" t="s">
        <v>1020</v>
      </c>
    </row>
    <row r="18" spans="1:195" x14ac:dyDescent="0.25">
      <c r="A18">
        <v>1</v>
      </c>
      <c r="B18" t="s">
        <v>302</v>
      </c>
      <c r="C18" t="s">
        <v>299</v>
      </c>
      <c r="D18" t="s">
        <v>1018</v>
      </c>
      <c r="E18" t="s">
        <v>223</v>
      </c>
      <c r="F18" s="174">
        <v>46136</v>
      </c>
      <c r="G18" t="s">
        <v>222</v>
      </c>
      <c r="H18">
        <v>17</v>
      </c>
      <c r="I18">
        <v>7</v>
      </c>
      <c r="J18" s="175">
        <v>0.50069444444444444</v>
      </c>
      <c r="K18" s="175">
        <v>0.49027777777777776</v>
      </c>
      <c r="L18" s="175">
        <v>0.49652777777777779</v>
      </c>
      <c r="M18">
        <v>1</v>
      </c>
      <c r="N18" t="s">
        <v>1036</v>
      </c>
      <c r="P18">
        <v>1</v>
      </c>
      <c r="BC18">
        <v>15</v>
      </c>
      <c r="BF18" t="s">
        <v>229</v>
      </c>
      <c r="GM18" t="s">
        <v>1020</v>
      </c>
    </row>
    <row r="19" spans="1:195" x14ac:dyDescent="0.25">
      <c r="A19">
        <v>1</v>
      </c>
      <c r="B19" t="s">
        <v>302</v>
      </c>
      <c r="C19" t="s">
        <v>299</v>
      </c>
      <c r="D19" t="s">
        <v>1018</v>
      </c>
      <c r="E19" t="s">
        <v>223</v>
      </c>
      <c r="F19" s="174">
        <v>46136</v>
      </c>
      <c r="G19" t="s">
        <v>222</v>
      </c>
      <c r="H19">
        <v>18</v>
      </c>
      <c r="I19">
        <v>7</v>
      </c>
      <c r="J19" s="175">
        <v>0.50069444444444444</v>
      </c>
      <c r="K19" s="175">
        <v>0.49027777777777776</v>
      </c>
      <c r="L19" s="175">
        <v>0.49652777777777779</v>
      </c>
      <c r="M19">
        <v>2</v>
      </c>
      <c r="N19" t="s">
        <v>1037</v>
      </c>
      <c r="O19">
        <v>0</v>
      </c>
      <c r="AY19">
        <v>0.625</v>
      </c>
      <c r="BA19" t="s">
        <v>227</v>
      </c>
      <c r="GM19" t="s">
        <v>1020</v>
      </c>
    </row>
    <row r="20" spans="1:195" x14ac:dyDescent="0.25">
      <c r="A20">
        <v>1</v>
      </c>
      <c r="B20" t="s">
        <v>302</v>
      </c>
      <c r="C20" t="s">
        <v>299</v>
      </c>
      <c r="D20" t="s">
        <v>1018</v>
      </c>
      <c r="E20" t="s">
        <v>223</v>
      </c>
      <c r="F20" s="174">
        <v>46136</v>
      </c>
      <c r="G20" t="s">
        <v>222</v>
      </c>
      <c r="H20">
        <v>19</v>
      </c>
      <c r="I20">
        <v>7</v>
      </c>
      <c r="J20" s="175">
        <v>0.50069444444444444</v>
      </c>
      <c r="K20" s="175">
        <v>0.49027777777777776</v>
      </c>
      <c r="L20" s="175">
        <v>0.49652777777777779</v>
      </c>
      <c r="M20">
        <v>3</v>
      </c>
      <c r="N20" t="s">
        <v>1038</v>
      </c>
      <c r="W20">
        <v>1</v>
      </c>
      <c r="X20">
        <v>1</v>
      </c>
      <c r="AB20">
        <v>1</v>
      </c>
      <c r="AH20">
        <v>1</v>
      </c>
      <c r="AJ20">
        <v>1</v>
      </c>
      <c r="AK20">
        <v>1</v>
      </c>
      <c r="AL20">
        <v>0</v>
      </c>
      <c r="CE20">
        <v>0.62361111111111112</v>
      </c>
      <c r="CH20" t="s">
        <v>226</v>
      </c>
      <c r="CI20">
        <v>0.6743055555555556</v>
      </c>
      <c r="CL20" t="s">
        <v>226</v>
      </c>
      <c r="CY20">
        <v>0.7993055555555556</v>
      </c>
      <c r="DB20" t="s">
        <v>226</v>
      </c>
      <c r="DW20" t="s">
        <v>943</v>
      </c>
      <c r="DZ20" t="s">
        <v>226</v>
      </c>
      <c r="EE20">
        <v>13</v>
      </c>
      <c r="EH20" t="s">
        <v>229</v>
      </c>
      <c r="EI20">
        <v>16</v>
      </c>
      <c r="EL20" t="s">
        <v>229</v>
      </c>
      <c r="EM20">
        <v>9</v>
      </c>
      <c r="GM20" t="s">
        <v>1020</v>
      </c>
    </row>
    <row r="21" spans="1:195" x14ac:dyDescent="0.25">
      <c r="A21">
        <v>1</v>
      </c>
      <c r="B21" t="s">
        <v>302</v>
      </c>
      <c r="C21" t="s">
        <v>299</v>
      </c>
      <c r="D21" t="s">
        <v>1018</v>
      </c>
      <c r="E21" t="s">
        <v>223</v>
      </c>
      <c r="F21" s="174">
        <v>46136</v>
      </c>
      <c r="G21" t="s">
        <v>222</v>
      </c>
      <c r="H21">
        <v>20</v>
      </c>
      <c r="I21">
        <v>8</v>
      </c>
      <c r="J21" s="175">
        <v>0.5229166666666667</v>
      </c>
      <c r="K21" s="175">
        <v>0.50208333333333333</v>
      </c>
      <c r="L21" s="175">
        <v>0.51111111111111107</v>
      </c>
      <c r="M21">
        <v>1</v>
      </c>
      <c r="N21" t="s">
        <v>1039</v>
      </c>
      <c r="O21">
        <v>0</v>
      </c>
      <c r="AY21">
        <v>0.62708333333333333</v>
      </c>
      <c r="BA21" t="s">
        <v>227</v>
      </c>
      <c r="GM21" t="s">
        <v>1020</v>
      </c>
    </row>
    <row r="22" spans="1:195" x14ac:dyDescent="0.25">
      <c r="A22">
        <v>1</v>
      </c>
      <c r="B22" t="s">
        <v>302</v>
      </c>
      <c r="C22" t="s">
        <v>299</v>
      </c>
      <c r="D22" t="s">
        <v>1018</v>
      </c>
      <c r="E22" t="s">
        <v>223</v>
      </c>
      <c r="F22" s="174">
        <v>46136</v>
      </c>
      <c r="G22" t="s">
        <v>222</v>
      </c>
      <c r="H22">
        <v>21</v>
      </c>
      <c r="I22">
        <v>8</v>
      </c>
      <c r="J22" s="175">
        <v>0.5229166666666667</v>
      </c>
      <c r="K22" s="175">
        <v>0.50208333333333333</v>
      </c>
      <c r="L22" s="175">
        <v>0.51111111111111107</v>
      </c>
      <c r="M22">
        <v>2</v>
      </c>
      <c r="N22" t="s">
        <v>1040</v>
      </c>
      <c r="P22">
        <v>1</v>
      </c>
      <c r="BC22">
        <v>0.62708333333333333</v>
      </c>
      <c r="BF22" t="s">
        <v>229</v>
      </c>
      <c r="GM22" t="s">
        <v>1020</v>
      </c>
    </row>
    <row r="23" spans="1:195" x14ac:dyDescent="0.25">
      <c r="A23">
        <v>1</v>
      </c>
      <c r="B23" t="s">
        <v>302</v>
      </c>
      <c r="C23" t="s">
        <v>299</v>
      </c>
      <c r="D23" t="s">
        <v>1018</v>
      </c>
      <c r="E23" t="s">
        <v>223</v>
      </c>
      <c r="F23" s="174">
        <v>46136</v>
      </c>
      <c r="G23" t="s">
        <v>222</v>
      </c>
      <c r="H23">
        <v>22</v>
      </c>
      <c r="I23">
        <v>8</v>
      </c>
      <c r="J23" s="175">
        <v>0.5229166666666667</v>
      </c>
      <c r="K23" s="175">
        <v>0.50208333333333333</v>
      </c>
      <c r="L23" s="175">
        <v>0.51111111111111107</v>
      </c>
      <c r="M23">
        <v>3</v>
      </c>
      <c r="N23" t="s">
        <v>1041</v>
      </c>
      <c r="O23">
        <v>0</v>
      </c>
      <c r="AY23">
        <v>0.62708333333333333</v>
      </c>
      <c r="BA23" t="s">
        <v>227</v>
      </c>
      <c r="GM23" t="s">
        <v>1020</v>
      </c>
    </row>
    <row r="24" spans="1:195" x14ac:dyDescent="0.25">
      <c r="A24">
        <v>1</v>
      </c>
      <c r="B24" t="s">
        <v>302</v>
      </c>
      <c r="C24" t="s">
        <v>299</v>
      </c>
      <c r="D24" t="s">
        <v>1018</v>
      </c>
      <c r="E24" t="s">
        <v>223</v>
      </c>
      <c r="F24" s="174">
        <v>46136</v>
      </c>
      <c r="G24" t="s">
        <v>222</v>
      </c>
      <c r="H24">
        <v>23</v>
      </c>
      <c r="I24">
        <v>9</v>
      </c>
      <c r="J24" s="175">
        <v>0.53125</v>
      </c>
      <c r="K24" s="175">
        <v>0.51249999999999996</v>
      </c>
      <c r="L24" s="175">
        <v>0.52013888888888893</v>
      </c>
      <c r="M24">
        <v>1</v>
      </c>
      <c r="N24" t="s">
        <v>1042</v>
      </c>
      <c r="O24">
        <v>0</v>
      </c>
      <c r="AY24">
        <v>0.62847222222222221</v>
      </c>
      <c r="BA24" t="s">
        <v>227</v>
      </c>
      <c r="GM24" t="s">
        <v>1020</v>
      </c>
    </row>
    <row r="25" spans="1:195" x14ac:dyDescent="0.25">
      <c r="A25">
        <v>1</v>
      </c>
      <c r="B25" t="s">
        <v>302</v>
      </c>
      <c r="C25" t="s">
        <v>299</v>
      </c>
      <c r="D25" t="s">
        <v>1018</v>
      </c>
      <c r="E25" t="s">
        <v>223</v>
      </c>
      <c r="F25" s="174">
        <v>46136</v>
      </c>
      <c r="G25" t="s">
        <v>222</v>
      </c>
      <c r="H25">
        <v>24</v>
      </c>
      <c r="I25">
        <v>9</v>
      </c>
      <c r="J25" s="175">
        <v>0.53125</v>
      </c>
      <c r="K25" s="175">
        <v>0.51249999999999996</v>
      </c>
      <c r="L25" s="175">
        <v>0.52013888888888893</v>
      </c>
      <c r="M25">
        <v>2</v>
      </c>
      <c r="N25" t="s">
        <v>1043</v>
      </c>
      <c r="P25">
        <v>1</v>
      </c>
      <c r="BC25">
        <v>0.62847222222222221</v>
      </c>
      <c r="BF25" t="s">
        <v>229</v>
      </c>
      <c r="GM25" t="s">
        <v>1020</v>
      </c>
    </row>
    <row r="26" spans="1:195" x14ac:dyDescent="0.25">
      <c r="A26">
        <v>1</v>
      </c>
      <c r="B26" t="s">
        <v>302</v>
      </c>
      <c r="C26" t="s">
        <v>299</v>
      </c>
      <c r="D26" t="s">
        <v>1018</v>
      </c>
      <c r="E26" t="s">
        <v>223</v>
      </c>
      <c r="F26" s="174">
        <v>46136</v>
      </c>
      <c r="G26" t="s">
        <v>222</v>
      </c>
      <c r="H26">
        <v>25</v>
      </c>
      <c r="I26">
        <v>9</v>
      </c>
      <c r="J26" s="175">
        <v>0.53125</v>
      </c>
      <c r="K26" s="175">
        <v>0.51249999999999996</v>
      </c>
      <c r="L26" s="175">
        <v>0.52013888888888893</v>
      </c>
      <c r="M26">
        <v>3</v>
      </c>
      <c r="N26" t="s">
        <v>1044</v>
      </c>
      <c r="O26">
        <v>0</v>
      </c>
      <c r="AY26">
        <v>0.62847222222222221</v>
      </c>
      <c r="BA26" t="s">
        <v>227</v>
      </c>
      <c r="GM26" t="s">
        <v>1020</v>
      </c>
    </row>
    <row r="27" spans="1:195" x14ac:dyDescent="0.25">
      <c r="A27">
        <v>1</v>
      </c>
      <c r="B27" t="s">
        <v>302</v>
      </c>
      <c r="C27" t="s">
        <v>299</v>
      </c>
      <c r="D27" t="s">
        <v>1018</v>
      </c>
      <c r="E27" t="s">
        <v>223</v>
      </c>
      <c r="F27" s="174">
        <v>46136</v>
      </c>
      <c r="G27" t="s">
        <v>222</v>
      </c>
      <c r="H27">
        <v>26</v>
      </c>
      <c r="I27">
        <v>10</v>
      </c>
      <c r="J27" s="175">
        <v>0.5395833333333333</v>
      </c>
      <c r="K27" s="175">
        <v>0.50208333333333333</v>
      </c>
      <c r="L27" s="175">
        <v>0.52847222222222223</v>
      </c>
      <c r="M27">
        <v>1</v>
      </c>
      <c r="N27" t="s">
        <v>1045</v>
      </c>
      <c r="U27">
        <v>1</v>
      </c>
      <c r="W27">
        <v>1</v>
      </c>
      <c r="Y27">
        <v>1</v>
      </c>
      <c r="AA27">
        <v>1</v>
      </c>
      <c r="AB27">
        <v>0</v>
      </c>
      <c r="BW27">
        <v>0.62986111111111109</v>
      </c>
      <c r="BZ27" t="s">
        <v>229</v>
      </c>
      <c r="CE27">
        <v>0.67500000000000004</v>
      </c>
      <c r="CH27" t="s">
        <v>229</v>
      </c>
      <c r="CM27">
        <v>0.7993055555555556</v>
      </c>
      <c r="CP27" t="s">
        <v>229</v>
      </c>
      <c r="CU27" t="s">
        <v>943</v>
      </c>
      <c r="CX27" t="s">
        <v>229</v>
      </c>
      <c r="DA27" t="s">
        <v>858</v>
      </c>
      <c r="DB27" t="s">
        <v>229</v>
      </c>
      <c r="GM27" t="s">
        <v>1020</v>
      </c>
    </row>
    <row r="28" spans="1:195" x14ac:dyDescent="0.25">
      <c r="A28">
        <v>1</v>
      </c>
      <c r="B28" t="s">
        <v>302</v>
      </c>
      <c r="C28" t="s">
        <v>299</v>
      </c>
      <c r="D28" t="s">
        <v>1018</v>
      </c>
      <c r="E28" t="s">
        <v>223</v>
      </c>
      <c r="F28" s="174">
        <v>46136</v>
      </c>
      <c r="G28" t="s">
        <v>222</v>
      </c>
      <c r="H28">
        <v>27</v>
      </c>
      <c r="I28">
        <v>10</v>
      </c>
      <c r="J28" s="175">
        <v>0.5395833333333333</v>
      </c>
      <c r="K28" s="175">
        <v>0.50208333333333333</v>
      </c>
      <c r="L28" s="175">
        <v>0.52847222222222223</v>
      </c>
      <c r="M28">
        <v>2</v>
      </c>
      <c r="N28" t="s">
        <v>1046</v>
      </c>
      <c r="O28">
        <v>0</v>
      </c>
      <c r="AY28">
        <v>0.62916666666666665</v>
      </c>
      <c r="BA28" t="s">
        <v>227</v>
      </c>
      <c r="GM28" t="s">
        <v>1020</v>
      </c>
    </row>
    <row r="29" spans="1:195" x14ac:dyDescent="0.25">
      <c r="A29">
        <v>1</v>
      </c>
      <c r="B29" t="s">
        <v>302</v>
      </c>
      <c r="C29" t="s">
        <v>299</v>
      </c>
      <c r="D29" t="s">
        <v>1018</v>
      </c>
      <c r="E29" t="s">
        <v>223</v>
      </c>
      <c r="F29" s="174">
        <v>46136</v>
      </c>
      <c r="G29" t="s">
        <v>222</v>
      </c>
      <c r="H29">
        <v>28</v>
      </c>
      <c r="I29">
        <v>10</v>
      </c>
      <c r="J29" s="175">
        <v>0.5395833333333333</v>
      </c>
      <c r="K29" s="175">
        <v>0.50208333333333333</v>
      </c>
      <c r="L29" s="175">
        <v>0.52847222222222223</v>
      </c>
      <c r="M29">
        <v>3</v>
      </c>
      <c r="N29" t="s">
        <v>1047</v>
      </c>
      <c r="O29">
        <v>0</v>
      </c>
      <c r="AY29">
        <v>0.62916666666666665</v>
      </c>
      <c r="BA29" t="s">
        <v>227</v>
      </c>
      <c r="GM29" t="s">
        <v>1020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FE09-B979-453B-81B1-D8BB71656AE1}">
  <sheetPr>
    <tabColor theme="6" tint="0.39997558519241921"/>
  </sheetPr>
  <dimension ref="A1:AL29"/>
  <sheetViews>
    <sheetView workbookViewId="0">
      <selection activeCell="F33" sqref="F33"/>
    </sheetView>
  </sheetViews>
  <sheetFormatPr defaultRowHeight="15" x14ac:dyDescent="0.25"/>
  <cols>
    <col min="1" max="1" width="18.140625" bestFit="1" customWidth="1"/>
    <col min="2" max="2" width="15.42578125" bestFit="1" customWidth="1"/>
    <col min="3" max="6" width="14.28515625" bestFit="1" customWidth="1"/>
    <col min="7" max="9" width="15.42578125" bestFit="1" customWidth="1"/>
    <col min="10" max="12" width="16.42578125" bestFit="1" customWidth="1"/>
    <col min="13" max="13" width="14" bestFit="1" customWidth="1"/>
    <col min="14" max="14" width="13.85546875" bestFit="1" customWidth="1"/>
    <col min="15" max="15" width="14.42578125" bestFit="1" customWidth="1"/>
    <col min="16" max="16" width="15.7109375" bestFit="1" customWidth="1"/>
    <col min="17" max="17" width="14.7109375" bestFit="1" customWidth="1"/>
    <col min="18" max="19" width="16.85546875" bestFit="1" customWidth="1"/>
    <col min="20" max="20" width="14.5703125" bestFit="1" customWidth="1"/>
    <col min="21" max="21" width="14.42578125" bestFit="1" customWidth="1"/>
    <col min="22" max="23" width="16.85546875" bestFit="1" customWidth="1"/>
    <col min="24" max="32" width="14.28515625" bestFit="1" customWidth="1"/>
    <col min="33" max="38" width="15.42578125" bestFit="1" customWidth="1"/>
    <col min="39" max="39" width="14.28515625" bestFit="1" customWidth="1"/>
    <col min="40" max="47" width="11.42578125" bestFit="1" customWidth="1"/>
    <col min="48" max="67" width="12.42578125" bestFit="1" customWidth="1"/>
    <col min="68" max="68" width="6.7109375" bestFit="1" customWidth="1"/>
    <col min="69" max="69" width="11.28515625" bestFit="1" customWidth="1"/>
    <col min="70" max="70" width="8.85546875" bestFit="1" customWidth="1"/>
    <col min="71" max="71" width="13.28515625" bestFit="1" customWidth="1"/>
    <col min="72" max="72" width="12.140625" bestFit="1" customWidth="1"/>
    <col min="73" max="73" width="9.42578125" bestFit="1" customWidth="1"/>
    <col min="74" max="74" width="21.42578125" bestFit="1" customWidth="1"/>
    <col min="75" max="75" width="10.7109375" bestFit="1" customWidth="1"/>
    <col min="76" max="76" width="8.7109375" bestFit="1" customWidth="1"/>
    <col min="77" max="77" width="14.5703125" bestFit="1" customWidth="1"/>
    <col min="78" max="79" width="11.28515625" bestFit="1" customWidth="1"/>
    <col min="80" max="80" width="9.7109375" bestFit="1" customWidth="1"/>
    <col min="81" max="81" width="18.140625" bestFit="1" customWidth="1"/>
    <col min="82" max="85" width="5.7109375" bestFit="1" customWidth="1"/>
    <col min="86" max="88" width="6.7109375" bestFit="1" customWidth="1"/>
    <col min="89" max="91" width="7.7109375" bestFit="1" customWidth="1"/>
    <col min="92" max="92" width="5.42578125" bestFit="1" customWidth="1"/>
    <col min="93" max="93" width="5.28515625" bestFit="1" customWidth="1"/>
    <col min="94" max="94" width="5.85546875" bestFit="1" customWidth="1"/>
    <col min="95" max="95" width="7" bestFit="1" customWidth="1"/>
    <col min="96" max="96" width="6.140625" bestFit="1" customWidth="1"/>
    <col min="97" max="98" width="8.140625" bestFit="1" customWidth="1"/>
    <col min="99" max="99" width="6" bestFit="1" customWidth="1"/>
    <col min="100" max="100" width="5.85546875" bestFit="1" customWidth="1"/>
    <col min="101" max="102" width="8.140625" bestFit="1" customWidth="1"/>
    <col min="103" max="111" width="5.7109375" bestFit="1" customWidth="1"/>
    <col min="112" max="117" width="6.7109375" bestFit="1" customWidth="1"/>
    <col min="118" max="118" width="12" bestFit="1" customWidth="1"/>
    <col min="119" max="121" width="6.7109375" bestFit="1" customWidth="1"/>
    <col min="122" max="122" width="12" bestFit="1" customWidth="1"/>
    <col min="123" max="133" width="6.7109375" bestFit="1" customWidth="1"/>
    <col min="134" max="141" width="7.7109375" bestFit="1" customWidth="1"/>
    <col min="142" max="142" width="12" bestFit="1" customWidth="1"/>
    <col min="143" max="145" width="7.7109375" bestFit="1" customWidth="1"/>
    <col min="146" max="146" width="12" bestFit="1" customWidth="1"/>
    <col min="147" max="149" width="8.7109375" bestFit="1" customWidth="1"/>
    <col min="150" max="150" width="12" bestFit="1" customWidth="1"/>
    <col min="151" max="153" width="8.7109375" bestFit="1" customWidth="1"/>
    <col min="154" max="154" width="12" bestFit="1" customWidth="1"/>
    <col min="155" max="157" width="8.7109375" bestFit="1" customWidth="1"/>
    <col min="158" max="158" width="12" bestFit="1" customWidth="1"/>
    <col min="159" max="161" width="6.42578125" bestFit="1" customWidth="1"/>
    <col min="162" max="162" width="12" bestFit="1" customWidth="1"/>
    <col min="163" max="165" width="6.28515625" bestFit="1" customWidth="1"/>
    <col min="166" max="166" width="17.85546875" bestFit="1" customWidth="1"/>
    <col min="167" max="169" width="6.85546875" bestFit="1" customWidth="1"/>
    <col min="170" max="170" width="12" bestFit="1" customWidth="1"/>
    <col min="171" max="173" width="8" bestFit="1" customWidth="1"/>
    <col min="174" max="174" width="12" bestFit="1" customWidth="1"/>
    <col min="175" max="177" width="7.140625" bestFit="1" customWidth="1"/>
    <col min="178" max="178" width="12" bestFit="1" customWidth="1"/>
    <col min="179" max="179" width="9.140625" bestFit="1" customWidth="1"/>
    <col min="183" max="183" width="9.140625" bestFit="1" customWidth="1"/>
    <col min="186" max="189" width="7" bestFit="1" customWidth="1"/>
    <col min="190" max="190" width="12" bestFit="1" customWidth="1"/>
    <col min="191" max="193" width="6.85546875" bestFit="1" customWidth="1"/>
    <col min="194" max="194" width="17.85546875" bestFit="1" customWidth="1"/>
    <col min="195" max="201" width="9.140625" bestFit="1" customWidth="1"/>
    <col min="202" max="237" width="6.7109375" bestFit="1" customWidth="1"/>
    <col min="238" max="262" width="7.7109375" bestFit="1" customWidth="1"/>
  </cols>
  <sheetData>
    <row r="1" spans="1:38" x14ac:dyDescent="0.25">
      <c r="A1" t="s">
        <v>941</v>
      </c>
      <c r="B1" t="s">
        <v>1049</v>
      </c>
      <c r="C1" t="s">
        <v>981</v>
      </c>
      <c r="D1" t="s">
        <v>982</v>
      </c>
      <c r="E1" t="s">
        <v>983</v>
      </c>
      <c r="F1" t="s">
        <v>984</v>
      </c>
      <c r="G1" t="s">
        <v>985</v>
      </c>
      <c r="H1" t="s">
        <v>986</v>
      </c>
      <c r="I1" t="s">
        <v>987</v>
      </c>
      <c r="J1" t="s">
        <v>988</v>
      </c>
      <c r="K1" t="s">
        <v>989</v>
      </c>
      <c r="L1" t="s">
        <v>990</v>
      </c>
      <c r="M1" t="s">
        <v>991</v>
      </c>
      <c r="N1" t="s">
        <v>992</v>
      </c>
      <c r="O1" t="s">
        <v>993</v>
      </c>
      <c r="P1" t="s">
        <v>994</v>
      </c>
      <c r="Q1" t="s">
        <v>995</v>
      </c>
      <c r="R1" t="s">
        <v>996</v>
      </c>
      <c r="S1" t="s">
        <v>997</v>
      </c>
      <c r="T1" t="s">
        <v>998</v>
      </c>
      <c r="U1" t="s">
        <v>999</v>
      </c>
      <c r="V1" t="s">
        <v>1000</v>
      </c>
      <c r="W1" t="s">
        <v>1001</v>
      </c>
      <c r="X1" t="s">
        <v>1002</v>
      </c>
      <c r="Y1" t="s">
        <v>1003</v>
      </c>
      <c r="Z1" t="s">
        <v>1004</v>
      </c>
      <c r="AA1" t="s">
        <v>1005</v>
      </c>
      <c r="AB1" t="s">
        <v>1006</v>
      </c>
      <c r="AC1" t="s">
        <v>1007</v>
      </c>
      <c r="AD1" t="s">
        <v>1008</v>
      </c>
      <c r="AE1" t="s">
        <v>1009</v>
      </c>
      <c r="AF1" t="s">
        <v>1010</v>
      </c>
      <c r="AG1" t="s">
        <v>1011</v>
      </c>
      <c r="AH1" t="s">
        <v>1012</v>
      </c>
      <c r="AI1" t="s">
        <v>1013</v>
      </c>
      <c r="AJ1" t="s">
        <v>1014</v>
      </c>
      <c r="AK1" t="s">
        <v>1015</v>
      </c>
      <c r="AL1" t="s">
        <v>1016</v>
      </c>
    </row>
    <row r="2" spans="1:38" x14ac:dyDescent="0.25">
      <c r="A2" t="s">
        <v>1019</v>
      </c>
      <c r="B2" t="s">
        <v>1020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1021</v>
      </c>
      <c r="B3" t="s">
        <v>1020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1022</v>
      </c>
      <c r="B4" t="s">
        <v>1020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1023</v>
      </c>
      <c r="B5" t="s">
        <v>1020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1024</v>
      </c>
      <c r="B6" t="s">
        <v>1020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1025</v>
      </c>
      <c r="B7" t="s">
        <v>1020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1026</v>
      </c>
      <c r="B8" t="s">
        <v>1020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1027</v>
      </c>
      <c r="B9" t="s">
        <v>1020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x14ac:dyDescent="0.25">
      <c r="A10" t="s">
        <v>1028</v>
      </c>
      <c r="B10" t="s">
        <v>1020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1029</v>
      </c>
      <c r="B11" t="s">
        <v>1020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t="s">
        <v>1030</v>
      </c>
      <c r="B12" t="s">
        <v>1020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1031</v>
      </c>
      <c r="B13" t="s">
        <v>1020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 t="s">
        <v>1032</v>
      </c>
      <c r="B14" t="s">
        <v>1020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 t="s">
        <v>1033</v>
      </c>
      <c r="B15" t="s">
        <v>1020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 t="s">
        <v>1034</v>
      </c>
      <c r="B16" t="s">
        <v>1020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1035</v>
      </c>
      <c r="B17" t="s">
        <v>1020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1036</v>
      </c>
      <c r="B18" t="s">
        <v>1020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x14ac:dyDescent="0.25">
      <c r="A19" t="s">
        <v>1037</v>
      </c>
      <c r="B19" t="s">
        <v>1020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 t="s">
        <v>1038</v>
      </c>
      <c r="B20" t="s">
        <v>1020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1039</v>
      </c>
      <c r="B21" t="s">
        <v>1020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 t="s">
        <v>1040</v>
      </c>
      <c r="B22" t="s">
        <v>1020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x14ac:dyDescent="0.25">
      <c r="A23" t="s">
        <v>1041</v>
      </c>
      <c r="B23" t="s">
        <v>1020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1042</v>
      </c>
      <c r="B24" t="s">
        <v>1020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1043</v>
      </c>
      <c r="B25" t="s">
        <v>1020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 x14ac:dyDescent="0.25">
      <c r="A26" t="s">
        <v>1044</v>
      </c>
      <c r="B26" t="s">
        <v>1020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 t="s">
        <v>1045</v>
      </c>
      <c r="B27" t="s">
        <v>1020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1046</v>
      </c>
      <c r="B28" t="s">
        <v>1020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t="s">
        <v>1047</v>
      </c>
      <c r="B29" t="s">
        <v>1020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1811-D446-4415-A4B8-A5F9F30EACAB}">
  <sheetPr>
    <tabColor theme="3" tint="0.499984740745262"/>
  </sheetPr>
  <dimension ref="A1:BZ146"/>
  <sheetViews>
    <sheetView workbookViewId="0">
      <selection activeCell="G20" sqref="G20"/>
    </sheetView>
  </sheetViews>
  <sheetFormatPr defaultRowHeight="15" x14ac:dyDescent="0.25"/>
  <cols>
    <col min="1" max="1" width="6.7109375" bestFit="1" customWidth="1"/>
    <col min="2" max="2" width="11.28515625" bestFit="1" customWidth="1"/>
    <col min="3" max="3" width="8.85546875" bestFit="1" customWidth="1"/>
    <col min="4" max="4" width="14.28515625" bestFit="1" customWidth="1"/>
    <col min="5" max="5" width="12.140625" bestFit="1" customWidth="1"/>
    <col min="6" max="6" width="9.42578125" bestFit="1" customWidth="1"/>
    <col min="7" max="7" width="21.42578125" bestFit="1" customWidth="1"/>
    <col min="8" max="8" width="14.42578125" bestFit="1" customWidth="1"/>
    <col min="9" max="9" width="21.85546875" bestFit="1" customWidth="1"/>
    <col min="10" max="10" width="15.7109375" bestFit="1" customWidth="1"/>
    <col min="11" max="11" width="15" bestFit="1" customWidth="1"/>
    <col min="12" max="12" width="13.28515625" bestFit="1" customWidth="1"/>
    <col min="13" max="13" width="11.5703125" bestFit="1" customWidth="1"/>
    <col min="14" max="14" width="10.140625" bestFit="1" customWidth="1"/>
    <col min="15" max="15" width="15.85546875" bestFit="1" customWidth="1"/>
    <col min="16" max="16" width="10.7109375" bestFit="1" customWidth="1"/>
    <col min="17" max="17" width="18.28515625" bestFit="1" customWidth="1"/>
    <col min="18" max="18" width="11.7109375" bestFit="1" customWidth="1"/>
    <col min="19" max="20" width="13.140625" bestFit="1" customWidth="1"/>
    <col min="21" max="22" width="15.85546875" bestFit="1" customWidth="1"/>
    <col min="23" max="23" width="16.85546875" bestFit="1" customWidth="1"/>
    <col min="24" max="24" width="14.140625" bestFit="1" customWidth="1"/>
    <col min="25" max="25" width="17.85546875" bestFit="1" customWidth="1"/>
    <col min="26" max="26" width="16.85546875" bestFit="1" customWidth="1"/>
    <col min="27" max="27" width="17.85546875" bestFit="1" customWidth="1"/>
    <col min="28" max="28" width="14.140625" bestFit="1" customWidth="1"/>
    <col min="29" max="29" width="13.85546875" bestFit="1" customWidth="1"/>
    <col min="30" max="30" width="16.28515625" bestFit="1" customWidth="1"/>
    <col min="31" max="31" width="14.5703125" bestFit="1" customWidth="1"/>
    <col min="32" max="32" width="15.140625" bestFit="1" customWidth="1"/>
    <col min="33" max="34" width="16.28515625" bestFit="1" customWidth="1"/>
    <col min="35" max="35" width="18.7109375" bestFit="1" customWidth="1"/>
    <col min="36" max="36" width="13.85546875" bestFit="1" customWidth="1"/>
    <col min="37" max="38" width="14.5703125" bestFit="1" customWidth="1"/>
    <col min="39" max="39" width="14.28515625" bestFit="1" customWidth="1"/>
    <col min="40" max="48" width="7.7109375" bestFit="1" customWidth="1"/>
    <col min="49" max="54" width="8.7109375" bestFit="1" customWidth="1"/>
    <col min="55" max="55" width="28.28515625" bestFit="1" customWidth="1"/>
    <col min="56" max="56" width="28.7109375" bestFit="1" customWidth="1"/>
    <col min="57" max="57" width="33.42578125" bestFit="1" customWidth="1"/>
    <col min="58" max="58" width="33.85546875" bestFit="1" customWidth="1"/>
    <col min="59" max="59" width="28.28515625" bestFit="1" customWidth="1"/>
    <col min="60" max="60" width="28.7109375" bestFit="1" customWidth="1"/>
    <col min="61" max="61" width="28.28515625" bestFit="1" customWidth="1"/>
    <col min="62" max="62" width="28.7109375" bestFit="1" customWidth="1"/>
    <col min="63" max="63" width="28.28515625" bestFit="1" customWidth="1"/>
    <col min="64" max="64" width="28.7109375" bestFit="1" customWidth="1"/>
    <col min="65" max="65" width="32.140625" bestFit="1" customWidth="1"/>
    <col min="66" max="66" width="32.5703125" bestFit="1" customWidth="1"/>
    <col min="67" max="67" width="26.85546875" bestFit="1" customWidth="1"/>
    <col min="68" max="68" width="27.28515625" bestFit="1" customWidth="1"/>
    <col min="69" max="69" width="26.85546875" bestFit="1" customWidth="1"/>
    <col min="70" max="70" width="27.28515625" bestFit="1" customWidth="1"/>
    <col min="71" max="71" width="26.85546875" bestFit="1" customWidth="1"/>
    <col min="72" max="72" width="27.28515625" bestFit="1" customWidth="1"/>
    <col min="73" max="73" width="20.28515625" bestFit="1" customWidth="1"/>
    <col min="74" max="74" width="18.5703125" bestFit="1" customWidth="1"/>
    <col min="75" max="75" width="24.5703125" bestFit="1" customWidth="1"/>
    <col min="76" max="76" width="8.28515625" bestFit="1" customWidth="1"/>
    <col min="77" max="77" width="10" bestFit="1" customWidth="1"/>
    <col min="78" max="78" width="14" bestFit="1" customWidth="1"/>
    <col min="79" max="79" width="14.140625" bestFit="1" customWidth="1"/>
    <col min="80" max="80" width="17.85546875" bestFit="1" customWidth="1"/>
    <col min="81" max="81" width="16.85546875" bestFit="1" customWidth="1"/>
    <col min="82" max="82" width="17.85546875" bestFit="1" customWidth="1"/>
    <col min="83" max="83" width="14.140625" bestFit="1" customWidth="1"/>
    <col min="84" max="84" width="13.85546875" bestFit="1" customWidth="1"/>
    <col min="85" max="85" width="16.28515625" bestFit="1" customWidth="1"/>
    <col min="86" max="86" width="14.5703125" bestFit="1" customWidth="1"/>
    <col min="87" max="87" width="15.140625" bestFit="1" customWidth="1"/>
    <col min="88" max="89" width="16.28515625" bestFit="1" customWidth="1"/>
    <col min="90" max="90" width="18.7109375" bestFit="1" customWidth="1"/>
    <col min="91" max="91" width="13.85546875" bestFit="1" customWidth="1"/>
    <col min="92" max="93" width="14.5703125" bestFit="1" customWidth="1"/>
    <col min="94" max="94" width="14.28515625" bestFit="1" customWidth="1"/>
    <col min="95" max="103" width="7.7109375" bestFit="1" customWidth="1"/>
    <col min="104" max="193" width="8.7109375" bestFit="1" customWidth="1"/>
    <col min="194" max="244" width="9.7109375" bestFit="1" customWidth="1"/>
    <col min="245" max="247" width="13.42578125" bestFit="1" customWidth="1"/>
  </cols>
  <sheetData>
    <row r="1" spans="1:78" x14ac:dyDescent="0.25">
      <c r="A1" t="s">
        <v>936</v>
      </c>
      <c r="B1" t="s">
        <v>937</v>
      </c>
      <c r="C1" t="s">
        <v>45</v>
      </c>
      <c r="D1" t="s">
        <v>938</v>
      </c>
      <c r="E1" t="s">
        <v>940</v>
      </c>
      <c r="F1" t="s">
        <v>0</v>
      </c>
      <c r="G1" t="s">
        <v>942</v>
      </c>
      <c r="H1" t="s">
        <v>1050</v>
      </c>
      <c r="I1" t="s">
        <v>1051</v>
      </c>
      <c r="J1" t="s">
        <v>1052</v>
      </c>
      <c r="K1" t="s">
        <v>1053</v>
      </c>
      <c r="L1" t="s">
        <v>1054</v>
      </c>
      <c r="M1" t="s">
        <v>1055</v>
      </c>
      <c r="N1" t="s">
        <v>49</v>
      </c>
      <c r="O1" t="s">
        <v>4</v>
      </c>
      <c r="P1" t="s">
        <v>935</v>
      </c>
      <c r="Q1" t="s">
        <v>51</v>
      </c>
      <c r="R1" t="s">
        <v>6</v>
      </c>
      <c r="S1" t="s">
        <v>53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1056</v>
      </c>
      <c r="BD1" t="s">
        <v>1057</v>
      </c>
      <c r="BE1" t="s">
        <v>1058</v>
      </c>
      <c r="BF1" t="s">
        <v>1059</v>
      </c>
      <c r="BG1" t="s">
        <v>1060</v>
      </c>
      <c r="BH1" t="s">
        <v>1061</v>
      </c>
      <c r="BI1" t="s">
        <v>1062</v>
      </c>
      <c r="BJ1" t="s">
        <v>1063</v>
      </c>
      <c r="BK1" t="s">
        <v>1064</v>
      </c>
      <c r="BL1" t="s">
        <v>1065</v>
      </c>
      <c r="BM1" t="s">
        <v>1066</v>
      </c>
      <c r="BN1" t="s">
        <v>1067</v>
      </c>
      <c r="BO1" t="s">
        <v>1068</v>
      </c>
      <c r="BP1" t="s">
        <v>1069</v>
      </c>
      <c r="BQ1" t="s">
        <v>1070</v>
      </c>
      <c r="BR1" t="s">
        <v>1071</v>
      </c>
      <c r="BS1" t="s">
        <v>1072</v>
      </c>
      <c r="BT1" t="s">
        <v>1073</v>
      </c>
      <c r="BU1" t="s">
        <v>1074</v>
      </c>
      <c r="BV1" t="s">
        <v>1075</v>
      </c>
      <c r="BW1" t="s">
        <v>1076</v>
      </c>
      <c r="BX1" t="s">
        <v>1077</v>
      </c>
      <c r="BY1" t="s">
        <v>1078</v>
      </c>
      <c r="BZ1" t="s">
        <v>1079</v>
      </c>
    </row>
    <row r="2" spans="1:78" x14ac:dyDescent="0.25">
      <c r="A2">
        <v>1</v>
      </c>
      <c r="B2" t="s">
        <v>303</v>
      </c>
      <c r="C2" t="s">
        <v>299</v>
      </c>
      <c r="D2" t="s">
        <v>1080</v>
      </c>
      <c r="E2" t="s">
        <v>223</v>
      </c>
      <c r="F2" s="174">
        <v>46136</v>
      </c>
      <c r="G2" t="s">
        <v>222</v>
      </c>
      <c r="I2" t="s">
        <v>224</v>
      </c>
      <c r="J2">
        <v>100</v>
      </c>
      <c r="K2">
        <v>500</v>
      </c>
      <c r="L2">
        <v>85</v>
      </c>
      <c r="M2">
        <v>1</v>
      </c>
      <c r="N2">
        <v>3</v>
      </c>
      <c r="O2" t="s">
        <v>239</v>
      </c>
      <c r="P2">
        <v>1</v>
      </c>
      <c r="Q2">
        <v>1</v>
      </c>
      <c r="R2">
        <v>1</v>
      </c>
      <c r="S2">
        <v>0</v>
      </c>
      <c r="BU2" s="176">
        <v>46136.429166666669</v>
      </c>
      <c r="BV2" s="176">
        <v>46136.44027777778</v>
      </c>
      <c r="BW2" s="176">
        <v>46136.451388888891</v>
      </c>
      <c r="BX2">
        <v>0</v>
      </c>
      <c r="BY2">
        <v>0</v>
      </c>
      <c r="BZ2" t="s">
        <v>1081</v>
      </c>
    </row>
    <row r="3" spans="1:78" x14ac:dyDescent="0.25">
      <c r="A3">
        <v>1</v>
      </c>
      <c r="B3" t="s">
        <v>303</v>
      </c>
      <c r="C3" t="s">
        <v>299</v>
      </c>
      <c r="D3" t="s">
        <v>1080</v>
      </c>
      <c r="E3" t="s">
        <v>223</v>
      </c>
      <c r="F3" s="174">
        <v>46136</v>
      </c>
      <c r="G3" t="s">
        <v>222</v>
      </c>
      <c r="I3" t="s">
        <v>224</v>
      </c>
      <c r="J3">
        <v>100</v>
      </c>
      <c r="K3">
        <v>500</v>
      </c>
      <c r="L3">
        <v>85</v>
      </c>
      <c r="M3">
        <v>1</v>
      </c>
      <c r="N3">
        <v>3</v>
      </c>
      <c r="P3" t="s">
        <v>510</v>
      </c>
      <c r="Q3" t="s">
        <v>31</v>
      </c>
      <c r="S3">
        <v>14.3</v>
      </c>
      <c r="BU3" s="176">
        <v>46136.429166666669</v>
      </c>
      <c r="BV3" s="176">
        <v>46136.44027777778</v>
      </c>
      <c r="BW3" s="176">
        <v>46136.451388888891</v>
      </c>
      <c r="BX3">
        <v>1</v>
      </c>
      <c r="BY3">
        <v>1</v>
      </c>
      <c r="BZ3" t="s">
        <v>1082</v>
      </c>
    </row>
    <row r="4" spans="1:78" x14ac:dyDescent="0.25">
      <c r="A4">
        <v>1</v>
      </c>
      <c r="B4" t="s">
        <v>303</v>
      </c>
      <c r="C4" t="s">
        <v>299</v>
      </c>
      <c r="D4" t="s">
        <v>1080</v>
      </c>
      <c r="E4" t="s">
        <v>223</v>
      </c>
      <c r="F4" s="174">
        <v>46136</v>
      </c>
      <c r="G4" t="s">
        <v>222</v>
      </c>
      <c r="I4" t="s">
        <v>224</v>
      </c>
      <c r="J4">
        <v>100</v>
      </c>
      <c r="K4">
        <v>500</v>
      </c>
      <c r="L4">
        <v>85</v>
      </c>
      <c r="M4">
        <v>1</v>
      </c>
      <c r="N4">
        <v>3</v>
      </c>
      <c r="P4" t="s">
        <v>510</v>
      </c>
      <c r="Q4" t="s">
        <v>33</v>
      </c>
      <c r="BU4" s="176">
        <v>46136.429166666669</v>
      </c>
      <c r="BV4" s="176">
        <v>46136.44027777778</v>
      </c>
      <c r="BW4" s="176">
        <v>46136.451388888891</v>
      </c>
      <c r="BX4">
        <v>2</v>
      </c>
      <c r="BY4">
        <v>2</v>
      </c>
      <c r="BZ4" t="s">
        <v>1083</v>
      </c>
    </row>
    <row r="5" spans="1:78" x14ac:dyDescent="0.25">
      <c r="A5">
        <v>1</v>
      </c>
      <c r="B5" t="s">
        <v>303</v>
      </c>
      <c r="C5" t="s">
        <v>299</v>
      </c>
      <c r="D5" t="s">
        <v>1080</v>
      </c>
      <c r="E5" t="s">
        <v>223</v>
      </c>
      <c r="F5" s="174">
        <v>46136</v>
      </c>
      <c r="G5" t="s">
        <v>222</v>
      </c>
      <c r="I5" t="s">
        <v>224</v>
      </c>
      <c r="J5">
        <v>100</v>
      </c>
      <c r="K5">
        <v>500</v>
      </c>
      <c r="L5">
        <v>85</v>
      </c>
      <c r="M5">
        <v>1</v>
      </c>
      <c r="N5">
        <v>3</v>
      </c>
      <c r="P5" t="s">
        <v>510</v>
      </c>
      <c r="Q5" t="s">
        <v>35</v>
      </c>
      <c r="S5" t="s">
        <v>225</v>
      </c>
      <c r="BU5" s="176">
        <v>46136.429166666669</v>
      </c>
      <c r="BV5" s="176">
        <v>46136.44027777778</v>
      </c>
      <c r="BW5" s="176">
        <v>46136.451388888891</v>
      </c>
      <c r="BX5">
        <v>3</v>
      </c>
      <c r="BY5">
        <v>3</v>
      </c>
      <c r="BZ5" t="s">
        <v>1084</v>
      </c>
    </row>
    <row r="6" spans="1:78" x14ac:dyDescent="0.25">
      <c r="A6">
        <v>1</v>
      </c>
      <c r="B6" t="s">
        <v>303</v>
      </c>
      <c r="C6" t="s">
        <v>299</v>
      </c>
      <c r="D6" t="s">
        <v>1080</v>
      </c>
      <c r="E6" t="s">
        <v>223</v>
      </c>
      <c r="F6" s="174">
        <v>46136</v>
      </c>
      <c r="G6" t="s">
        <v>222</v>
      </c>
      <c r="I6" t="s">
        <v>224</v>
      </c>
      <c r="J6">
        <v>100</v>
      </c>
      <c r="K6">
        <v>500</v>
      </c>
      <c r="L6">
        <v>85</v>
      </c>
      <c r="M6">
        <v>1</v>
      </c>
      <c r="N6">
        <v>3</v>
      </c>
      <c r="P6" t="s">
        <v>510</v>
      </c>
      <c r="Q6" t="s">
        <v>37</v>
      </c>
      <c r="BU6" s="176">
        <v>46136.429166666669</v>
      </c>
      <c r="BV6" s="176">
        <v>46136.44027777778</v>
      </c>
      <c r="BW6" s="176">
        <v>46136.451388888891</v>
      </c>
      <c r="BX6">
        <v>4</v>
      </c>
      <c r="BY6">
        <v>4</v>
      </c>
      <c r="BZ6" t="s">
        <v>1085</v>
      </c>
    </row>
    <row r="7" spans="1:78" x14ac:dyDescent="0.25">
      <c r="A7">
        <v>1</v>
      </c>
      <c r="B7" t="s">
        <v>303</v>
      </c>
      <c r="C7" t="s">
        <v>299</v>
      </c>
      <c r="D7" t="s">
        <v>1080</v>
      </c>
      <c r="E7" t="s">
        <v>223</v>
      </c>
      <c r="F7" s="174">
        <v>46136</v>
      </c>
      <c r="G7" t="s">
        <v>222</v>
      </c>
      <c r="I7" t="s">
        <v>224</v>
      </c>
      <c r="J7">
        <v>100</v>
      </c>
      <c r="K7">
        <v>500</v>
      </c>
      <c r="L7">
        <v>85</v>
      </c>
      <c r="M7">
        <v>1</v>
      </c>
      <c r="N7">
        <v>3</v>
      </c>
      <c r="O7" t="s">
        <v>240</v>
      </c>
      <c r="P7">
        <v>2</v>
      </c>
      <c r="Q7">
        <v>2</v>
      </c>
      <c r="R7">
        <v>1</v>
      </c>
      <c r="S7">
        <v>0</v>
      </c>
      <c r="BU7" s="176">
        <v>46136.429166666669</v>
      </c>
      <c r="BV7" s="176">
        <v>46136.44027777778</v>
      </c>
      <c r="BW7" s="176">
        <v>46136.451388888891</v>
      </c>
      <c r="BX7">
        <v>5</v>
      </c>
      <c r="BY7">
        <v>0</v>
      </c>
      <c r="BZ7" t="s">
        <v>1081</v>
      </c>
    </row>
    <row r="8" spans="1:78" x14ac:dyDescent="0.25">
      <c r="A8">
        <v>1</v>
      </c>
      <c r="B8" t="s">
        <v>303</v>
      </c>
      <c r="C8" t="s">
        <v>299</v>
      </c>
      <c r="D8" t="s">
        <v>1080</v>
      </c>
      <c r="E8" t="s">
        <v>223</v>
      </c>
      <c r="F8" s="174">
        <v>46136</v>
      </c>
      <c r="G8" t="s">
        <v>222</v>
      </c>
      <c r="I8" t="s">
        <v>224</v>
      </c>
      <c r="J8">
        <v>100</v>
      </c>
      <c r="K8">
        <v>500</v>
      </c>
      <c r="L8">
        <v>85</v>
      </c>
      <c r="M8">
        <v>1</v>
      </c>
      <c r="N8">
        <v>3</v>
      </c>
      <c r="P8" t="s">
        <v>510</v>
      </c>
      <c r="Q8" t="s">
        <v>31</v>
      </c>
      <c r="S8">
        <v>14.3</v>
      </c>
      <c r="BU8" s="176">
        <v>46136.429166666669</v>
      </c>
      <c r="BV8" s="176">
        <v>46136.44027777778</v>
      </c>
      <c r="BW8" s="176">
        <v>46136.451388888891</v>
      </c>
      <c r="BX8">
        <v>6</v>
      </c>
      <c r="BY8">
        <v>1</v>
      </c>
      <c r="BZ8" t="s">
        <v>1082</v>
      </c>
    </row>
    <row r="9" spans="1:78" x14ac:dyDescent="0.25">
      <c r="A9">
        <v>1</v>
      </c>
      <c r="B9" t="s">
        <v>303</v>
      </c>
      <c r="C9" t="s">
        <v>299</v>
      </c>
      <c r="D9" t="s">
        <v>1080</v>
      </c>
      <c r="E9" t="s">
        <v>223</v>
      </c>
      <c r="F9" s="174">
        <v>46136</v>
      </c>
      <c r="G9" t="s">
        <v>222</v>
      </c>
      <c r="I9" t="s">
        <v>224</v>
      </c>
      <c r="J9">
        <v>100</v>
      </c>
      <c r="K9">
        <v>500</v>
      </c>
      <c r="L9">
        <v>85</v>
      </c>
      <c r="M9">
        <v>1</v>
      </c>
      <c r="N9">
        <v>3</v>
      </c>
      <c r="P9" t="s">
        <v>510</v>
      </c>
      <c r="Q9" t="s">
        <v>33</v>
      </c>
      <c r="BU9" s="176">
        <v>46136.429166666669</v>
      </c>
      <c r="BV9" s="176">
        <v>46136.44027777778</v>
      </c>
      <c r="BW9" s="176">
        <v>46136.451388888891</v>
      </c>
      <c r="BX9">
        <v>7</v>
      </c>
      <c r="BY9">
        <v>2</v>
      </c>
      <c r="BZ9" t="s">
        <v>1083</v>
      </c>
    </row>
    <row r="10" spans="1:78" x14ac:dyDescent="0.25">
      <c r="A10">
        <v>1</v>
      </c>
      <c r="B10" t="s">
        <v>303</v>
      </c>
      <c r="C10" t="s">
        <v>299</v>
      </c>
      <c r="D10" t="s">
        <v>1080</v>
      </c>
      <c r="E10" t="s">
        <v>223</v>
      </c>
      <c r="F10" s="174">
        <v>46136</v>
      </c>
      <c r="G10" t="s">
        <v>222</v>
      </c>
      <c r="I10" t="s">
        <v>224</v>
      </c>
      <c r="J10">
        <v>100</v>
      </c>
      <c r="K10">
        <v>500</v>
      </c>
      <c r="L10">
        <v>85</v>
      </c>
      <c r="M10">
        <v>1</v>
      </c>
      <c r="N10">
        <v>3</v>
      </c>
      <c r="P10" t="s">
        <v>510</v>
      </c>
      <c r="Q10" t="s">
        <v>35</v>
      </c>
      <c r="S10" t="s">
        <v>225</v>
      </c>
      <c r="BU10" s="176">
        <v>46136.429166666669</v>
      </c>
      <c r="BV10" s="176">
        <v>46136.44027777778</v>
      </c>
      <c r="BW10" s="176">
        <v>46136.451388888891</v>
      </c>
      <c r="BX10">
        <v>8</v>
      </c>
      <c r="BY10">
        <v>3</v>
      </c>
      <c r="BZ10" t="s">
        <v>1084</v>
      </c>
    </row>
    <row r="11" spans="1:78" x14ac:dyDescent="0.25">
      <c r="A11">
        <v>1</v>
      </c>
      <c r="B11" t="s">
        <v>303</v>
      </c>
      <c r="C11" t="s">
        <v>299</v>
      </c>
      <c r="D11" t="s">
        <v>1080</v>
      </c>
      <c r="E11" t="s">
        <v>223</v>
      </c>
      <c r="F11" s="174">
        <v>46136</v>
      </c>
      <c r="G11" t="s">
        <v>222</v>
      </c>
      <c r="I11" t="s">
        <v>224</v>
      </c>
      <c r="J11">
        <v>100</v>
      </c>
      <c r="K11">
        <v>500</v>
      </c>
      <c r="L11">
        <v>85</v>
      </c>
      <c r="M11">
        <v>1</v>
      </c>
      <c r="N11">
        <v>3</v>
      </c>
      <c r="P11" t="s">
        <v>510</v>
      </c>
      <c r="Q11" t="s">
        <v>37</v>
      </c>
      <c r="BU11" s="176">
        <v>46136.429166666669</v>
      </c>
      <c r="BV11" s="176">
        <v>46136.44027777778</v>
      </c>
      <c r="BW11" s="176">
        <v>46136.451388888891</v>
      </c>
      <c r="BX11">
        <v>9</v>
      </c>
      <c r="BY11">
        <v>4</v>
      </c>
      <c r="BZ11" t="s">
        <v>1085</v>
      </c>
    </row>
    <row r="12" spans="1:78" x14ac:dyDescent="0.25">
      <c r="A12">
        <v>1</v>
      </c>
      <c r="B12" t="s">
        <v>303</v>
      </c>
      <c r="C12" t="s">
        <v>299</v>
      </c>
      <c r="D12" t="s">
        <v>1080</v>
      </c>
      <c r="E12" t="s">
        <v>223</v>
      </c>
      <c r="F12" s="174">
        <v>46136</v>
      </c>
      <c r="G12" t="s">
        <v>222</v>
      </c>
      <c r="I12" t="s">
        <v>224</v>
      </c>
      <c r="J12">
        <v>100</v>
      </c>
      <c r="K12">
        <v>500</v>
      </c>
      <c r="L12">
        <v>85</v>
      </c>
      <c r="M12">
        <v>1</v>
      </c>
      <c r="N12">
        <v>3</v>
      </c>
      <c r="O12" t="s">
        <v>241</v>
      </c>
      <c r="P12">
        <v>3</v>
      </c>
      <c r="Q12">
        <v>3</v>
      </c>
      <c r="R12">
        <v>1</v>
      </c>
      <c r="AB12">
        <v>1</v>
      </c>
      <c r="AF12">
        <v>1</v>
      </c>
      <c r="AH12">
        <v>1</v>
      </c>
      <c r="AI12">
        <v>0</v>
      </c>
      <c r="BU12" s="176">
        <v>46136.429166666669</v>
      </c>
      <c r="BV12" s="176">
        <v>46136.44027777778</v>
      </c>
      <c r="BW12" s="176">
        <v>46136.451388888891</v>
      </c>
      <c r="BX12">
        <v>10</v>
      </c>
      <c r="BY12">
        <v>0</v>
      </c>
      <c r="BZ12" t="s">
        <v>1081</v>
      </c>
    </row>
    <row r="13" spans="1:78" x14ac:dyDescent="0.25">
      <c r="A13">
        <v>1</v>
      </c>
      <c r="B13" t="s">
        <v>303</v>
      </c>
      <c r="C13" t="s">
        <v>299</v>
      </c>
      <c r="D13" t="s">
        <v>1080</v>
      </c>
      <c r="E13" t="s">
        <v>223</v>
      </c>
      <c r="F13" s="174">
        <v>46136</v>
      </c>
      <c r="G13" t="s">
        <v>222</v>
      </c>
      <c r="I13" t="s">
        <v>224</v>
      </c>
      <c r="J13">
        <v>100</v>
      </c>
      <c r="K13">
        <v>500</v>
      </c>
      <c r="L13">
        <v>85</v>
      </c>
      <c r="M13">
        <v>1</v>
      </c>
      <c r="N13">
        <v>3</v>
      </c>
      <c r="P13" t="s">
        <v>510</v>
      </c>
      <c r="Q13" t="s">
        <v>31</v>
      </c>
      <c r="AB13">
        <v>14.3</v>
      </c>
      <c r="AF13">
        <v>16.059999999999999</v>
      </c>
      <c r="AH13">
        <v>16.059999999999999</v>
      </c>
      <c r="AI13">
        <v>17.309999999999999</v>
      </c>
      <c r="BU13" s="176">
        <v>46136.429166666669</v>
      </c>
      <c r="BV13" s="176">
        <v>46136.44027777778</v>
      </c>
      <c r="BW13" s="176">
        <v>46136.451388888891</v>
      </c>
      <c r="BX13">
        <v>11</v>
      </c>
      <c r="BY13">
        <v>1</v>
      </c>
      <c r="BZ13" t="s">
        <v>1082</v>
      </c>
    </row>
    <row r="14" spans="1:78" x14ac:dyDescent="0.25">
      <c r="A14">
        <v>1</v>
      </c>
      <c r="B14" t="s">
        <v>303</v>
      </c>
      <c r="C14" t="s">
        <v>299</v>
      </c>
      <c r="D14" t="s">
        <v>1080</v>
      </c>
      <c r="E14" t="s">
        <v>223</v>
      </c>
      <c r="F14" s="174">
        <v>46136</v>
      </c>
      <c r="G14" t="s">
        <v>222</v>
      </c>
      <c r="I14" t="s">
        <v>224</v>
      </c>
      <c r="J14">
        <v>100</v>
      </c>
      <c r="K14">
        <v>500</v>
      </c>
      <c r="L14">
        <v>85</v>
      </c>
      <c r="M14">
        <v>1</v>
      </c>
      <c r="N14">
        <v>3</v>
      </c>
      <c r="P14" t="s">
        <v>510</v>
      </c>
      <c r="Q14" t="s">
        <v>33</v>
      </c>
      <c r="AI14" t="s">
        <v>225</v>
      </c>
      <c r="BU14" s="176">
        <v>46136.429166666669</v>
      </c>
      <c r="BV14" s="176">
        <v>46136.44027777778</v>
      </c>
      <c r="BW14" s="176">
        <v>46136.451388888891</v>
      </c>
      <c r="BX14">
        <v>12</v>
      </c>
      <c r="BY14">
        <v>2</v>
      </c>
      <c r="BZ14" t="s">
        <v>1083</v>
      </c>
    </row>
    <row r="15" spans="1:78" x14ac:dyDescent="0.25">
      <c r="A15">
        <v>1</v>
      </c>
      <c r="B15" t="s">
        <v>303</v>
      </c>
      <c r="C15" t="s">
        <v>299</v>
      </c>
      <c r="D15" t="s">
        <v>1080</v>
      </c>
      <c r="E15" t="s">
        <v>223</v>
      </c>
      <c r="F15" s="174">
        <v>46136</v>
      </c>
      <c r="G15" t="s">
        <v>222</v>
      </c>
      <c r="I15" t="s">
        <v>224</v>
      </c>
      <c r="J15">
        <v>100</v>
      </c>
      <c r="K15">
        <v>500</v>
      </c>
      <c r="L15">
        <v>85</v>
      </c>
      <c r="M15">
        <v>1</v>
      </c>
      <c r="N15">
        <v>3</v>
      </c>
      <c r="P15" t="s">
        <v>510</v>
      </c>
      <c r="Q15" t="s">
        <v>35</v>
      </c>
      <c r="BU15" s="176">
        <v>46136.429166666669</v>
      </c>
      <c r="BV15" s="176">
        <v>46136.44027777778</v>
      </c>
      <c r="BW15" s="176">
        <v>46136.451388888891</v>
      </c>
      <c r="BX15">
        <v>13</v>
      </c>
      <c r="BY15">
        <v>3</v>
      </c>
      <c r="BZ15" t="s">
        <v>1084</v>
      </c>
    </row>
    <row r="16" spans="1:78" x14ac:dyDescent="0.25">
      <c r="A16">
        <v>1</v>
      </c>
      <c r="B16" t="s">
        <v>303</v>
      </c>
      <c r="C16" t="s">
        <v>299</v>
      </c>
      <c r="D16" t="s">
        <v>1080</v>
      </c>
      <c r="E16" t="s">
        <v>223</v>
      </c>
      <c r="F16" s="174">
        <v>46136</v>
      </c>
      <c r="G16" t="s">
        <v>222</v>
      </c>
      <c r="I16" t="s">
        <v>224</v>
      </c>
      <c r="J16">
        <v>100</v>
      </c>
      <c r="K16">
        <v>500</v>
      </c>
      <c r="L16">
        <v>85</v>
      </c>
      <c r="M16">
        <v>1</v>
      </c>
      <c r="N16">
        <v>3</v>
      </c>
      <c r="P16" t="s">
        <v>510</v>
      </c>
      <c r="Q16" t="s">
        <v>37</v>
      </c>
      <c r="AB16" t="s">
        <v>226</v>
      </c>
      <c r="AF16" t="s">
        <v>226</v>
      </c>
      <c r="AH16" t="s">
        <v>226</v>
      </c>
      <c r="BU16" s="176">
        <v>46136.429166666669</v>
      </c>
      <c r="BV16" s="176">
        <v>46136.44027777778</v>
      </c>
      <c r="BW16" s="176">
        <v>46136.451388888891</v>
      </c>
      <c r="BX16">
        <v>14</v>
      </c>
      <c r="BY16">
        <v>4</v>
      </c>
      <c r="BZ16" t="s">
        <v>1085</v>
      </c>
    </row>
    <row r="17" spans="1:78" x14ac:dyDescent="0.25">
      <c r="A17">
        <v>1</v>
      </c>
      <c r="B17" t="s">
        <v>303</v>
      </c>
      <c r="C17" t="s">
        <v>299</v>
      </c>
      <c r="D17" t="s">
        <v>1080</v>
      </c>
      <c r="E17" t="s">
        <v>223</v>
      </c>
      <c r="F17" s="174">
        <v>46136</v>
      </c>
      <c r="G17" t="s">
        <v>222</v>
      </c>
      <c r="I17" t="s">
        <v>224</v>
      </c>
      <c r="J17">
        <v>100</v>
      </c>
      <c r="K17">
        <v>500</v>
      </c>
      <c r="L17">
        <v>85</v>
      </c>
      <c r="M17">
        <v>2</v>
      </c>
      <c r="N17">
        <v>3</v>
      </c>
      <c r="O17" t="s">
        <v>243</v>
      </c>
      <c r="P17">
        <v>1</v>
      </c>
      <c r="Q17">
        <v>1</v>
      </c>
      <c r="R17">
        <v>1</v>
      </c>
      <c r="Z17">
        <v>1</v>
      </c>
      <c r="AF17">
        <v>1</v>
      </c>
      <c r="AG17">
        <v>0</v>
      </c>
      <c r="BU17" s="176">
        <v>46136.441666666666</v>
      </c>
      <c r="BV17" s="176">
        <v>46136.448611111111</v>
      </c>
      <c r="BW17" s="176">
        <v>46136.459027777775</v>
      </c>
      <c r="BX17">
        <v>15</v>
      </c>
      <c r="BY17">
        <v>0</v>
      </c>
      <c r="BZ17" t="s">
        <v>1081</v>
      </c>
    </row>
    <row r="18" spans="1:78" x14ac:dyDescent="0.25">
      <c r="A18">
        <v>1</v>
      </c>
      <c r="B18" t="s">
        <v>303</v>
      </c>
      <c r="C18" t="s">
        <v>299</v>
      </c>
      <c r="D18" t="s">
        <v>1080</v>
      </c>
      <c r="E18" t="s">
        <v>223</v>
      </c>
      <c r="F18" s="174">
        <v>46136</v>
      </c>
      <c r="G18" t="s">
        <v>222</v>
      </c>
      <c r="I18" t="s">
        <v>224</v>
      </c>
      <c r="J18">
        <v>100</v>
      </c>
      <c r="K18">
        <v>500</v>
      </c>
      <c r="L18">
        <v>85</v>
      </c>
      <c r="M18">
        <v>2</v>
      </c>
      <c r="N18">
        <v>3</v>
      </c>
      <c r="P18" t="s">
        <v>510</v>
      </c>
      <c r="Q18" t="s">
        <v>31</v>
      </c>
      <c r="Z18">
        <v>14.39</v>
      </c>
      <c r="AF18">
        <v>16.11</v>
      </c>
      <c r="AG18">
        <v>19.059999999999999</v>
      </c>
      <c r="BU18" s="176">
        <v>46136.441666666666</v>
      </c>
      <c r="BV18" s="176">
        <v>46136.448611111111</v>
      </c>
      <c r="BW18" s="176">
        <v>46136.459027777775</v>
      </c>
      <c r="BX18">
        <v>16</v>
      </c>
      <c r="BY18">
        <v>1</v>
      </c>
      <c r="BZ18" t="s">
        <v>1082</v>
      </c>
    </row>
    <row r="19" spans="1:78" x14ac:dyDescent="0.25">
      <c r="A19">
        <v>1</v>
      </c>
      <c r="B19" t="s">
        <v>303</v>
      </c>
      <c r="C19" t="s">
        <v>299</v>
      </c>
      <c r="D19" t="s">
        <v>1080</v>
      </c>
      <c r="E19" t="s">
        <v>223</v>
      </c>
      <c r="F19" s="174">
        <v>46136</v>
      </c>
      <c r="G19" t="s">
        <v>222</v>
      </c>
      <c r="I19" t="s">
        <v>224</v>
      </c>
      <c r="J19">
        <v>100</v>
      </c>
      <c r="K19">
        <v>500</v>
      </c>
      <c r="L19">
        <v>85</v>
      </c>
      <c r="M19">
        <v>2</v>
      </c>
      <c r="N19">
        <v>3</v>
      </c>
      <c r="P19" t="s">
        <v>510</v>
      </c>
      <c r="Q19" t="s">
        <v>33</v>
      </c>
      <c r="AG19" t="s">
        <v>225</v>
      </c>
      <c r="BU19" s="176">
        <v>46136.441666666666</v>
      </c>
      <c r="BV19" s="176">
        <v>46136.448611111111</v>
      </c>
      <c r="BW19" s="176">
        <v>46136.459027777775</v>
      </c>
      <c r="BX19">
        <v>17</v>
      </c>
      <c r="BY19">
        <v>2</v>
      </c>
      <c r="BZ19" t="s">
        <v>1083</v>
      </c>
    </row>
    <row r="20" spans="1:78" x14ac:dyDescent="0.25">
      <c r="A20">
        <v>1</v>
      </c>
      <c r="B20" t="s">
        <v>303</v>
      </c>
      <c r="C20" t="s">
        <v>299</v>
      </c>
      <c r="D20" t="s">
        <v>1080</v>
      </c>
      <c r="E20" t="s">
        <v>223</v>
      </c>
      <c r="F20" s="174">
        <v>46136</v>
      </c>
      <c r="G20" t="s">
        <v>222</v>
      </c>
      <c r="I20" t="s">
        <v>224</v>
      </c>
      <c r="J20">
        <v>100</v>
      </c>
      <c r="K20">
        <v>500</v>
      </c>
      <c r="L20">
        <v>85</v>
      </c>
      <c r="M20">
        <v>2</v>
      </c>
      <c r="N20">
        <v>3</v>
      </c>
      <c r="P20" t="s">
        <v>510</v>
      </c>
      <c r="Q20" t="s">
        <v>35</v>
      </c>
      <c r="BU20" s="176">
        <v>46136.441666666666</v>
      </c>
      <c r="BV20" s="176">
        <v>46136.448611111111</v>
      </c>
      <c r="BW20" s="176">
        <v>46136.459027777775</v>
      </c>
      <c r="BX20">
        <v>18</v>
      </c>
      <c r="BY20">
        <v>3</v>
      </c>
      <c r="BZ20" t="s">
        <v>1084</v>
      </c>
    </row>
    <row r="21" spans="1:78" x14ac:dyDescent="0.25">
      <c r="A21">
        <v>1</v>
      </c>
      <c r="B21" t="s">
        <v>303</v>
      </c>
      <c r="C21" t="s">
        <v>299</v>
      </c>
      <c r="D21" t="s">
        <v>1080</v>
      </c>
      <c r="E21" t="s">
        <v>223</v>
      </c>
      <c r="F21" s="174">
        <v>46136</v>
      </c>
      <c r="G21" t="s">
        <v>222</v>
      </c>
      <c r="I21" t="s">
        <v>224</v>
      </c>
      <c r="J21">
        <v>100</v>
      </c>
      <c r="K21">
        <v>500</v>
      </c>
      <c r="L21">
        <v>85</v>
      </c>
      <c r="M21">
        <v>2</v>
      </c>
      <c r="N21">
        <v>3</v>
      </c>
      <c r="P21" t="s">
        <v>510</v>
      </c>
      <c r="Q21" t="s">
        <v>37</v>
      </c>
      <c r="Z21" t="s">
        <v>229</v>
      </c>
      <c r="AF21" t="s">
        <v>229</v>
      </c>
      <c r="BU21" s="176">
        <v>46136.441666666666</v>
      </c>
      <c r="BV21" s="176">
        <v>46136.448611111111</v>
      </c>
      <c r="BW21" s="176">
        <v>46136.459027777775</v>
      </c>
      <c r="BX21">
        <v>19</v>
      </c>
      <c r="BY21">
        <v>4</v>
      </c>
      <c r="BZ21" t="s">
        <v>1085</v>
      </c>
    </row>
    <row r="22" spans="1:78" x14ac:dyDescent="0.25">
      <c r="A22">
        <v>1</v>
      </c>
      <c r="B22" t="s">
        <v>303</v>
      </c>
      <c r="C22" t="s">
        <v>299</v>
      </c>
      <c r="D22" t="s">
        <v>1080</v>
      </c>
      <c r="E22" t="s">
        <v>223</v>
      </c>
      <c r="F22" s="174">
        <v>46136</v>
      </c>
      <c r="G22" t="s">
        <v>222</v>
      </c>
      <c r="I22" t="s">
        <v>224</v>
      </c>
      <c r="J22">
        <v>100</v>
      </c>
      <c r="K22">
        <v>500</v>
      </c>
      <c r="L22">
        <v>85</v>
      </c>
      <c r="M22">
        <v>2</v>
      </c>
      <c r="N22">
        <v>3</v>
      </c>
      <c r="O22" t="s">
        <v>244</v>
      </c>
      <c r="P22">
        <v>2</v>
      </c>
      <c r="Q22">
        <v>2</v>
      </c>
      <c r="R22">
        <v>1</v>
      </c>
      <c r="AB22">
        <v>1</v>
      </c>
      <c r="AF22">
        <v>1</v>
      </c>
      <c r="AG22">
        <v>0</v>
      </c>
      <c r="BU22" s="176">
        <v>46136.441666666666</v>
      </c>
      <c r="BV22" s="176">
        <v>46136.448611111111</v>
      </c>
      <c r="BW22" s="176">
        <v>46136.459027777775</v>
      </c>
      <c r="BX22">
        <v>20</v>
      </c>
      <c r="BY22">
        <v>0</v>
      </c>
      <c r="BZ22" t="s">
        <v>1081</v>
      </c>
    </row>
    <row r="23" spans="1:78" x14ac:dyDescent="0.25">
      <c r="A23">
        <v>1</v>
      </c>
      <c r="B23" t="s">
        <v>303</v>
      </c>
      <c r="C23" t="s">
        <v>299</v>
      </c>
      <c r="D23" t="s">
        <v>1080</v>
      </c>
      <c r="E23" t="s">
        <v>223</v>
      </c>
      <c r="F23" s="174">
        <v>46136</v>
      </c>
      <c r="G23" t="s">
        <v>222</v>
      </c>
      <c r="I23" t="s">
        <v>224</v>
      </c>
      <c r="J23">
        <v>100</v>
      </c>
      <c r="K23">
        <v>500</v>
      </c>
      <c r="L23">
        <v>85</v>
      </c>
      <c r="M23">
        <v>2</v>
      </c>
      <c r="N23">
        <v>3</v>
      </c>
      <c r="P23" t="s">
        <v>510</v>
      </c>
      <c r="Q23" t="s">
        <v>31</v>
      </c>
      <c r="AB23">
        <v>14.41</v>
      </c>
      <c r="AF23">
        <v>16.12</v>
      </c>
      <c r="AG23">
        <v>19.059999999999999</v>
      </c>
      <c r="BU23" s="176">
        <v>46136.441666666666</v>
      </c>
      <c r="BV23" s="176">
        <v>46136.448611111111</v>
      </c>
      <c r="BW23" s="176">
        <v>46136.459027777775</v>
      </c>
      <c r="BX23">
        <v>21</v>
      </c>
      <c r="BY23">
        <v>1</v>
      </c>
      <c r="BZ23" t="s">
        <v>1082</v>
      </c>
    </row>
    <row r="24" spans="1:78" x14ac:dyDescent="0.25">
      <c r="A24">
        <v>1</v>
      </c>
      <c r="B24" t="s">
        <v>303</v>
      </c>
      <c r="C24" t="s">
        <v>299</v>
      </c>
      <c r="D24" t="s">
        <v>1080</v>
      </c>
      <c r="E24" t="s">
        <v>223</v>
      </c>
      <c r="F24" s="174">
        <v>46136</v>
      </c>
      <c r="G24" t="s">
        <v>222</v>
      </c>
      <c r="I24" t="s">
        <v>224</v>
      </c>
      <c r="J24">
        <v>100</v>
      </c>
      <c r="K24">
        <v>500</v>
      </c>
      <c r="L24">
        <v>85</v>
      </c>
      <c r="M24">
        <v>2</v>
      </c>
      <c r="N24">
        <v>3</v>
      </c>
      <c r="P24" t="s">
        <v>510</v>
      </c>
      <c r="Q24" t="s">
        <v>33</v>
      </c>
      <c r="AG24" t="s">
        <v>225</v>
      </c>
      <c r="BU24" s="176">
        <v>46136.441666666666</v>
      </c>
      <c r="BV24" s="176">
        <v>46136.448611111111</v>
      </c>
      <c r="BW24" s="176">
        <v>46136.459027777775</v>
      </c>
      <c r="BX24">
        <v>22</v>
      </c>
      <c r="BY24">
        <v>2</v>
      </c>
      <c r="BZ24" t="s">
        <v>1083</v>
      </c>
    </row>
    <row r="25" spans="1:78" x14ac:dyDescent="0.25">
      <c r="A25">
        <v>1</v>
      </c>
      <c r="B25" t="s">
        <v>303</v>
      </c>
      <c r="C25" t="s">
        <v>299</v>
      </c>
      <c r="D25" t="s">
        <v>1080</v>
      </c>
      <c r="E25" t="s">
        <v>223</v>
      </c>
      <c r="F25" s="174">
        <v>46136</v>
      </c>
      <c r="G25" t="s">
        <v>222</v>
      </c>
      <c r="I25" t="s">
        <v>224</v>
      </c>
      <c r="J25">
        <v>100</v>
      </c>
      <c r="K25">
        <v>500</v>
      </c>
      <c r="L25">
        <v>85</v>
      </c>
      <c r="M25">
        <v>2</v>
      </c>
      <c r="N25">
        <v>3</v>
      </c>
      <c r="P25" t="s">
        <v>510</v>
      </c>
      <c r="Q25" t="s">
        <v>35</v>
      </c>
      <c r="BU25" s="176">
        <v>46136.441666666666</v>
      </c>
      <c r="BV25" s="176">
        <v>46136.448611111111</v>
      </c>
      <c r="BW25" s="176">
        <v>46136.459027777775</v>
      </c>
      <c r="BX25">
        <v>23</v>
      </c>
      <c r="BY25">
        <v>3</v>
      </c>
      <c r="BZ25" t="s">
        <v>1084</v>
      </c>
    </row>
    <row r="26" spans="1:78" x14ac:dyDescent="0.25">
      <c r="A26">
        <v>1</v>
      </c>
      <c r="B26" t="s">
        <v>303</v>
      </c>
      <c r="C26" t="s">
        <v>299</v>
      </c>
      <c r="D26" t="s">
        <v>1080</v>
      </c>
      <c r="E26" t="s">
        <v>223</v>
      </c>
      <c r="F26" s="174">
        <v>46136</v>
      </c>
      <c r="G26" t="s">
        <v>222</v>
      </c>
      <c r="I26" t="s">
        <v>224</v>
      </c>
      <c r="J26">
        <v>100</v>
      </c>
      <c r="K26">
        <v>500</v>
      </c>
      <c r="L26">
        <v>85</v>
      </c>
      <c r="M26">
        <v>2</v>
      </c>
      <c r="N26">
        <v>3</v>
      </c>
      <c r="P26" t="s">
        <v>510</v>
      </c>
      <c r="Q26" t="s">
        <v>37</v>
      </c>
      <c r="AB26" t="s">
        <v>226</v>
      </c>
      <c r="AF26" t="s">
        <v>226</v>
      </c>
      <c r="BU26" s="176">
        <v>46136.441666666666</v>
      </c>
      <c r="BV26" s="176">
        <v>46136.448611111111</v>
      </c>
      <c r="BW26" s="176">
        <v>46136.459027777775</v>
      </c>
      <c r="BX26">
        <v>24</v>
      </c>
      <c r="BY26">
        <v>4</v>
      </c>
      <c r="BZ26" t="s">
        <v>1085</v>
      </c>
    </row>
    <row r="27" spans="1:78" x14ac:dyDescent="0.25">
      <c r="A27">
        <v>1</v>
      </c>
      <c r="B27" t="s">
        <v>303</v>
      </c>
      <c r="C27" t="s">
        <v>299</v>
      </c>
      <c r="D27" t="s">
        <v>1080</v>
      </c>
      <c r="E27" t="s">
        <v>223</v>
      </c>
      <c r="F27" s="174">
        <v>46136</v>
      </c>
      <c r="G27" t="s">
        <v>222</v>
      </c>
      <c r="I27" t="s">
        <v>224</v>
      </c>
      <c r="J27">
        <v>100</v>
      </c>
      <c r="K27">
        <v>500</v>
      </c>
      <c r="L27">
        <v>85</v>
      </c>
      <c r="M27">
        <v>2</v>
      </c>
      <c r="N27">
        <v>3</v>
      </c>
      <c r="O27" t="s">
        <v>245</v>
      </c>
      <c r="P27">
        <v>3</v>
      </c>
      <c r="Q27">
        <v>3</v>
      </c>
      <c r="R27">
        <v>1</v>
      </c>
      <c r="S27">
        <v>0</v>
      </c>
      <c r="BU27" s="176">
        <v>46136.441666666666</v>
      </c>
      <c r="BV27" s="176">
        <v>46136.448611111111</v>
      </c>
      <c r="BW27" s="176">
        <v>46136.459027777775</v>
      </c>
      <c r="BX27">
        <v>25</v>
      </c>
      <c r="BY27">
        <v>0</v>
      </c>
      <c r="BZ27" t="s">
        <v>1081</v>
      </c>
    </row>
    <row r="28" spans="1:78" x14ac:dyDescent="0.25">
      <c r="A28">
        <v>1</v>
      </c>
      <c r="B28" t="s">
        <v>303</v>
      </c>
      <c r="C28" t="s">
        <v>299</v>
      </c>
      <c r="D28" t="s">
        <v>1080</v>
      </c>
      <c r="E28" t="s">
        <v>223</v>
      </c>
      <c r="F28" s="174">
        <v>46136</v>
      </c>
      <c r="G28" t="s">
        <v>222</v>
      </c>
      <c r="I28" t="s">
        <v>224</v>
      </c>
      <c r="J28">
        <v>100</v>
      </c>
      <c r="K28">
        <v>500</v>
      </c>
      <c r="L28">
        <v>85</v>
      </c>
      <c r="M28">
        <v>2</v>
      </c>
      <c r="N28">
        <v>3</v>
      </c>
      <c r="P28" t="s">
        <v>510</v>
      </c>
      <c r="Q28" t="s">
        <v>31</v>
      </c>
      <c r="S28">
        <v>14.42</v>
      </c>
      <c r="BU28" s="176">
        <v>46136.441666666666</v>
      </c>
      <c r="BV28" s="176">
        <v>46136.448611111111</v>
      </c>
      <c r="BW28" s="176">
        <v>46136.459027777775</v>
      </c>
      <c r="BX28">
        <v>26</v>
      </c>
      <c r="BY28">
        <v>1</v>
      </c>
      <c r="BZ28" t="s">
        <v>1082</v>
      </c>
    </row>
    <row r="29" spans="1:78" x14ac:dyDescent="0.25">
      <c r="A29">
        <v>1</v>
      </c>
      <c r="B29" t="s">
        <v>303</v>
      </c>
      <c r="C29" t="s">
        <v>299</v>
      </c>
      <c r="D29" t="s">
        <v>1080</v>
      </c>
      <c r="E29" t="s">
        <v>223</v>
      </c>
      <c r="F29" s="174">
        <v>46136</v>
      </c>
      <c r="G29" t="s">
        <v>222</v>
      </c>
      <c r="I29" t="s">
        <v>224</v>
      </c>
      <c r="J29">
        <v>100</v>
      </c>
      <c r="K29">
        <v>500</v>
      </c>
      <c r="L29">
        <v>85</v>
      </c>
      <c r="M29">
        <v>2</v>
      </c>
      <c r="N29">
        <v>3</v>
      </c>
      <c r="P29" t="s">
        <v>510</v>
      </c>
      <c r="Q29" t="s">
        <v>33</v>
      </c>
      <c r="BU29" s="176">
        <v>46136.441666666666</v>
      </c>
      <c r="BV29" s="176">
        <v>46136.448611111111</v>
      </c>
      <c r="BW29" s="176">
        <v>46136.459027777775</v>
      </c>
      <c r="BX29">
        <v>27</v>
      </c>
      <c r="BY29">
        <v>2</v>
      </c>
      <c r="BZ29" t="s">
        <v>1083</v>
      </c>
    </row>
    <row r="30" spans="1:78" x14ac:dyDescent="0.25">
      <c r="A30">
        <v>1</v>
      </c>
      <c r="B30" t="s">
        <v>303</v>
      </c>
      <c r="C30" t="s">
        <v>299</v>
      </c>
      <c r="D30" t="s">
        <v>1080</v>
      </c>
      <c r="E30" t="s">
        <v>223</v>
      </c>
      <c r="F30" s="174">
        <v>46136</v>
      </c>
      <c r="G30" t="s">
        <v>222</v>
      </c>
      <c r="I30" t="s">
        <v>224</v>
      </c>
      <c r="J30">
        <v>100</v>
      </c>
      <c r="K30">
        <v>500</v>
      </c>
      <c r="L30">
        <v>85</v>
      </c>
      <c r="M30">
        <v>2</v>
      </c>
      <c r="N30">
        <v>3</v>
      </c>
      <c r="P30" t="s">
        <v>510</v>
      </c>
      <c r="Q30" t="s">
        <v>35</v>
      </c>
      <c r="S30" t="s">
        <v>225</v>
      </c>
      <c r="BU30" s="176">
        <v>46136.441666666666</v>
      </c>
      <c r="BV30" s="176">
        <v>46136.448611111111</v>
      </c>
      <c r="BW30" s="176">
        <v>46136.459027777775</v>
      </c>
      <c r="BX30">
        <v>28</v>
      </c>
      <c r="BY30">
        <v>3</v>
      </c>
      <c r="BZ30" t="s">
        <v>1084</v>
      </c>
    </row>
    <row r="31" spans="1:78" x14ac:dyDescent="0.25">
      <c r="A31">
        <v>1</v>
      </c>
      <c r="B31" t="s">
        <v>303</v>
      </c>
      <c r="C31" t="s">
        <v>299</v>
      </c>
      <c r="D31" t="s">
        <v>1080</v>
      </c>
      <c r="E31" t="s">
        <v>223</v>
      </c>
      <c r="F31" s="174">
        <v>46136</v>
      </c>
      <c r="G31" t="s">
        <v>222</v>
      </c>
      <c r="I31" t="s">
        <v>224</v>
      </c>
      <c r="J31">
        <v>100</v>
      </c>
      <c r="K31">
        <v>500</v>
      </c>
      <c r="L31">
        <v>85</v>
      </c>
      <c r="M31">
        <v>2</v>
      </c>
      <c r="N31">
        <v>3</v>
      </c>
      <c r="P31" t="s">
        <v>510</v>
      </c>
      <c r="Q31" t="s">
        <v>37</v>
      </c>
      <c r="BU31" s="176">
        <v>46136.441666666666</v>
      </c>
      <c r="BV31" s="176">
        <v>46136.448611111111</v>
      </c>
      <c r="BW31" s="176">
        <v>46136.459027777775</v>
      </c>
      <c r="BX31">
        <v>29</v>
      </c>
      <c r="BY31">
        <v>4</v>
      </c>
      <c r="BZ31" t="s">
        <v>1085</v>
      </c>
    </row>
    <row r="32" spans="1:78" x14ac:dyDescent="0.25">
      <c r="A32">
        <v>1</v>
      </c>
      <c r="B32" t="s">
        <v>303</v>
      </c>
      <c r="C32" t="s">
        <v>299</v>
      </c>
      <c r="D32" t="s">
        <v>1080</v>
      </c>
      <c r="E32" t="s">
        <v>223</v>
      </c>
      <c r="F32" s="174">
        <v>46136</v>
      </c>
      <c r="G32" t="s">
        <v>222</v>
      </c>
      <c r="I32" t="s">
        <v>224</v>
      </c>
      <c r="J32">
        <v>100</v>
      </c>
      <c r="K32">
        <v>500</v>
      </c>
      <c r="L32">
        <v>85</v>
      </c>
      <c r="M32">
        <v>3</v>
      </c>
      <c r="N32">
        <v>3</v>
      </c>
      <c r="O32" t="s">
        <v>247</v>
      </c>
      <c r="P32">
        <v>1</v>
      </c>
      <c r="Q32">
        <v>1</v>
      </c>
      <c r="R32">
        <v>1</v>
      </c>
      <c r="S32">
        <v>0</v>
      </c>
      <c r="BU32" s="176">
        <v>46136.451388888891</v>
      </c>
      <c r="BV32" s="176">
        <v>46136.460416666669</v>
      </c>
      <c r="BW32" s="176">
        <v>46136.47152777778</v>
      </c>
      <c r="BX32">
        <v>30</v>
      </c>
      <c r="BY32">
        <v>0</v>
      </c>
      <c r="BZ32" t="s">
        <v>1081</v>
      </c>
    </row>
    <row r="33" spans="1:78" x14ac:dyDescent="0.25">
      <c r="A33">
        <v>1</v>
      </c>
      <c r="B33" t="s">
        <v>303</v>
      </c>
      <c r="C33" t="s">
        <v>299</v>
      </c>
      <c r="D33" t="s">
        <v>1080</v>
      </c>
      <c r="E33" t="s">
        <v>223</v>
      </c>
      <c r="F33" s="174">
        <v>46136</v>
      </c>
      <c r="G33" t="s">
        <v>222</v>
      </c>
      <c r="I33" t="s">
        <v>224</v>
      </c>
      <c r="J33">
        <v>100</v>
      </c>
      <c r="K33">
        <v>500</v>
      </c>
      <c r="L33">
        <v>85</v>
      </c>
      <c r="M33">
        <v>3</v>
      </c>
      <c r="N33">
        <v>3</v>
      </c>
      <c r="P33" t="s">
        <v>510</v>
      </c>
      <c r="Q33" t="s">
        <v>31</v>
      </c>
      <c r="S33">
        <v>14.42</v>
      </c>
      <c r="BU33" s="176">
        <v>46136.451388888891</v>
      </c>
      <c r="BV33" s="176">
        <v>46136.460416666669</v>
      </c>
      <c r="BW33" s="176">
        <v>46136.47152777778</v>
      </c>
      <c r="BX33">
        <v>31</v>
      </c>
      <c r="BY33">
        <v>1</v>
      </c>
      <c r="BZ33" t="s">
        <v>1082</v>
      </c>
    </row>
    <row r="34" spans="1:78" x14ac:dyDescent="0.25">
      <c r="A34">
        <v>1</v>
      </c>
      <c r="B34" t="s">
        <v>303</v>
      </c>
      <c r="C34" t="s">
        <v>299</v>
      </c>
      <c r="D34" t="s">
        <v>1080</v>
      </c>
      <c r="E34" t="s">
        <v>223</v>
      </c>
      <c r="F34" s="174">
        <v>46136</v>
      </c>
      <c r="G34" t="s">
        <v>222</v>
      </c>
      <c r="I34" t="s">
        <v>224</v>
      </c>
      <c r="J34">
        <v>100</v>
      </c>
      <c r="K34">
        <v>500</v>
      </c>
      <c r="L34">
        <v>85</v>
      </c>
      <c r="M34">
        <v>3</v>
      </c>
      <c r="N34">
        <v>3</v>
      </c>
      <c r="P34" t="s">
        <v>510</v>
      </c>
      <c r="Q34" t="s">
        <v>33</v>
      </c>
      <c r="BU34" s="176">
        <v>46136.451388888891</v>
      </c>
      <c r="BV34" s="176">
        <v>46136.460416666669</v>
      </c>
      <c r="BW34" s="176">
        <v>46136.47152777778</v>
      </c>
      <c r="BX34">
        <v>32</v>
      </c>
      <c r="BY34">
        <v>2</v>
      </c>
      <c r="BZ34" t="s">
        <v>1083</v>
      </c>
    </row>
    <row r="35" spans="1:78" x14ac:dyDescent="0.25">
      <c r="A35">
        <v>1</v>
      </c>
      <c r="B35" t="s">
        <v>303</v>
      </c>
      <c r="C35" t="s">
        <v>299</v>
      </c>
      <c r="D35" t="s">
        <v>1080</v>
      </c>
      <c r="E35" t="s">
        <v>223</v>
      </c>
      <c r="F35" s="174">
        <v>46136</v>
      </c>
      <c r="G35" t="s">
        <v>222</v>
      </c>
      <c r="I35" t="s">
        <v>224</v>
      </c>
      <c r="J35">
        <v>100</v>
      </c>
      <c r="K35">
        <v>500</v>
      </c>
      <c r="L35">
        <v>85</v>
      </c>
      <c r="M35">
        <v>3</v>
      </c>
      <c r="N35">
        <v>3</v>
      </c>
      <c r="P35" t="s">
        <v>510</v>
      </c>
      <c r="Q35" t="s">
        <v>35</v>
      </c>
      <c r="S35" t="s">
        <v>225</v>
      </c>
      <c r="BU35" s="176">
        <v>46136.451388888891</v>
      </c>
      <c r="BV35" s="176">
        <v>46136.460416666669</v>
      </c>
      <c r="BW35" s="176">
        <v>46136.47152777778</v>
      </c>
      <c r="BX35">
        <v>33</v>
      </c>
      <c r="BY35">
        <v>3</v>
      </c>
      <c r="BZ35" t="s">
        <v>1084</v>
      </c>
    </row>
    <row r="36" spans="1:78" x14ac:dyDescent="0.25">
      <c r="A36">
        <v>1</v>
      </c>
      <c r="B36" t="s">
        <v>303</v>
      </c>
      <c r="C36" t="s">
        <v>299</v>
      </c>
      <c r="D36" t="s">
        <v>1080</v>
      </c>
      <c r="E36" t="s">
        <v>223</v>
      </c>
      <c r="F36" s="174">
        <v>46136</v>
      </c>
      <c r="G36" t="s">
        <v>222</v>
      </c>
      <c r="I36" t="s">
        <v>224</v>
      </c>
      <c r="J36">
        <v>100</v>
      </c>
      <c r="K36">
        <v>500</v>
      </c>
      <c r="L36">
        <v>85</v>
      </c>
      <c r="M36">
        <v>3</v>
      </c>
      <c r="N36">
        <v>3</v>
      </c>
      <c r="P36" t="s">
        <v>510</v>
      </c>
      <c r="Q36" t="s">
        <v>37</v>
      </c>
      <c r="BU36" s="176">
        <v>46136.451388888891</v>
      </c>
      <c r="BV36" s="176">
        <v>46136.460416666669</v>
      </c>
      <c r="BW36" s="176">
        <v>46136.47152777778</v>
      </c>
      <c r="BX36">
        <v>34</v>
      </c>
      <c r="BY36">
        <v>4</v>
      </c>
      <c r="BZ36" t="s">
        <v>1085</v>
      </c>
    </row>
    <row r="37" spans="1:78" x14ac:dyDescent="0.25">
      <c r="A37">
        <v>1</v>
      </c>
      <c r="B37" t="s">
        <v>303</v>
      </c>
      <c r="C37" t="s">
        <v>299</v>
      </c>
      <c r="D37" t="s">
        <v>1080</v>
      </c>
      <c r="E37" t="s">
        <v>223</v>
      </c>
      <c r="F37" s="174">
        <v>46136</v>
      </c>
      <c r="G37" t="s">
        <v>222</v>
      </c>
      <c r="I37" t="s">
        <v>224</v>
      </c>
      <c r="J37">
        <v>100</v>
      </c>
      <c r="K37">
        <v>500</v>
      </c>
      <c r="L37">
        <v>85</v>
      </c>
      <c r="M37">
        <v>3</v>
      </c>
      <c r="N37">
        <v>3</v>
      </c>
      <c r="O37" t="s">
        <v>248</v>
      </c>
      <c r="P37">
        <v>2</v>
      </c>
      <c r="Q37">
        <v>2</v>
      </c>
      <c r="R37">
        <v>1</v>
      </c>
      <c r="AA37">
        <v>1</v>
      </c>
      <c r="AE37">
        <v>1</v>
      </c>
      <c r="AG37">
        <v>1</v>
      </c>
      <c r="AH37">
        <v>0</v>
      </c>
      <c r="BU37" s="176">
        <v>46136.451388888891</v>
      </c>
      <c r="BV37" s="176">
        <v>46136.460416666669</v>
      </c>
      <c r="BW37" s="176">
        <v>46136.47152777778</v>
      </c>
      <c r="BX37">
        <v>35</v>
      </c>
      <c r="BY37">
        <v>0</v>
      </c>
      <c r="BZ37" t="s">
        <v>1081</v>
      </c>
    </row>
    <row r="38" spans="1:78" x14ac:dyDescent="0.25">
      <c r="A38">
        <v>1</v>
      </c>
      <c r="B38" t="s">
        <v>303</v>
      </c>
      <c r="C38" t="s">
        <v>299</v>
      </c>
      <c r="D38" t="s">
        <v>1080</v>
      </c>
      <c r="E38" t="s">
        <v>223</v>
      </c>
      <c r="F38" s="174">
        <v>46136</v>
      </c>
      <c r="G38" t="s">
        <v>222</v>
      </c>
      <c r="I38" t="s">
        <v>224</v>
      </c>
      <c r="J38">
        <v>100</v>
      </c>
      <c r="K38">
        <v>500</v>
      </c>
      <c r="L38">
        <v>85</v>
      </c>
      <c r="M38">
        <v>3</v>
      </c>
      <c r="N38">
        <v>3</v>
      </c>
      <c r="P38" t="s">
        <v>510</v>
      </c>
      <c r="Q38" t="s">
        <v>31</v>
      </c>
      <c r="AA38">
        <v>14.44</v>
      </c>
      <c r="AE38">
        <v>16.13</v>
      </c>
      <c r="AG38">
        <v>19.07</v>
      </c>
      <c r="AH38">
        <v>20.309999999999999</v>
      </c>
      <c r="BU38" s="176">
        <v>46136.451388888891</v>
      </c>
      <c r="BV38" s="176">
        <v>46136.460416666669</v>
      </c>
      <c r="BW38" s="176">
        <v>46136.47152777778</v>
      </c>
      <c r="BX38">
        <v>36</v>
      </c>
      <c r="BY38">
        <v>1</v>
      </c>
      <c r="BZ38" t="s">
        <v>1082</v>
      </c>
    </row>
    <row r="39" spans="1:78" x14ac:dyDescent="0.25">
      <c r="A39">
        <v>1</v>
      </c>
      <c r="B39" t="s">
        <v>303</v>
      </c>
      <c r="C39" t="s">
        <v>299</v>
      </c>
      <c r="D39" t="s">
        <v>1080</v>
      </c>
      <c r="E39" t="s">
        <v>223</v>
      </c>
      <c r="F39" s="174">
        <v>46136</v>
      </c>
      <c r="G39" t="s">
        <v>222</v>
      </c>
      <c r="I39" t="s">
        <v>224</v>
      </c>
      <c r="J39">
        <v>100</v>
      </c>
      <c r="K39">
        <v>500</v>
      </c>
      <c r="L39">
        <v>85</v>
      </c>
      <c r="M39">
        <v>3</v>
      </c>
      <c r="N39">
        <v>3</v>
      </c>
      <c r="P39" t="s">
        <v>510</v>
      </c>
      <c r="Q39" t="s">
        <v>33</v>
      </c>
      <c r="BU39" s="176">
        <v>46136.451388888891</v>
      </c>
      <c r="BV39" s="176">
        <v>46136.460416666669</v>
      </c>
      <c r="BW39" s="176">
        <v>46136.47152777778</v>
      </c>
      <c r="BX39">
        <v>37</v>
      </c>
      <c r="BY39">
        <v>2</v>
      </c>
      <c r="BZ39" t="s">
        <v>1083</v>
      </c>
    </row>
    <row r="40" spans="1:78" x14ac:dyDescent="0.25">
      <c r="A40">
        <v>1</v>
      </c>
      <c r="B40" t="s">
        <v>303</v>
      </c>
      <c r="C40" t="s">
        <v>299</v>
      </c>
      <c r="D40" t="s">
        <v>1080</v>
      </c>
      <c r="E40" t="s">
        <v>223</v>
      </c>
      <c r="F40" s="174">
        <v>46136</v>
      </c>
      <c r="G40" t="s">
        <v>222</v>
      </c>
      <c r="I40" t="s">
        <v>224</v>
      </c>
      <c r="J40">
        <v>100</v>
      </c>
      <c r="K40">
        <v>500</v>
      </c>
      <c r="L40">
        <v>85</v>
      </c>
      <c r="M40">
        <v>3</v>
      </c>
      <c r="N40">
        <v>3</v>
      </c>
      <c r="P40" t="s">
        <v>510</v>
      </c>
      <c r="Q40" t="s">
        <v>35</v>
      </c>
      <c r="AH40" t="s">
        <v>225</v>
      </c>
      <c r="BU40" s="176">
        <v>46136.451388888891</v>
      </c>
      <c r="BV40" s="176">
        <v>46136.460416666669</v>
      </c>
      <c r="BW40" s="176">
        <v>46136.47152777778</v>
      </c>
      <c r="BX40">
        <v>38</v>
      </c>
      <c r="BY40">
        <v>3</v>
      </c>
      <c r="BZ40" t="s">
        <v>1084</v>
      </c>
    </row>
    <row r="41" spans="1:78" x14ac:dyDescent="0.25">
      <c r="A41">
        <v>1</v>
      </c>
      <c r="B41" t="s">
        <v>303</v>
      </c>
      <c r="C41" t="s">
        <v>299</v>
      </c>
      <c r="D41" t="s">
        <v>1080</v>
      </c>
      <c r="E41" t="s">
        <v>223</v>
      </c>
      <c r="F41" s="174">
        <v>46136</v>
      </c>
      <c r="G41" t="s">
        <v>222</v>
      </c>
      <c r="I41" t="s">
        <v>224</v>
      </c>
      <c r="J41">
        <v>100</v>
      </c>
      <c r="K41">
        <v>500</v>
      </c>
      <c r="L41">
        <v>85</v>
      </c>
      <c r="M41">
        <v>3</v>
      </c>
      <c r="N41">
        <v>3</v>
      </c>
      <c r="P41" t="s">
        <v>510</v>
      </c>
      <c r="Q41" t="s">
        <v>37</v>
      </c>
      <c r="AA41" t="s">
        <v>226</v>
      </c>
      <c r="AE41" t="s">
        <v>226</v>
      </c>
      <c r="AG41" t="s">
        <v>226</v>
      </c>
      <c r="BU41" s="176">
        <v>46136.451388888891</v>
      </c>
      <c r="BV41" s="176">
        <v>46136.460416666669</v>
      </c>
      <c r="BW41" s="176">
        <v>46136.47152777778</v>
      </c>
      <c r="BX41">
        <v>39</v>
      </c>
      <c r="BY41">
        <v>4</v>
      </c>
      <c r="BZ41" t="s">
        <v>1085</v>
      </c>
    </row>
    <row r="42" spans="1:78" x14ac:dyDescent="0.25">
      <c r="A42">
        <v>1</v>
      </c>
      <c r="B42" t="s">
        <v>303</v>
      </c>
      <c r="C42" t="s">
        <v>299</v>
      </c>
      <c r="D42" t="s">
        <v>1080</v>
      </c>
      <c r="E42" t="s">
        <v>223</v>
      </c>
      <c r="F42" s="174">
        <v>46136</v>
      </c>
      <c r="G42" t="s">
        <v>222</v>
      </c>
      <c r="I42" t="s">
        <v>224</v>
      </c>
      <c r="J42">
        <v>100</v>
      </c>
      <c r="K42">
        <v>500</v>
      </c>
      <c r="L42">
        <v>85</v>
      </c>
      <c r="M42">
        <v>3</v>
      </c>
      <c r="N42">
        <v>3</v>
      </c>
      <c r="O42" t="s">
        <v>249</v>
      </c>
      <c r="P42">
        <v>3</v>
      </c>
      <c r="Q42">
        <v>3</v>
      </c>
      <c r="R42">
        <v>1</v>
      </c>
      <c r="Z42">
        <v>1</v>
      </c>
      <c r="AC42">
        <v>1</v>
      </c>
      <c r="AD42">
        <v>1</v>
      </c>
      <c r="AE42">
        <v>0</v>
      </c>
      <c r="BU42" s="176">
        <v>46136.451388888891</v>
      </c>
      <c r="BV42" s="176">
        <v>46136.460416666669</v>
      </c>
      <c r="BW42" s="176">
        <v>46136.47152777778</v>
      </c>
      <c r="BX42">
        <v>40</v>
      </c>
      <c r="BY42">
        <v>0</v>
      </c>
      <c r="BZ42" t="s">
        <v>1081</v>
      </c>
    </row>
    <row r="43" spans="1:78" x14ac:dyDescent="0.25">
      <c r="A43">
        <v>1</v>
      </c>
      <c r="B43" t="s">
        <v>303</v>
      </c>
      <c r="C43" t="s">
        <v>299</v>
      </c>
      <c r="D43" t="s">
        <v>1080</v>
      </c>
      <c r="E43" t="s">
        <v>223</v>
      </c>
      <c r="F43" s="174">
        <v>46136</v>
      </c>
      <c r="G43" t="s">
        <v>222</v>
      </c>
      <c r="I43" t="s">
        <v>224</v>
      </c>
      <c r="J43">
        <v>100</v>
      </c>
      <c r="K43">
        <v>500</v>
      </c>
      <c r="L43">
        <v>85</v>
      </c>
      <c r="M43">
        <v>3</v>
      </c>
      <c r="N43">
        <v>3</v>
      </c>
      <c r="P43" t="s">
        <v>510</v>
      </c>
      <c r="Q43" t="s">
        <v>31</v>
      </c>
      <c r="Z43">
        <v>14.45</v>
      </c>
      <c r="AC43">
        <v>16.149999999999999</v>
      </c>
      <c r="AD43" t="s">
        <v>250</v>
      </c>
      <c r="AE43">
        <v>20.309999999999999</v>
      </c>
      <c r="BU43" s="176">
        <v>46136.451388888891</v>
      </c>
      <c r="BV43" s="176">
        <v>46136.460416666669</v>
      </c>
      <c r="BW43" s="176">
        <v>46136.47152777778</v>
      </c>
      <c r="BX43">
        <v>41</v>
      </c>
      <c r="BY43">
        <v>1</v>
      </c>
      <c r="BZ43" t="s">
        <v>1082</v>
      </c>
    </row>
    <row r="44" spans="1:78" x14ac:dyDescent="0.25">
      <c r="A44">
        <v>1</v>
      </c>
      <c r="B44" t="s">
        <v>303</v>
      </c>
      <c r="C44" t="s">
        <v>299</v>
      </c>
      <c r="D44" t="s">
        <v>1080</v>
      </c>
      <c r="E44" t="s">
        <v>223</v>
      </c>
      <c r="F44" s="174">
        <v>46136</v>
      </c>
      <c r="G44" t="s">
        <v>222</v>
      </c>
      <c r="I44" t="s">
        <v>224</v>
      </c>
      <c r="J44">
        <v>100</v>
      </c>
      <c r="K44">
        <v>500</v>
      </c>
      <c r="L44">
        <v>85</v>
      </c>
      <c r="M44">
        <v>3</v>
      </c>
      <c r="N44">
        <v>3</v>
      </c>
      <c r="P44" t="s">
        <v>510</v>
      </c>
      <c r="Q44" t="s">
        <v>33</v>
      </c>
      <c r="BU44" s="176">
        <v>46136.451388888891</v>
      </c>
      <c r="BV44" s="176">
        <v>46136.460416666669</v>
      </c>
      <c r="BW44" s="176">
        <v>46136.47152777778</v>
      </c>
      <c r="BX44">
        <v>42</v>
      </c>
      <c r="BY44">
        <v>2</v>
      </c>
      <c r="BZ44" t="s">
        <v>1083</v>
      </c>
    </row>
    <row r="45" spans="1:78" x14ac:dyDescent="0.25">
      <c r="A45">
        <v>1</v>
      </c>
      <c r="B45" t="s">
        <v>303</v>
      </c>
      <c r="C45" t="s">
        <v>299</v>
      </c>
      <c r="D45" t="s">
        <v>1080</v>
      </c>
      <c r="E45" t="s">
        <v>223</v>
      </c>
      <c r="F45" s="174">
        <v>46136</v>
      </c>
      <c r="G45" t="s">
        <v>222</v>
      </c>
      <c r="I45" t="s">
        <v>224</v>
      </c>
      <c r="J45">
        <v>100</v>
      </c>
      <c r="K45">
        <v>500</v>
      </c>
      <c r="L45">
        <v>85</v>
      </c>
      <c r="M45">
        <v>3</v>
      </c>
      <c r="N45">
        <v>3</v>
      </c>
      <c r="P45" t="s">
        <v>510</v>
      </c>
      <c r="Q45" t="s">
        <v>35</v>
      </c>
      <c r="AE45" t="s">
        <v>225</v>
      </c>
      <c r="BU45" s="176">
        <v>46136.451388888891</v>
      </c>
      <c r="BV45" s="176">
        <v>46136.460416666669</v>
      </c>
      <c r="BW45" s="176">
        <v>46136.47152777778</v>
      </c>
      <c r="BX45">
        <v>43</v>
      </c>
      <c r="BY45">
        <v>3</v>
      </c>
      <c r="BZ45" t="s">
        <v>1084</v>
      </c>
    </row>
    <row r="46" spans="1:78" x14ac:dyDescent="0.25">
      <c r="A46">
        <v>1</v>
      </c>
      <c r="B46" t="s">
        <v>303</v>
      </c>
      <c r="C46" t="s">
        <v>299</v>
      </c>
      <c r="D46" t="s">
        <v>1080</v>
      </c>
      <c r="E46" t="s">
        <v>223</v>
      </c>
      <c r="F46" s="174">
        <v>46136</v>
      </c>
      <c r="G46" t="s">
        <v>222</v>
      </c>
      <c r="I46" t="s">
        <v>224</v>
      </c>
      <c r="J46">
        <v>100</v>
      </c>
      <c r="K46">
        <v>500</v>
      </c>
      <c r="L46">
        <v>85</v>
      </c>
      <c r="M46">
        <v>3</v>
      </c>
      <c r="N46">
        <v>3</v>
      </c>
      <c r="P46" t="s">
        <v>510</v>
      </c>
      <c r="Q46" t="s">
        <v>37</v>
      </c>
      <c r="Z46" t="s">
        <v>229</v>
      </c>
      <c r="AC46" t="s">
        <v>229</v>
      </c>
      <c r="AD46" t="s">
        <v>229</v>
      </c>
      <c r="BU46" s="176">
        <v>46136.451388888891</v>
      </c>
      <c r="BV46" s="176">
        <v>46136.460416666669</v>
      </c>
      <c r="BW46" s="176">
        <v>46136.47152777778</v>
      </c>
      <c r="BX46">
        <v>44</v>
      </c>
      <c r="BY46">
        <v>4</v>
      </c>
      <c r="BZ46" t="s">
        <v>1085</v>
      </c>
    </row>
    <row r="47" spans="1:78" x14ac:dyDescent="0.25">
      <c r="A47">
        <v>1</v>
      </c>
      <c r="B47" t="s">
        <v>303</v>
      </c>
      <c r="C47" t="s">
        <v>299</v>
      </c>
      <c r="D47" t="s">
        <v>1080</v>
      </c>
      <c r="E47" t="s">
        <v>223</v>
      </c>
      <c r="F47" s="174">
        <v>46136</v>
      </c>
      <c r="G47" t="s">
        <v>222</v>
      </c>
      <c r="I47" t="s">
        <v>224</v>
      </c>
      <c r="J47">
        <v>100</v>
      </c>
      <c r="K47">
        <v>500</v>
      </c>
      <c r="L47">
        <v>85</v>
      </c>
      <c r="M47">
        <v>4</v>
      </c>
      <c r="N47">
        <v>2</v>
      </c>
      <c r="O47" t="s">
        <v>252</v>
      </c>
      <c r="P47">
        <v>1</v>
      </c>
      <c r="Q47">
        <v>1</v>
      </c>
      <c r="R47">
        <v>1</v>
      </c>
      <c r="S47">
        <v>0</v>
      </c>
      <c r="BU47" s="176">
        <v>46136.461805555555</v>
      </c>
      <c r="BV47" s="176">
        <v>46136.46875</v>
      </c>
      <c r="BW47" s="176">
        <v>46136.478472222225</v>
      </c>
      <c r="BX47">
        <v>45</v>
      </c>
      <c r="BY47">
        <v>0</v>
      </c>
      <c r="BZ47" t="s">
        <v>1081</v>
      </c>
    </row>
    <row r="48" spans="1:78" x14ac:dyDescent="0.25">
      <c r="A48">
        <v>1</v>
      </c>
      <c r="B48" t="s">
        <v>303</v>
      </c>
      <c r="C48" t="s">
        <v>299</v>
      </c>
      <c r="D48" t="s">
        <v>1080</v>
      </c>
      <c r="E48" t="s">
        <v>223</v>
      </c>
      <c r="F48" s="174">
        <v>46136</v>
      </c>
      <c r="G48" t="s">
        <v>222</v>
      </c>
      <c r="I48" t="s">
        <v>224</v>
      </c>
      <c r="J48">
        <v>100</v>
      </c>
      <c r="K48">
        <v>500</v>
      </c>
      <c r="L48">
        <v>85</v>
      </c>
      <c r="M48">
        <v>4</v>
      </c>
      <c r="N48">
        <v>2</v>
      </c>
      <c r="P48" t="s">
        <v>510</v>
      </c>
      <c r="Q48" t="s">
        <v>31</v>
      </c>
      <c r="S48">
        <v>14.43</v>
      </c>
      <c r="BU48" s="176">
        <v>46136.461805555555</v>
      </c>
      <c r="BV48" s="176">
        <v>46136.46875</v>
      </c>
      <c r="BW48" s="176">
        <v>46136.478472222225</v>
      </c>
      <c r="BX48">
        <v>46</v>
      </c>
      <c r="BY48">
        <v>1</v>
      </c>
      <c r="BZ48" t="s">
        <v>1082</v>
      </c>
    </row>
    <row r="49" spans="1:78" x14ac:dyDescent="0.25">
      <c r="A49">
        <v>1</v>
      </c>
      <c r="B49" t="s">
        <v>303</v>
      </c>
      <c r="C49" t="s">
        <v>299</v>
      </c>
      <c r="D49" t="s">
        <v>1080</v>
      </c>
      <c r="E49" t="s">
        <v>223</v>
      </c>
      <c r="F49" s="174">
        <v>46136</v>
      </c>
      <c r="G49" t="s">
        <v>222</v>
      </c>
      <c r="I49" t="s">
        <v>224</v>
      </c>
      <c r="J49">
        <v>100</v>
      </c>
      <c r="K49">
        <v>500</v>
      </c>
      <c r="L49">
        <v>85</v>
      </c>
      <c r="M49">
        <v>4</v>
      </c>
      <c r="N49">
        <v>2</v>
      </c>
      <c r="P49" t="s">
        <v>510</v>
      </c>
      <c r="Q49" t="s">
        <v>33</v>
      </c>
      <c r="BU49" s="176">
        <v>46136.461805555555</v>
      </c>
      <c r="BV49" s="176">
        <v>46136.46875</v>
      </c>
      <c r="BW49" s="176">
        <v>46136.478472222225</v>
      </c>
      <c r="BX49">
        <v>47</v>
      </c>
      <c r="BY49">
        <v>2</v>
      </c>
      <c r="BZ49" t="s">
        <v>1083</v>
      </c>
    </row>
    <row r="50" spans="1:78" x14ac:dyDescent="0.25">
      <c r="A50">
        <v>1</v>
      </c>
      <c r="B50" t="s">
        <v>303</v>
      </c>
      <c r="C50" t="s">
        <v>299</v>
      </c>
      <c r="D50" t="s">
        <v>1080</v>
      </c>
      <c r="E50" t="s">
        <v>223</v>
      </c>
      <c r="F50" s="174">
        <v>46136</v>
      </c>
      <c r="G50" t="s">
        <v>222</v>
      </c>
      <c r="I50" t="s">
        <v>224</v>
      </c>
      <c r="J50">
        <v>100</v>
      </c>
      <c r="K50">
        <v>500</v>
      </c>
      <c r="L50">
        <v>85</v>
      </c>
      <c r="M50">
        <v>4</v>
      </c>
      <c r="N50">
        <v>2</v>
      </c>
      <c r="P50" t="s">
        <v>510</v>
      </c>
      <c r="Q50" t="s">
        <v>35</v>
      </c>
      <c r="S50" t="s">
        <v>225</v>
      </c>
      <c r="BU50" s="176">
        <v>46136.461805555555</v>
      </c>
      <c r="BV50" s="176">
        <v>46136.46875</v>
      </c>
      <c r="BW50" s="176">
        <v>46136.478472222225</v>
      </c>
      <c r="BX50">
        <v>48</v>
      </c>
      <c r="BY50">
        <v>3</v>
      </c>
      <c r="BZ50" t="s">
        <v>1084</v>
      </c>
    </row>
    <row r="51" spans="1:78" x14ac:dyDescent="0.25">
      <c r="A51">
        <v>1</v>
      </c>
      <c r="B51" t="s">
        <v>303</v>
      </c>
      <c r="C51" t="s">
        <v>299</v>
      </c>
      <c r="D51" t="s">
        <v>1080</v>
      </c>
      <c r="E51" t="s">
        <v>223</v>
      </c>
      <c r="F51" s="174">
        <v>46136</v>
      </c>
      <c r="G51" t="s">
        <v>222</v>
      </c>
      <c r="I51" t="s">
        <v>224</v>
      </c>
      <c r="J51">
        <v>100</v>
      </c>
      <c r="K51">
        <v>500</v>
      </c>
      <c r="L51">
        <v>85</v>
      </c>
      <c r="M51">
        <v>4</v>
      </c>
      <c r="N51">
        <v>2</v>
      </c>
      <c r="P51" t="s">
        <v>510</v>
      </c>
      <c r="Q51" t="s">
        <v>37</v>
      </c>
      <c r="BU51" s="176">
        <v>46136.461805555555</v>
      </c>
      <c r="BV51" s="176">
        <v>46136.46875</v>
      </c>
      <c r="BW51" s="176">
        <v>46136.478472222225</v>
      </c>
      <c r="BX51">
        <v>49</v>
      </c>
      <c r="BY51">
        <v>4</v>
      </c>
      <c r="BZ51" t="s">
        <v>1085</v>
      </c>
    </row>
    <row r="52" spans="1:78" x14ac:dyDescent="0.25">
      <c r="A52">
        <v>1</v>
      </c>
      <c r="B52" t="s">
        <v>303</v>
      </c>
      <c r="C52" t="s">
        <v>299</v>
      </c>
      <c r="D52" t="s">
        <v>1080</v>
      </c>
      <c r="E52" t="s">
        <v>223</v>
      </c>
      <c r="F52" s="174">
        <v>46136</v>
      </c>
      <c r="G52" t="s">
        <v>222</v>
      </c>
      <c r="I52" t="s">
        <v>224</v>
      </c>
      <c r="J52">
        <v>100</v>
      </c>
      <c r="K52">
        <v>500</v>
      </c>
      <c r="L52">
        <v>85</v>
      </c>
      <c r="M52">
        <v>4</v>
      </c>
      <c r="N52">
        <v>2</v>
      </c>
      <c r="O52" t="s">
        <v>253</v>
      </c>
      <c r="P52">
        <v>2</v>
      </c>
      <c r="Q52">
        <v>2</v>
      </c>
      <c r="R52">
        <v>1</v>
      </c>
      <c r="Z52">
        <v>1</v>
      </c>
      <c r="AE52">
        <v>1</v>
      </c>
      <c r="AH52">
        <v>1</v>
      </c>
      <c r="AI52">
        <v>0</v>
      </c>
      <c r="BU52" s="176">
        <v>46136.461805555555</v>
      </c>
      <c r="BV52" s="176">
        <v>46136.46875</v>
      </c>
      <c r="BW52" s="176">
        <v>46136.478472222225</v>
      </c>
      <c r="BX52">
        <v>50</v>
      </c>
      <c r="BY52">
        <v>0</v>
      </c>
      <c r="BZ52" t="s">
        <v>1081</v>
      </c>
    </row>
    <row r="53" spans="1:78" x14ac:dyDescent="0.25">
      <c r="A53">
        <v>1</v>
      </c>
      <c r="B53" t="s">
        <v>303</v>
      </c>
      <c r="C53" t="s">
        <v>299</v>
      </c>
      <c r="D53" t="s">
        <v>1080</v>
      </c>
      <c r="E53" t="s">
        <v>223</v>
      </c>
      <c r="F53" s="174">
        <v>46136</v>
      </c>
      <c r="G53" t="s">
        <v>222</v>
      </c>
      <c r="I53" t="s">
        <v>224</v>
      </c>
      <c r="J53">
        <v>100</v>
      </c>
      <c r="K53">
        <v>500</v>
      </c>
      <c r="L53">
        <v>85</v>
      </c>
      <c r="M53">
        <v>4</v>
      </c>
      <c r="N53">
        <v>2</v>
      </c>
      <c r="P53" t="s">
        <v>510</v>
      </c>
      <c r="Q53" t="s">
        <v>31</v>
      </c>
      <c r="Z53">
        <v>14.47</v>
      </c>
      <c r="AE53">
        <v>16.16</v>
      </c>
      <c r="AH53">
        <v>19.09</v>
      </c>
      <c r="AI53">
        <v>20</v>
      </c>
      <c r="BU53" s="176">
        <v>46136.461805555555</v>
      </c>
      <c r="BV53" s="176">
        <v>46136.46875</v>
      </c>
      <c r="BW53" s="176">
        <v>46136.478472222225</v>
      </c>
      <c r="BX53">
        <v>51</v>
      </c>
      <c r="BY53">
        <v>1</v>
      </c>
      <c r="BZ53" t="s">
        <v>1082</v>
      </c>
    </row>
    <row r="54" spans="1:78" x14ac:dyDescent="0.25">
      <c r="A54">
        <v>1</v>
      </c>
      <c r="B54" t="s">
        <v>303</v>
      </c>
      <c r="C54" t="s">
        <v>299</v>
      </c>
      <c r="D54" t="s">
        <v>1080</v>
      </c>
      <c r="E54" t="s">
        <v>223</v>
      </c>
      <c r="F54" s="174">
        <v>46136</v>
      </c>
      <c r="G54" t="s">
        <v>222</v>
      </c>
      <c r="I54" t="s">
        <v>224</v>
      </c>
      <c r="J54">
        <v>100</v>
      </c>
      <c r="K54">
        <v>500</v>
      </c>
      <c r="L54">
        <v>85</v>
      </c>
      <c r="M54">
        <v>4</v>
      </c>
      <c r="N54">
        <v>2</v>
      </c>
      <c r="P54" t="s">
        <v>510</v>
      </c>
      <c r="Q54" t="s">
        <v>33</v>
      </c>
      <c r="AI54" t="s">
        <v>225</v>
      </c>
      <c r="BU54" s="176">
        <v>46136.461805555555</v>
      </c>
      <c r="BV54" s="176">
        <v>46136.46875</v>
      </c>
      <c r="BW54" s="176">
        <v>46136.478472222225</v>
      </c>
      <c r="BX54">
        <v>52</v>
      </c>
      <c r="BY54">
        <v>2</v>
      </c>
      <c r="BZ54" t="s">
        <v>1083</v>
      </c>
    </row>
    <row r="55" spans="1:78" x14ac:dyDescent="0.25">
      <c r="A55">
        <v>1</v>
      </c>
      <c r="B55" t="s">
        <v>303</v>
      </c>
      <c r="C55" t="s">
        <v>299</v>
      </c>
      <c r="D55" t="s">
        <v>1080</v>
      </c>
      <c r="E55" t="s">
        <v>223</v>
      </c>
      <c r="F55" s="174">
        <v>46136</v>
      </c>
      <c r="G55" t="s">
        <v>222</v>
      </c>
      <c r="I55" t="s">
        <v>224</v>
      </c>
      <c r="J55">
        <v>100</v>
      </c>
      <c r="K55">
        <v>500</v>
      </c>
      <c r="L55">
        <v>85</v>
      </c>
      <c r="M55">
        <v>4</v>
      </c>
      <c r="N55">
        <v>2</v>
      </c>
      <c r="P55" t="s">
        <v>510</v>
      </c>
      <c r="Q55" t="s">
        <v>35</v>
      </c>
      <c r="BU55" s="176">
        <v>46136.461805555555</v>
      </c>
      <c r="BV55" s="176">
        <v>46136.46875</v>
      </c>
      <c r="BW55" s="176">
        <v>46136.478472222225</v>
      </c>
      <c r="BX55">
        <v>53</v>
      </c>
      <c r="BY55">
        <v>3</v>
      </c>
      <c r="BZ55" t="s">
        <v>1084</v>
      </c>
    </row>
    <row r="56" spans="1:78" x14ac:dyDescent="0.25">
      <c r="A56">
        <v>1</v>
      </c>
      <c r="B56" t="s">
        <v>303</v>
      </c>
      <c r="C56" t="s">
        <v>299</v>
      </c>
      <c r="D56" t="s">
        <v>1080</v>
      </c>
      <c r="E56" t="s">
        <v>223</v>
      </c>
      <c r="F56" s="174">
        <v>46136</v>
      </c>
      <c r="G56" t="s">
        <v>222</v>
      </c>
      <c r="I56" t="s">
        <v>224</v>
      </c>
      <c r="J56">
        <v>100</v>
      </c>
      <c r="K56">
        <v>500</v>
      </c>
      <c r="L56">
        <v>85</v>
      </c>
      <c r="M56">
        <v>4</v>
      </c>
      <c r="N56">
        <v>2</v>
      </c>
      <c r="P56" t="s">
        <v>510</v>
      </c>
      <c r="Q56" t="s">
        <v>37</v>
      </c>
      <c r="Z56" t="s">
        <v>229</v>
      </c>
      <c r="AE56" t="s">
        <v>229</v>
      </c>
      <c r="AH56" t="s">
        <v>226</v>
      </c>
      <c r="BU56" s="176">
        <v>46136.461805555555</v>
      </c>
      <c r="BV56" s="176">
        <v>46136.46875</v>
      </c>
      <c r="BW56" s="176">
        <v>46136.478472222225</v>
      </c>
      <c r="BX56">
        <v>54</v>
      </c>
      <c r="BY56">
        <v>4</v>
      </c>
      <c r="BZ56" t="s">
        <v>1085</v>
      </c>
    </row>
    <row r="57" spans="1:78" x14ac:dyDescent="0.25">
      <c r="A57">
        <v>1</v>
      </c>
      <c r="B57" t="s">
        <v>303</v>
      </c>
      <c r="C57" t="s">
        <v>299</v>
      </c>
      <c r="D57" t="s">
        <v>1080</v>
      </c>
      <c r="E57" t="s">
        <v>223</v>
      </c>
      <c r="F57" s="174">
        <v>46136</v>
      </c>
      <c r="G57" t="s">
        <v>222</v>
      </c>
      <c r="I57" t="s">
        <v>224</v>
      </c>
      <c r="J57">
        <v>100</v>
      </c>
      <c r="K57">
        <v>500</v>
      </c>
      <c r="L57">
        <v>85</v>
      </c>
      <c r="M57">
        <v>5</v>
      </c>
      <c r="N57">
        <v>3</v>
      </c>
      <c r="O57" t="s">
        <v>255</v>
      </c>
      <c r="P57">
        <v>1</v>
      </c>
      <c r="Q57">
        <v>1</v>
      </c>
      <c r="R57">
        <v>1</v>
      </c>
      <c r="S57">
        <v>0</v>
      </c>
      <c r="BU57" s="176">
        <v>46136.470138888886</v>
      </c>
      <c r="BV57" s="176">
        <v>46136.477083333331</v>
      </c>
      <c r="BW57" s="176">
        <v>46136.488194444442</v>
      </c>
      <c r="BX57">
        <v>55</v>
      </c>
      <c r="BY57">
        <v>0</v>
      </c>
      <c r="BZ57" t="s">
        <v>1081</v>
      </c>
    </row>
    <row r="58" spans="1:78" x14ac:dyDescent="0.25">
      <c r="A58">
        <v>1</v>
      </c>
      <c r="B58" t="s">
        <v>303</v>
      </c>
      <c r="C58" t="s">
        <v>299</v>
      </c>
      <c r="D58" t="s">
        <v>1080</v>
      </c>
      <c r="E58" t="s">
        <v>223</v>
      </c>
      <c r="F58" s="174">
        <v>46136</v>
      </c>
      <c r="G58" t="s">
        <v>222</v>
      </c>
      <c r="I58" t="s">
        <v>224</v>
      </c>
      <c r="J58">
        <v>100</v>
      </c>
      <c r="K58">
        <v>500</v>
      </c>
      <c r="L58">
        <v>85</v>
      </c>
      <c r="M58">
        <v>5</v>
      </c>
      <c r="N58">
        <v>3</v>
      </c>
      <c r="P58" t="s">
        <v>510</v>
      </c>
      <c r="Q58" t="s">
        <v>31</v>
      </c>
      <c r="S58">
        <v>14.5</v>
      </c>
      <c r="BU58" s="176">
        <v>46136.470138888886</v>
      </c>
      <c r="BV58" s="176">
        <v>46136.477083333331</v>
      </c>
      <c r="BW58" s="176">
        <v>46136.488194444442</v>
      </c>
      <c r="BX58">
        <v>56</v>
      </c>
      <c r="BY58">
        <v>1</v>
      </c>
      <c r="BZ58" t="s">
        <v>1082</v>
      </c>
    </row>
    <row r="59" spans="1:78" x14ac:dyDescent="0.25">
      <c r="A59">
        <v>1</v>
      </c>
      <c r="B59" t="s">
        <v>303</v>
      </c>
      <c r="C59" t="s">
        <v>299</v>
      </c>
      <c r="D59" t="s">
        <v>1080</v>
      </c>
      <c r="E59" t="s">
        <v>223</v>
      </c>
      <c r="F59" s="174">
        <v>46136</v>
      </c>
      <c r="G59" t="s">
        <v>222</v>
      </c>
      <c r="I59" t="s">
        <v>224</v>
      </c>
      <c r="J59">
        <v>100</v>
      </c>
      <c r="K59">
        <v>500</v>
      </c>
      <c r="L59">
        <v>85</v>
      </c>
      <c r="M59">
        <v>5</v>
      </c>
      <c r="N59">
        <v>3</v>
      </c>
      <c r="P59" t="s">
        <v>510</v>
      </c>
      <c r="Q59" t="s">
        <v>33</v>
      </c>
      <c r="BU59" s="176">
        <v>46136.470138888886</v>
      </c>
      <c r="BV59" s="176">
        <v>46136.477083333331</v>
      </c>
      <c r="BW59" s="176">
        <v>46136.488194444442</v>
      </c>
      <c r="BX59">
        <v>57</v>
      </c>
      <c r="BY59">
        <v>2</v>
      </c>
      <c r="BZ59" t="s">
        <v>1083</v>
      </c>
    </row>
    <row r="60" spans="1:78" x14ac:dyDescent="0.25">
      <c r="A60">
        <v>1</v>
      </c>
      <c r="B60" t="s">
        <v>303</v>
      </c>
      <c r="C60" t="s">
        <v>299</v>
      </c>
      <c r="D60" t="s">
        <v>1080</v>
      </c>
      <c r="E60" t="s">
        <v>223</v>
      </c>
      <c r="F60" s="174">
        <v>46136</v>
      </c>
      <c r="G60" t="s">
        <v>222</v>
      </c>
      <c r="I60" t="s">
        <v>224</v>
      </c>
      <c r="J60">
        <v>100</v>
      </c>
      <c r="K60">
        <v>500</v>
      </c>
      <c r="L60">
        <v>85</v>
      </c>
      <c r="M60">
        <v>5</v>
      </c>
      <c r="N60">
        <v>3</v>
      </c>
      <c r="P60" t="s">
        <v>510</v>
      </c>
      <c r="Q60" t="s">
        <v>35</v>
      </c>
      <c r="S60" t="s">
        <v>225</v>
      </c>
      <c r="BU60" s="176">
        <v>46136.470138888886</v>
      </c>
      <c r="BV60" s="176">
        <v>46136.477083333331</v>
      </c>
      <c r="BW60" s="176">
        <v>46136.488194444442</v>
      </c>
      <c r="BX60">
        <v>58</v>
      </c>
      <c r="BY60">
        <v>3</v>
      </c>
      <c r="BZ60" t="s">
        <v>1084</v>
      </c>
    </row>
    <row r="61" spans="1:78" x14ac:dyDescent="0.25">
      <c r="A61">
        <v>1</v>
      </c>
      <c r="B61" t="s">
        <v>303</v>
      </c>
      <c r="C61" t="s">
        <v>299</v>
      </c>
      <c r="D61" t="s">
        <v>1080</v>
      </c>
      <c r="E61" t="s">
        <v>223</v>
      </c>
      <c r="F61" s="174">
        <v>46136</v>
      </c>
      <c r="G61" t="s">
        <v>222</v>
      </c>
      <c r="I61" t="s">
        <v>224</v>
      </c>
      <c r="J61">
        <v>100</v>
      </c>
      <c r="K61">
        <v>500</v>
      </c>
      <c r="L61">
        <v>85</v>
      </c>
      <c r="M61">
        <v>5</v>
      </c>
      <c r="N61">
        <v>3</v>
      </c>
      <c r="P61" t="s">
        <v>510</v>
      </c>
      <c r="Q61" t="s">
        <v>37</v>
      </c>
      <c r="BU61" s="176">
        <v>46136.470138888886</v>
      </c>
      <c r="BV61" s="176">
        <v>46136.477083333331</v>
      </c>
      <c r="BW61" s="176">
        <v>46136.488194444442</v>
      </c>
      <c r="BX61">
        <v>59</v>
      </c>
      <c r="BY61">
        <v>4</v>
      </c>
      <c r="BZ61" t="s">
        <v>1085</v>
      </c>
    </row>
    <row r="62" spans="1:78" x14ac:dyDescent="0.25">
      <c r="A62">
        <v>1</v>
      </c>
      <c r="B62" t="s">
        <v>303</v>
      </c>
      <c r="C62" t="s">
        <v>299</v>
      </c>
      <c r="D62" t="s">
        <v>1080</v>
      </c>
      <c r="E62" t="s">
        <v>223</v>
      </c>
      <c r="F62" s="174">
        <v>46136</v>
      </c>
      <c r="G62" t="s">
        <v>222</v>
      </c>
      <c r="I62" t="s">
        <v>224</v>
      </c>
      <c r="J62">
        <v>100</v>
      </c>
      <c r="K62">
        <v>500</v>
      </c>
      <c r="L62">
        <v>85</v>
      </c>
      <c r="M62">
        <v>5</v>
      </c>
      <c r="N62">
        <v>3</v>
      </c>
      <c r="O62" t="s">
        <v>256</v>
      </c>
      <c r="P62">
        <v>2</v>
      </c>
      <c r="Q62">
        <v>2</v>
      </c>
      <c r="R62">
        <v>1</v>
      </c>
      <c r="Z62">
        <v>1</v>
      </c>
      <c r="AC62">
        <v>1</v>
      </c>
      <c r="AD62">
        <v>0</v>
      </c>
      <c r="BU62" s="176">
        <v>46136.470138888886</v>
      </c>
      <c r="BV62" s="176">
        <v>46136.477083333331</v>
      </c>
      <c r="BW62" s="176">
        <v>46136.488194444442</v>
      </c>
      <c r="BX62">
        <v>60</v>
      </c>
      <c r="BY62">
        <v>0</v>
      </c>
      <c r="BZ62" t="s">
        <v>1081</v>
      </c>
    </row>
    <row r="63" spans="1:78" x14ac:dyDescent="0.25">
      <c r="A63">
        <v>1</v>
      </c>
      <c r="B63" t="s">
        <v>303</v>
      </c>
      <c r="C63" t="s">
        <v>299</v>
      </c>
      <c r="D63" t="s">
        <v>1080</v>
      </c>
      <c r="E63" t="s">
        <v>223</v>
      </c>
      <c r="F63" s="174">
        <v>46136</v>
      </c>
      <c r="G63" t="s">
        <v>222</v>
      </c>
      <c r="I63" t="s">
        <v>224</v>
      </c>
      <c r="J63">
        <v>100</v>
      </c>
      <c r="K63">
        <v>500</v>
      </c>
      <c r="L63">
        <v>85</v>
      </c>
      <c r="M63">
        <v>5</v>
      </c>
      <c r="N63">
        <v>3</v>
      </c>
      <c r="P63" t="s">
        <v>510</v>
      </c>
      <c r="Q63" t="s">
        <v>31</v>
      </c>
      <c r="Z63">
        <v>14.5</v>
      </c>
      <c r="AC63">
        <v>16.18</v>
      </c>
      <c r="AD63">
        <v>19.12</v>
      </c>
      <c r="BU63" s="176">
        <v>46136.470138888886</v>
      </c>
      <c r="BV63" s="176">
        <v>46136.477083333331</v>
      </c>
      <c r="BW63" s="176">
        <v>46136.488194444442</v>
      </c>
      <c r="BX63">
        <v>61</v>
      </c>
      <c r="BY63">
        <v>1</v>
      </c>
      <c r="BZ63" t="s">
        <v>1082</v>
      </c>
    </row>
    <row r="64" spans="1:78" x14ac:dyDescent="0.25">
      <c r="A64">
        <v>1</v>
      </c>
      <c r="B64" t="s">
        <v>303</v>
      </c>
      <c r="C64" t="s">
        <v>299</v>
      </c>
      <c r="D64" t="s">
        <v>1080</v>
      </c>
      <c r="E64" t="s">
        <v>223</v>
      </c>
      <c r="F64" s="174">
        <v>46136</v>
      </c>
      <c r="G64" t="s">
        <v>222</v>
      </c>
      <c r="I64" t="s">
        <v>224</v>
      </c>
      <c r="J64">
        <v>100</v>
      </c>
      <c r="K64">
        <v>500</v>
      </c>
      <c r="L64">
        <v>85</v>
      </c>
      <c r="M64">
        <v>5</v>
      </c>
      <c r="N64">
        <v>3</v>
      </c>
      <c r="P64" t="s">
        <v>510</v>
      </c>
      <c r="Q64" t="s">
        <v>33</v>
      </c>
      <c r="AD64" t="s">
        <v>225</v>
      </c>
      <c r="BU64" s="176">
        <v>46136.470138888886</v>
      </c>
      <c r="BV64" s="176">
        <v>46136.477083333331</v>
      </c>
      <c r="BW64" s="176">
        <v>46136.488194444442</v>
      </c>
      <c r="BX64">
        <v>62</v>
      </c>
      <c r="BY64">
        <v>2</v>
      </c>
      <c r="BZ64" t="s">
        <v>1083</v>
      </c>
    </row>
    <row r="65" spans="1:78" x14ac:dyDescent="0.25">
      <c r="A65">
        <v>1</v>
      </c>
      <c r="B65" t="s">
        <v>303</v>
      </c>
      <c r="C65" t="s">
        <v>299</v>
      </c>
      <c r="D65" t="s">
        <v>1080</v>
      </c>
      <c r="E65" t="s">
        <v>223</v>
      </c>
      <c r="F65" s="174">
        <v>46136</v>
      </c>
      <c r="G65" t="s">
        <v>222</v>
      </c>
      <c r="I65" t="s">
        <v>224</v>
      </c>
      <c r="J65">
        <v>100</v>
      </c>
      <c r="K65">
        <v>500</v>
      </c>
      <c r="L65">
        <v>85</v>
      </c>
      <c r="M65">
        <v>5</v>
      </c>
      <c r="N65">
        <v>3</v>
      </c>
      <c r="P65" t="s">
        <v>510</v>
      </c>
      <c r="Q65" t="s">
        <v>35</v>
      </c>
      <c r="BU65" s="176">
        <v>46136.470138888886</v>
      </c>
      <c r="BV65" s="176">
        <v>46136.477083333331</v>
      </c>
      <c r="BW65" s="176">
        <v>46136.488194444442</v>
      </c>
      <c r="BX65">
        <v>63</v>
      </c>
      <c r="BY65">
        <v>3</v>
      </c>
      <c r="BZ65" t="s">
        <v>1084</v>
      </c>
    </row>
    <row r="66" spans="1:78" x14ac:dyDescent="0.25">
      <c r="A66">
        <v>1</v>
      </c>
      <c r="B66" t="s">
        <v>303</v>
      </c>
      <c r="C66" t="s">
        <v>299</v>
      </c>
      <c r="D66" t="s">
        <v>1080</v>
      </c>
      <c r="E66" t="s">
        <v>223</v>
      </c>
      <c r="F66" s="174">
        <v>46136</v>
      </c>
      <c r="G66" t="s">
        <v>222</v>
      </c>
      <c r="I66" t="s">
        <v>224</v>
      </c>
      <c r="J66">
        <v>100</v>
      </c>
      <c r="K66">
        <v>500</v>
      </c>
      <c r="L66">
        <v>85</v>
      </c>
      <c r="M66">
        <v>5</v>
      </c>
      <c r="N66">
        <v>3</v>
      </c>
      <c r="P66" t="s">
        <v>510</v>
      </c>
      <c r="Q66" t="s">
        <v>37</v>
      </c>
      <c r="Z66" t="s">
        <v>229</v>
      </c>
      <c r="AC66" t="s">
        <v>229</v>
      </c>
      <c r="BU66" s="176">
        <v>46136.470138888886</v>
      </c>
      <c r="BV66" s="176">
        <v>46136.477083333331</v>
      </c>
      <c r="BW66" s="176">
        <v>46136.488194444442</v>
      </c>
      <c r="BX66">
        <v>64</v>
      </c>
      <c r="BY66">
        <v>4</v>
      </c>
      <c r="BZ66" t="s">
        <v>1085</v>
      </c>
    </row>
    <row r="67" spans="1:78" x14ac:dyDescent="0.25">
      <c r="A67">
        <v>1</v>
      </c>
      <c r="B67" t="s">
        <v>303</v>
      </c>
      <c r="C67" t="s">
        <v>299</v>
      </c>
      <c r="D67" t="s">
        <v>1080</v>
      </c>
      <c r="E67" t="s">
        <v>223</v>
      </c>
      <c r="F67" s="174">
        <v>46136</v>
      </c>
      <c r="G67" t="s">
        <v>222</v>
      </c>
      <c r="I67" t="s">
        <v>224</v>
      </c>
      <c r="J67">
        <v>100</v>
      </c>
      <c r="K67">
        <v>500</v>
      </c>
      <c r="L67">
        <v>85</v>
      </c>
      <c r="M67">
        <v>5</v>
      </c>
      <c r="N67">
        <v>3</v>
      </c>
      <c r="O67" t="s">
        <v>257</v>
      </c>
      <c r="P67">
        <v>3</v>
      </c>
      <c r="Q67">
        <v>3</v>
      </c>
      <c r="R67">
        <v>1</v>
      </c>
      <c r="S67">
        <v>0</v>
      </c>
      <c r="BU67" s="176">
        <v>46136.470138888886</v>
      </c>
      <c r="BV67" s="176">
        <v>46136.477083333331</v>
      </c>
      <c r="BW67" s="176">
        <v>46136.488194444442</v>
      </c>
      <c r="BX67">
        <v>65</v>
      </c>
      <c r="BY67">
        <v>0</v>
      </c>
      <c r="BZ67" t="s">
        <v>1081</v>
      </c>
    </row>
    <row r="68" spans="1:78" x14ac:dyDescent="0.25">
      <c r="A68">
        <v>1</v>
      </c>
      <c r="B68" t="s">
        <v>303</v>
      </c>
      <c r="C68" t="s">
        <v>299</v>
      </c>
      <c r="D68" t="s">
        <v>1080</v>
      </c>
      <c r="E68" t="s">
        <v>223</v>
      </c>
      <c r="F68" s="174">
        <v>46136</v>
      </c>
      <c r="G68" t="s">
        <v>222</v>
      </c>
      <c r="I68" t="s">
        <v>224</v>
      </c>
      <c r="J68">
        <v>100</v>
      </c>
      <c r="K68">
        <v>500</v>
      </c>
      <c r="L68">
        <v>85</v>
      </c>
      <c r="M68">
        <v>5</v>
      </c>
      <c r="N68">
        <v>3</v>
      </c>
      <c r="P68" t="s">
        <v>510</v>
      </c>
      <c r="Q68" t="s">
        <v>31</v>
      </c>
      <c r="S68">
        <v>14.5</v>
      </c>
      <c r="BU68" s="176">
        <v>46136.470138888886</v>
      </c>
      <c r="BV68" s="176">
        <v>46136.477083333331</v>
      </c>
      <c r="BW68" s="176">
        <v>46136.488194444442</v>
      </c>
      <c r="BX68">
        <v>66</v>
      </c>
      <c r="BY68">
        <v>1</v>
      </c>
      <c r="BZ68" t="s">
        <v>1082</v>
      </c>
    </row>
    <row r="69" spans="1:78" x14ac:dyDescent="0.25">
      <c r="A69">
        <v>1</v>
      </c>
      <c r="B69" t="s">
        <v>303</v>
      </c>
      <c r="C69" t="s">
        <v>299</v>
      </c>
      <c r="D69" t="s">
        <v>1080</v>
      </c>
      <c r="E69" t="s">
        <v>223</v>
      </c>
      <c r="F69" s="174">
        <v>46136</v>
      </c>
      <c r="G69" t="s">
        <v>222</v>
      </c>
      <c r="I69" t="s">
        <v>224</v>
      </c>
      <c r="J69">
        <v>100</v>
      </c>
      <c r="K69">
        <v>500</v>
      </c>
      <c r="L69">
        <v>85</v>
      </c>
      <c r="M69">
        <v>5</v>
      </c>
      <c r="N69">
        <v>3</v>
      </c>
      <c r="P69" t="s">
        <v>510</v>
      </c>
      <c r="Q69" t="s">
        <v>33</v>
      </c>
      <c r="BU69" s="176">
        <v>46136.470138888886</v>
      </c>
      <c r="BV69" s="176">
        <v>46136.477083333331</v>
      </c>
      <c r="BW69" s="176">
        <v>46136.488194444442</v>
      </c>
      <c r="BX69">
        <v>67</v>
      </c>
      <c r="BY69">
        <v>2</v>
      </c>
      <c r="BZ69" t="s">
        <v>1083</v>
      </c>
    </row>
    <row r="70" spans="1:78" x14ac:dyDescent="0.25">
      <c r="A70">
        <v>1</v>
      </c>
      <c r="B70" t="s">
        <v>303</v>
      </c>
      <c r="C70" t="s">
        <v>299</v>
      </c>
      <c r="D70" t="s">
        <v>1080</v>
      </c>
      <c r="E70" t="s">
        <v>223</v>
      </c>
      <c r="F70" s="174">
        <v>46136</v>
      </c>
      <c r="G70" t="s">
        <v>222</v>
      </c>
      <c r="I70" t="s">
        <v>224</v>
      </c>
      <c r="J70">
        <v>100</v>
      </c>
      <c r="K70">
        <v>500</v>
      </c>
      <c r="L70">
        <v>85</v>
      </c>
      <c r="M70">
        <v>5</v>
      </c>
      <c r="N70">
        <v>3</v>
      </c>
      <c r="P70" t="s">
        <v>510</v>
      </c>
      <c r="Q70" t="s">
        <v>35</v>
      </c>
      <c r="S70" t="s">
        <v>225</v>
      </c>
      <c r="BU70" s="176">
        <v>46136.470138888886</v>
      </c>
      <c r="BV70" s="176">
        <v>46136.477083333331</v>
      </c>
      <c r="BW70" s="176">
        <v>46136.488194444442</v>
      </c>
      <c r="BX70">
        <v>68</v>
      </c>
      <c r="BY70">
        <v>3</v>
      </c>
      <c r="BZ70" t="s">
        <v>1084</v>
      </c>
    </row>
    <row r="71" spans="1:78" x14ac:dyDescent="0.25">
      <c r="A71">
        <v>1</v>
      </c>
      <c r="B71" t="s">
        <v>303</v>
      </c>
      <c r="C71" t="s">
        <v>299</v>
      </c>
      <c r="D71" t="s">
        <v>1080</v>
      </c>
      <c r="E71" t="s">
        <v>223</v>
      </c>
      <c r="F71" s="174">
        <v>46136</v>
      </c>
      <c r="G71" t="s">
        <v>222</v>
      </c>
      <c r="I71" t="s">
        <v>224</v>
      </c>
      <c r="J71">
        <v>100</v>
      </c>
      <c r="K71">
        <v>500</v>
      </c>
      <c r="L71">
        <v>85</v>
      </c>
      <c r="M71">
        <v>5</v>
      </c>
      <c r="N71">
        <v>3</v>
      </c>
      <c r="P71" t="s">
        <v>510</v>
      </c>
      <c r="Q71" t="s">
        <v>37</v>
      </c>
      <c r="BU71" s="176">
        <v>46136.470138888886</v>
      </c>
      <c r="BV71" s="176">
        <v>46136.477083333331</v>
      </c>
      <c r="BW71" s="176">
        <v>46136.488194444442</v>
      </c>
      <c r="BX71">
        <v>69</v>
      </c>
      <c r="BY71">
        <v>4</v>
      </c>
      <c r="BZ71" t="s">
        <v>1085</v>
      </c>
    </row>
    <row r="72" spans="1:78" x14ac:dyDescent="0.25">
      <c r="A72">
        <v>1</v>
      </c>
      <c r="B72" t="s">
        <v>303</v>
      </c>
      <c r="C72" t="s">
        <v>299</v>
      </c>
      <c r="D72" t="s">
        <v>1080</v>
      </c>
      <c r="E72" t="s">
        <v>223</v>
      </c>
      <c r="F72" s="174">
        <v>46136</v>
      </c>
      <c r="G72" t="s">
        <v>222</v>
      </c>
      <c r="I72" t="s">
        <v>224</v>
      </c>
      <c r="J72">
        <v>100</v>
      </c>
      <c r="K72">
        <v>500</v>
      </c>
      <c r="L72">
        <v>85</v>
      </c>
      <c r="M72">
        <v>6</v>
      </c>
      <c r="N72">
        <v>3</v>
      </c>
      <c r="O72" t="s">
        <v>259</v>
      </c>
      <c r="P72">
        <v>1</v>
      </c>
      <c r="Q72">
        <v>1</v>
      </c>
      <c r="R72">
        <v>1</v>
      </c>
      <c r="S72">
        <v>0</v>
      </c>
      <c r="BU72" s="176">
        <v>46136.477777777778</v>
      </c>
      <c r="BV72" s="176">
        <v>46136.486805555556</v>
      </c>
      <c r="BW72" s="176">
        <v>46136.497916666667</v>
      </c>
      <c r="BX72">
        <v>70</v>
      </c>
      <c r="BY72">
        <v>0</v>
      </c>
      <c r="BZ72" t="s">
        <v>1081</v>
      </c>
    </row>
    <row r="73" spans="1:78" x14ac:dyDescent="0.25">
      <c r="A73">
        <v>1</v>
      </c>
      <c r="B73" t="s">
        <v>303</v>
      </c>
      <c r="C73" t="s">
        <v>299</v>
      </c>
      <c r="D73" t="s">
        <v>1080</v>
      </c>
      <c r="E73" t="s">
        <v>223</v>
      </c>
      <c r="F73" s="174">
        <v>46136</v>
      </c>
      <c r="G73" t="s">
        <v>222</v>
      </c>
      <c r="I73" t="s">
        <v>224</v>
      </c>
      <c r="J73">
        <v>100</v>
      </c>
      <c r="K73">
        <v>500</v>
      </c>
      <c r="L73">
        <v>85</v>
      </c>
      <c r="M73">
        <v>6</v>
      </c>
      <c r="N73">
        <v>3</v>
      </c>
      <c r="P73" t="s">
        <v>510</v>
      </c>
      <c r="Q73" t="s">
        <v>31</v>
      </c>
      <c r="S73">
        <v>19.190000000000001</v>
      </c>
      <c r="BU73" s="176">
        <v>46136.477777777778</v>
      </c>
      <c r="BV73" s="176">
        <v>46136.486805555556</v>
      </c>
      <c r="BW73" s="176">
        <v>46136.497916666667</v>
      </c>
      <c r="BX73">
        <v>71</v>
      </c>
      <c r="BY73">
        <v>1</v>
      </c>
      <c r="BZ73" t="s">
        <v>1082</v>
      </c>
    </row>
    <row r="74" spans="1:78" x14ac:dyDescent="0.25">
      <c r="A74">
        <v>1</v>
      </c>
      <c r="B74" t="s">
        <v>303</v>
      </c>
      <c r="C74" t="s">
        <v>299</v>
      </c>
      <c r="D74" t="s">
        <v>1080</v>
      </c>
      <c r="E74" t="s">
        <v>223</v>
      </c>
      <c r="F74" s="174">
        <v>46136</v>
      </c>
      <c r="G74" t="s">
        <v>222</v>
      </c>
      <c r="I74" t="s">
        <v>224</v>
      </c>
      <c r="J74">
        <v>100</v>
      </c>
      <c r="K74">
        <v>500</v>
      </c>
      <c r="L74">
        <v>85</v>
      </c>
      <c r="M74">
        <v>6</v>
      </c>
      <c r="N74">
        <v>3</v>
      </c>
      <c r="P74" t="s">
        <v>510</v>
      </c>
      <c r="Q74" t="s">
        <v>33</v>
      </c>
      <c r="BU74" s="176">
        <v>46136.477777777778</v>
      </c>
      <c r="BV74" s="176">
        <v>46136.486805555556</v>
      </c>
      <c r="BW74" s="176">
        <v>46136.497916666667</v>
      </c>
      <c r="BX74">
        <v>72</v>
      </c>
      <c r="BY74">
        <v>2</v>
      </c>
      <c r="BZ74" t="s">
        <v>1083</v>
      </c>
    </row>
    <row r="75" spans="1:78" x14ac:dyDescent="0.25">
      <c r="A75">
        <v>1</v>
      </c>
      <c r="B75" t="s">
        <v>303</v>
      </c>
      <c r="C75" t="s">
        <v>299</v>
      </c>
      <c r="D75" t="s">
        <v>1080</v>
      </c>
      <c r="E75" t="s">
        <v>223</v>
      </c>
      <c r="F75" s="174">
        <v>46136</v>
      </c>
      <c r="G75" t="s">
        <v>222</v>
      </c>
      <c r="I75" t="s">
        <v>224</v>
      </c>
      <c r="J75">
        <v>100</v>
      </c>
      <c r="K75">
        <v>500</v>
      </c>
      <c r="L75">
        <v>85</v>
      </c>
      <c r="M75">
        <v>6</v>
      </c>
      <c r="N75">
        <v>3</v>
      </c>
      <c r="P75" t="s">
        <v>510</v>
      </c>
      <c r="Q75" t="s">
        <v>35</v>
      </c>
      <c r="S75" t="s">
        <v>225</v>
      </c>
      <c r="BU75" s="176">
        <v>46136.477777777778</v>
      </c>
      <c r="BV75" s="176">
        <v>46136.486805555556</v>
      </c>
      <c r="BW75" s="176">
        <v>46136.497916666667</v>
      </c>
      <c r="BX75">
        <v>73</v>
      </c>
      <c r="BY75">
        <v>3</v>
      </c>
      <c r="BZ75" t="s">
        <v>1084</v>
      </c>
    </row>
    <row r="76" spans="1:78" x14ac:dyDescent="0.25">
      <c r="A76">
        <v>1</v>
      </c>
      <c r="B76" t="s">
        <v>303</v>
      </c>
      <c r="C76" t="s">
        <v>299</v>
      </c>
      <c r="D76" t="s">
        <v>1080</v>
      </c>
      <c r="E76" t="s">
        <v>223</v>
      </c>
      <c r="F76" s="174">
        <v>46136</v>
      </c>
      <c r="G76" t="s">
        <v>222</v>
      </c>
      <c r="I76" t="s">
        <v>224</v>
      </c>
      <c r="J76">
        <v>100</v>
      </c>
      <c r="K76">
        <v>500</v>
      </c>
      <c r="L76">
        <v>85</v>
      </c>
      <c r="M76">
        <v>6</v>
      </c>
      <c r="N76">
        <v>3</v>
      </c>
      <c r="P76" t="s">
        <v>510</v>
      </c>
      <c r="Q76" t="s">
        <v>37</v>
      </c>
      <c r="BU76" s="176">
        <v>46136.477777777778</v>
      </c>
      <c r="BV76" s="176">
        <v>46136.486805555556</v>
      </c>
      <c r="BW76" s="176">
        <v>46136.497916666667</v>
      </c>
      <c r="BX76">
        <v>74</v>
      </c>
      <c r="BY76">
        <v>4</v>
      </c>
      <c r="BZ76" t="s">
        <v>1085</v>
      </c>
    </row>
    <row r="77" spans="1:78" x14ac:dyDescent="0.25">
      <c r="A77">
        <v>1</v>
      </c>
      <c r="B77" t="s">
        <v>303</v>
      </c>
      <c r="C77" t="s">
        <v>299</v>
      </c>
      <c r="D77" t="s">
        <v>1080</v>
      </c>
      <c r="E77" t="s">
        <v>223</v>
      </c>
      <c r="F77" s="174">
        <v>46136</v>
      </c>
      <c r="G77" t="s">
        <v>222</v>
      </c>
      <c r="I77" t="s">
        <v>224</v>
      </c>
      <c r="J77">
        <v>100</v>
      </c>
      <c r="K77">
        <v>500</v>
      </c>
      <c r="L77">
        <v>85</v>
      </c>
      <c r="M77">
        <v>6</v>
      </c>
      <c r="N77">
        <v>3</v>
      </c>
      <c r="O77" t="s">
        <v>260</v>
      </c>
      <c r="P77">
        <v>2</v>
      </c>
      <c r="Q77">
        <v>2</v>
      </c>
      <c r="R77">
        <v>1</v>
      </c>
      <c r="S77">
        <v>0</v>
      </c>
      <c r="BU77" s="176">
        <v>46136.477777777778</v>
      </c>
      <c r="BV77" s="176">
        <v>46136.486805555556</v>
      </c>
      <c r="BW77" s="176">
        <v>46136.497916666667</v>
      </c>
      <c r="BX77">
        <v>75</v>
      </c>
      <c r="BY77">
        <v>0</v>
      </c>
      <c r="BZ77" t="s">
        <v>1081</v>
      </c>
    </row>
    <row r="78" spans="1:78" x14ac:dyDescent="0.25">
      <c r="A78">
        <v>1</v>
      </c>
      <c r="B78" t="s">
        <v>303</v>
      </c>
      <c r="C78" t="s">
        <v>299</v>
      </c>
      <c r="D78" t="s">
        <v>1080</v>
      </c>
      <c r="E78" t="s">
        <v>223</v>
      </c>
      <c r="F78" s="174">
        <v>46136</v>
      </c>
      <c r="G78" t="s">
        <v>222</v>
      </c>
      <c r="I78" t="s">
        <v>224</v>
      </c>
      <c r="J78">
        <v>100</v>
      </c>
      <c r="K78">
        <v>500</v>
      </c>
      <c r="L78">
        <v>85</v>
      </c>
      <c r="M78">
        <v>6</v>
      </c>
      <c r="N78">
        <v>3</v>
      </c>
      <c r="P78" t="s">
        <v>510</v>
      </c>
      <c r="Q78" t="s">
        <v>31</v>
      </c>
      <c r="S78">
        <v>14.56</v>
      </c>
      <c r="BU78" s="176">
        <v>46136.477777777778</v>
      </c>
      <c r="BV78" s="176">
        <v>46136.486805555556</v>
      </c>
      <c r="BW78" s="176">
        <v>46136.497916666667</v>
      </c>
      <c r="BX78">
        <v>76</v>
      </c>
      <c r="BY78">
        <v>1</v>
      </c>
      <c r="BZ78" t="s">
        <v>1082</v>
      </c>
    </row>
    <row r="79" spans="1:78" x14ac:dyDescent="0.25">
      <c r="A79">
        <v>1</v>
      </c>
      <c r="B79" t="s">
        <v>303</v>
      </c>
      <c r="C79" t="s">
        <v>299</v>
      </c>
      <c r="D79" t="s">
        <v>1080</v>
      </c>
      <c r="E79" t="s">
        <v>223</v>
      </c>
      <c r="F79" s="174">
        <v>46136</v>
      </c>
      <c r="G79" t="s">
        <v>222</v>
      </c>
      <c r="I79" t="s">
        <v>224</v>
      </c>
      <c r="J79">
        <v>100</v>
      </c>
      <c r="K79">
        <v>500</v>
      </c>
      <c r="L79">
        <v>85</v>
      </c>
      <c r="M79">
        <v>6</v>
      </c>
      <c r="N79">
        <v>3</v>
      </c>
      <c r="P79" t="s">
        <v>510</v>
      </c>
      <c r="Q79" t="s">
        <v>33</v>
      </c>
      <c r="BU79" s="176">
        <v>46136.477777777778</v>
      </c>
      <c r="BV79" s="176">
        <v>46136.486805555556</v>
      </c>
      <c r="BW79" s="176">
        <v>46136.497916666667</v>
      </c>
      <c r="BX79">
        <v>77</v>
      </c>
      <c r="BY79">
        <v>2</v>
      </c>
      <c r="BZ79" t="s">
        <v>1083</v>
      </c>
    </row>
    <row r="80" spans="1:78" x14ac:dyDescent="0.25">
      <c r="A80">
        <v>1</v>
      </c>
      <c r="B80" t="s">
        <v>303</v>
      </c>
      <c r="C80" t="s">
        <v>299</v>
      </c>
      <c r="D80" t="s">
        <v>1080</v>
      </c>
      <c r="E80" t="s">
        <v>223</v>
      </c>
      <c r="F80" s="174">
        <v>46136</v>
      </c>
      <c r="G80" t="s">
        <v>222</v>
      </c>
      <c r="I80" t="s">
        <v>224</v>
      </c>
      <c r="J80">
        <v>100</v>
      </c>
      <c r="K80">
        <v>500</v>
      </c>
      <c r="L80">
        <v>85</v>
      </c>
      <c r="M80">
        <v>6</v>
      </c>
      <c r="N80">
        <v>3</v>
      </c>
      <c r="P80" t="s">
        <v>510</v>
      </c>
      <c r="Q80" t="s">
        <v>35</v>
      </c>
      <c r="S80" t="s">
        <v>225</v>
      </c>
      <c r="BU80" s="176">
        <v>46136.477777777778</v>
      </c>
      <c r="BV80" s="176">
        <v>46136.486805555556</v>
      </c>
      <c r="BW80" s="176">
        <v>46136.497916666667</v>
      </c>
      <c r="BX80">
        <v>78</v>
      </c>
      <c r="BY80">
        <v>3</v>
      </c>
      <c r="BZ80" t="s">
        <v>1084</v>
      </c>
    </row>
    <row r="81" spans="1:78" x14ac:dyDescent="0.25">
      <c r="A81">
        <v>1</v>
      </c>
      <c r="B81" t="s">
        <v>303</v>
      </c>
      <c r="C81" t="s">
        <v>299</v>
      </c>
      <c r="D81" t="s">
        <v>1080</v>
      </c>
      <c r="E81" t="s">
        <v>223</v>
      </c>
      <c r="F81" s="174">
        <v>46136</v>
      </c>
      <c r="G81" t="s">
        <v>222</v>
      </c>
      <c r="I81" t="s">
        <v>224</v>
      </c>
      <c r="J81">
        <v>100</v>
      </c>
      <c r="K81">
        <v>500</v>
      </c>
      <c r="L81">
        <v>85</v>
      </c>
      <c r="M81">
        <v>6</v>
      </c>
      <c r="N81">
        <v>3</v>
      </c>
      <c r="P81" t="s">
        <v>510</v>
      </c>
      <c r="Q81" t="s">
        <v>37</v>
      </c>
      <c r="BU81" s="176">
        <v>46136.477777777778</v>
      </c>
      <c r="BV81" s="176">
        <v>46136.486805555556</v>
      </c>
      <c r="BW81" s="176">
        <v>46136.497916666667</v>
      </c>
      <c r="BX81">
        <v>79</v>
      </c>
      <c r="BY81">
        <v>4</v>
      </c>
      <c r="BZ81" t="s">
        <v>1085</v>
      </c>
    </row>
    <row r="82" spans="1:78" x14ac:dyDescent="0.25">
      <c r="A82">
        <v>1</v>
      </c>
      <c r="B82" t="s">
        <v>303</v>
      </c>
      <c r="C82" t="s">
        <v>299</v>
      </c>
      <c r="D82" t="s">
        <v>1080</v>
      </c>
      <c r="E82" t="s">
        <v>223</v>
      </c>
      <c r="F82" s="174">
        <v>46136</v>
      </c>
      <c r="G82" t="s">
        <v>222</v>
      </c>
      <c r="I82" t="s">
        <v>224</v>
      </c>
      <c r="J82">
        <v>100</v>
      </c>
      <c r="K82">
        <v>500</v>
      </c>
      <c r="L82">
        <v>85</v>
      </c>
      <c r="M82">
        <v>6</v>
      </c>
      <c r="N82">
        <v>3</v>
      </c>
      <c r="O82" t="s">
        <v>261</v>
      </c>
      <c r="P82">
        <v>3</v>
      </c>
      <c r="Q82">
        <v>3</v>
      </c>
      <c r="R82">
        <v>1</v>
      </c>
      <c r="S82">
        <v>0</v>
      </c>
      <c r="BU82" s="176">
        <v>46136.477777777778</v>
      </c>
      <c r="BV82" s="176">
        <v>46136.486805555556</v>
      </c>
      <c r="BW82" s="176">
        <v>46136.497916666667</v>
      </c>
      <c r="BX82">
        <v>80</v>
      </c>
      <c r="BY82">
        <v>0</v>
      </c>
      <c r="BZ82" t="s">
        <v>1081</v>
      </c>
    </row>
    <row r="83" spans="1:78" x14ac:dyDescent="0.25">
      <c r="A83">
        <v>1</v>
      </c>
      <c r="B83" t="s">
        <v>303</v>
      </c>
      <c r="C83" t="s">
        <v>299</v>
      </c>
      <c r="D83" t="s">
        <v>1080</v>
      </c>
      <c r="E83" t="s">
        <v>223</v>
      </c>
      <c r="F83" s="174">
        <v>46136</v>
      </c>
      <c r="G83" t="s">
        <v>222</v>
      </c>
      <c r="I83" t="s">
        <v>224</v>
      </c>
      <c r="J83">
        <v>100</v>
      </c>
      <c r="K83">
        <v>500</v>
      </c>
      <c r="L83">
        <v>85</v>
      </c>
      <c r="M83">
        <v>6</v>
      </c>
      <c r="N83">
        <v>3</v>
      </c>
      <c r="P83" t="s">
        <v>510</v>
      </c>
      <c r="Q83" t="s">
        <v>31</v>
      </c>
      <c r="S83">
        <v>14.57</v>
      </c>
      <c r="BU83" s="176">
        <v>46136.477777777778</v>
      </c>
      <c r="BV83" s="176">
        <v>46136.486805555556</v>
      </c>
      <c r="BW83" s="176">
        <v>46136.497916666667</v>
      </c>
      <c r="BX83">
        <v>81</v>
      </c>
      <c r="BY83">
        <v>1</v>
      </c>
      <c r="BZ83" t="s">
        <v>1082</v>
      </c>
    </row>
    <row r="84" spans="1:78" x14ac:dyDescent="0.25">
      <c r="A84">
        <v>1</v>
      </c>
      <c r="B84" t="s">
        <v>303</v>
      </c>
      <c r="C84" t="s">
        <v>299</v>
      </c>
      <c r="D84" t="s">
        <v>1080</v>
      </c>
      <c r="E84" t="s">
        <v>223</v>
      </c>
      <c r="F84" s="174">
        <v>46136</v>
      </c>
      <c r="G84" t="s">
        <v>222</v>
      </c>
      <c r="I84" t="s">
        <v>224</v>
      </c>
      <c r="J84">
        <v>100</v>
      </c>
      <c r="K84">
        <v>500</v>
      </c>
      <c r="L84">
        <v>85</v>
      </c>
      <c r="M84">
        <v>6</v>
      </c>
      <c r="N84">
        <v>3</v>
      </c>
      <c r="P84" t="s">
        <v>510</v>
      </c>
      <c r="Q84" t="s">
        <v>33</v>
      </c>
      <c r="BU84" s="176">
        <v>46136.477777777778</v>
      </c>
      <c r="BV84" s="176">
        <v>46136.486805555556</v>
      </c>
      <c r="BW84" s="176">
        <v>46136.497916666667</v>
      </c>
      <c r="BX84">
        <v>82</v>
      </c>
      <c r="BY84">
        <v>2</v>
      </c>
      <c r="BZ84" t="s">
        <v>1083</v>
      </c>
    </row>
    <row r="85" spans="1:78" x14ac:dyDescent="0.25">
      <c r="A85">
        <v>1</v>
      </c>
      <c r="B85" t="s">
        <v>303</v>
      </c>
      <c r="C85" t="s">
        <v>299</v>
      </c>
      <c r="D85" t="s">
        <v>1080</v>
      </c>
      <c r="E85" t="s">
        <v>223</v>
      </c>
      <c r="F85" s="174">
        <v>46136</v>
      </c>
      <c r="G85" t="s">
        <v>222</v>
      </c>
      <c r="I85" t="s">
        <v>224</v>
      </c>
      <c r="J85">
        <v>100</v>
      </c>
      <c r="K85">
        <v>500</v>
      </c>
      <c r="L85">
        <v>85</v>
      </c>
      <c r="M85">
        <v>6</v>
      </c>
      <c r="N85">
        <v>3</v>
      </c>
      <c r="P85" t="s">
        <v>510</v>
      </c>
      <c r="Q85" t="s">
        <v>35</v>
      </c>
      <c r="S85" t="s">
        <v>225</v>
      </c>
      <c r="BU85" s="176">
        <v>46136.477777777778</v>
      </c>
      <c r="BV85" s="176">
        <v>46136.486805555556</v>
      </c>
      <c r="BW85" s="176">
        <v>46136.497916666667</v>
      </c>
      <c r="BX85">
        <v>83</v>
      </c>
      <c r="BY85">
        <v>3</v>
      </c>
      <c r="BZ85" t="s">
        <v>1084</v>
      </c>
    </row>
    <row r="86" spans="1:78" x14ac:dyDescent="0.25">
      <c r="A86">
        <v>1</v>
      </c>
      <c r="B86" t="s">
        <v>303</v>
      </c>
      <c r="C86" t="s">
        <v>299</v>
      </c>
      <c r="D86" t="s">
        <v>1080</v>
      </c>
      <c r="E86" t="s">
        <v>223</v>
      </c>
      <c r="F86" s="174">
        <v>46136</v>
      </c>
      <c r="G86" t="s">
        <v>222</v>
      </c>
      <c r="I86" t="s">
        <v>224</v>
      </c>
      <c r="J86">
        <v>100</v>
      </c>
      <c r="K86">
        <v>500</v>
      </c>
      <c r="L86">
        <v>85</v>
      </c>
      <c r="M86">
        <v>6</v>
      </c>
      <c r="N86">
        <v>3</v>
      </c>
      <c r="P86" t="s">
        <v>510</v>
      </c>
      <c r="Q86" t="s">
        <v>37</v>
      </c>
      <c r="BU86" s="176">
        <v>46136.477777777778</v>
      </c>
      <c r="BV86" s="176">
        <v>46136.486805555556</v>
      </c>
      <c r="BW86" s="176">
        <v>46136.497916666667</v>
      </c>
      <c r="BX86">
        <v>84</v>
      </c>
      <c r="BY86">
        <v>4</v>
      </c>
      <c r="BZ86" t="s">
        <v>1085</v>
      </c>
    </row>
    <row r="87" spans="1:78" x14ac:dyDescent="0.25">
      <c r="A87">
        <v>1</v>
      </c>
      <c r="B87" t="s">
        <v>303</v>
      </c>
      <c r="C87" t="s">
        <v>299</v>
      </c>
      <c r="D87" t="s">
        <v>1080</v>
      </c>
      <c r="E87" t="s">
        <v>223</v>
      </c>
      <c r="F87" s="174">
        <v>46136</v>
      </c>
      <c r="G87" t="s">
        <v>222</v>
      </c>
      <c r="I87" t="s">
        <v>224</v>
      </c>
      <c r="J87">
        <v>100</v>
      </c>
      <c r="K87">
        <v>500</v>
      </c>
      <c r="L87">
        <v>85</v>
      </c>
      <c r="M87">
        <v>7</v>
      </c>
      <c r="N87">
        <v>3</v>
      </c>
      <c r="O87" t="s">
        <v>263</v>
      </c>
      <c r="P87">
        <v>1</v>
      </c>
      <c r="Q87">
        <v>1</v>
      </c>
      <c r="R87">
        <v>1</v>
      </c>
      <c r="S87">
        <v>0</v>
      </c>
      <c r="BU87" s="176">
        <v>46136.488888888889</v>
      </c>
      <c r="BV87" s="176">
        <v>46136.496527777781</v>
      </c>
      <c r="BW87" s="176">
        <v>46136.507638888892</v>
      </c>
      <c r="BX87">
        <v>85</v>
      </c>
      <c r="BY87">
        <v>0</v>
      </c>
      <c r="BZ87" t="s">
        <v>1081</v>
      </c>
    </row>
    <row r="88" spans="1:78" x14ac:dyDescent="0.25">
      <c r="A88">
        <v>1</v>
      </c>
      <c r="B88" t="s">
        <v>303</v>
      </c>
      <c r="C88" t="s">
        <v>299</v>
      </c>
      <c r="D88" t="s">
        <v>1080</v>
      </c>
      <c r="E88" t="s">
        <v>223</v>
      </c>
      <c r="F88" s="174">
        <v>46136</v>
      </c>
      <c r="G88" t="s">
        <v>222</v>
      </c>
      <c r="I88" t="s">
        <v>224</v>
      </c>
      <c r="J88">
        <v>100</v>
      </c>
      <c r="K88">
        <v>500</v>
      </c>
      <c r="L88">
        <v>85</v>
      </c>
      <c r="M88">
        <v>7</v>
      </c>
      <c r="N88">
        <v>3</v>
      </c>
      <c r="P88" t="s">
        <v>510</v>
      </c>
      <c r="Q88" t="s">
        <v>31</v>
      </c>
      <c r="S88">
        <v>15.01</v>
      </c>
      <c r="BU88" s="176">
        <v>46136.488888888889</v>
      </c>
      <c r="BV88" s="176">
        <v>46136.496527777781</v>
      </c>
      <c r="BW88" s="176">
        <v>46136.507638888892</v>
      </c>
      <c r="BX88">
        <v>86</v>
      </c>
      <c r="BY88">
        <v>1</v>
      </c>
      <c r="BZ88" t="s">
        <v>1082</v>
      </c>
    </row>
    <row r="89" spans="1:78" x14ac:dyDescent="0.25">
      <c r="A89">
        <v>1</v>
      </c>
      <c r="B89" t="s">
        <v>303</v>
      </c>
      <c r="C89" t="s">
        <v>299</v>
      </c>
      <c r="D89" t="s">
        <v>1080</v>
      </c>
      <c r="E89" t="s">
        <v>223</v>
      </c>
      <c r="F89" s="174">
        <v>46136</v>
      </c>
      <c r="G89" t="s">
        <v>222</v>
      </c>
      <c r="I89" t="s">
        <v>224</v>
      </c>
      <c r="J89">
        <v>100</v>
      </c>
      <c r="K89">
        <v>500</v>
      </c>
      <c r="L89">
        <v>85</v>
      </c>
      <c r="M89">
        <v>7</v>
      </c>
      <c r="N89">
        <v>3</v>
      </c>
      <c r="P89" t="s">
        <v>510</v>
      </c>
      <c r="Q89" t="s">
        <v>33</v>
      </c>
      <c r="BU89" s="176">
        <v>46136.488888888889</v>
      </c>
      <c r="BV89" s="176">
        <v>46136.496527777781</v>
      </c>
      <c r="BW89" s="176">
        <v>46136.507638888892</v>
      </c>
      <c r="BX89">
        <v>87</v>
      </c>
      <c r="BY89">
        <v>2</v>
      </c>
      <c r="BZ89" t="s">
        <v>1083</v>
      </c>
    </row>
    <row r="90" spans="1:78" x14ac:dyDescent="0.25">
      <c r="A90">
        <v>1</v>
      </c>
      <c r="B90" t="s">
        <v>303</v>
      </c>
      <c r="C90" t="s">
        <v>299</v>
      </c>
      <c r="D90" t="s">
        <v>1080</v>
      </c>
      <c r="E90" t="s">
        <v>223</v>
      </c>
      <c r="F90" s="174">
        <v>46136</v>
      </c>
      <c r="G90" t="s">
        <v>222</v>
      </c>
      <c r="I90" t="s">
        <v>224</v>
      </c>
      <c r="J90">
        <v>100</v>
      </c>
      <c r="K90">
        <v>500</v>
      </c>
      <c r="L90">
        <v>85</v>
      </c>
      <c r="M90">
        <v>7</v>
      </c>
      <c r="N90">
        <v>3</v>
      </c>
      <c r="P90" t="s">
        <v>510</v>
      </c>
      <c r="Q90" t="s">
        <v>35</v>
      </c>
      <c r="S90" t="s">
        <v>225</v>
      </c>
      <c r="BU90" s="176">
        <v>46136.488888888889</v>
      </c>
      <c r="BV90" s="176">
        <v>46136.496527777781</v>
      </c>
      <c r="BW90" s="176">
        <v>46136.507638888892</v>
      </c>
      <c r="BX90">
        <v>88</v>
      </c>
      <c r="BY90">
        <v>3</v>
      </c>
      <c r="BZ90" t="s">
        <v>1084</v>
      </c>
    </row>
    <row r="91" spans="1:78" x14ac:dyDescent="0.25">
      <c r="A91">
        <v>1</v>
      </c>
      <c r="B91" t="s">
        <v>303</v>
      </c>
      <c r="C91" t="s">
        <v>299</v>
      </c>
      <c r="D91" t="s">
        <v>1080</v>
      </c>
      <c r="E91" t="s">
        <v>223</v>
      </c>
      <c r="F91" s="174">
        <v>46136</v>
      </c>
      <c r="G91" t="s">
        <v>222</v>
      </c>
      <c r="I91" t="s">
        <v>224</v>
      </c>
      <c r="J91">
        <v>100</v>
      </c>
      <c r="K91">
        <v>500</v>
      </c>
      <c r="L91">
        <v>85</v>
      </c>
      <c r="M91">
        <v>7</v>
      </c>
      <c r="N91">
        <v>3</v>
      </c>
      <c r="P91" t="s">
        <v>510</v>
      </c>
      <c r="Q91" t="s">
        <v>37</v>
      </c>
      <c r="BU91" s="176">
        <v>46136.488888888889</v>
      </c>
      <c r="BV91" s="176">
        <v>46136.496527777781</v>
      </c>
      <c r="BW91" s="176">
        <v>46136.507638888892</v>
      </c>
      <c r="BX91">
        <v>89</v>
      </c>
      <c r="BY91">
        <v>4</v>
      </c>
      <c r="BZ91" t="s">
        <v>1085</v>
      </c>
    </row>
    <row r="92" spans="1:78" x14ac:dyDescent="0.25">
      <c r="A92">
        <v>1</v>
      </c>
      <c r="B92" t="s">
        <v>303</v>
      </c>
      <c r="C92" t="s">
        <v>299</v>
      </c>
      <c r="D92" t="s">
        <v>1080</v>
      </c>
      <c r="E92" t="s">
        <v>223</v>
      </c>
      <c r="F92" s="174">
        <v>46136</v>
      </c>
      <c r="G92" t="s">
        <v>222</v>
      </c>
      <c r="I92" t="s">
        <v>224</v>
      </c>
      <c r="J92">
        <v>100</v>
      </c>
      <c r="K92">
        <v>500</v>
      </c>
      <c r="L92">
        <v>85</v>
      </c>
      <c r="M92">
        <v>7</v>
      </c>
      <c r="N92">
        <v>3</v>
      </c>
      <c r="O92" t="s">
        <v>264</v>
      </c>
      <c r="P92">
        <v>2</v>
      </c>
      <c r="Q92">
        <v>2</v>
      </c>
      <c r="R92">
        <v>1</v>
      </c>
      <c r="S92">
        <v>0</v>
      </c>
      <c r="BU92" s="176">
        <v>46136.488888888889</v>
      </c>
      <c r="BV92" s="176">
        <v>46136.496527777781</v>
      </c>
      <c r="BW92" s="176">
        <v>46136.507638888892</v>
      </c>
      <c r="BX92">
        <v>90</v>
      </c>
      <c r="BY92">
        <v>0</v>
      </c>
      <c r="BZ92" t="s">
        <v>1081</v>
      </c>
    </row>
    <row r="93" spans="1:78" x14ac:dyDescent="0.25">
      <c r="A93">
        <v>1</v>
      </c>
      <c r="B93" t="s">
        <v>303</v>
      </c>
      <c r="C93" t="s">
        <v>299</v>
      </c>
      <c r="D93" t="s">
        <v>1080</v>
      </c>
      <c r="E93" t="s">
        <v>223</v>
      </c>
      <c r="F93" s="174">
        <v>46136</v>
      </c>
      <c r="G93" t="s">
        <v>222</v>
      </c>
      <c r="I93" t="s">
        <v>224</v>
      </c>
      <c r="J93">
        <v>100</v>
      </c>
      <c r="K93">
        <v>500</v>
      </c>
      <c r="L93">
        <v>85</v>
      </c>
      <c r="M93">
        <v>7</v>
      </c>
      <c r="N93">
        <v>3</v>
      </c>
      <c r="P93" t="s">
        <v>510</v>
      </c>
      <c r="Q93" t="s">
        <v>31</v>
      </c>
      <c r="S93">
        <v>15.01</v>
      </c>
      <c r="BU93" s="176">
        <v>46136.488888888889</v>
      </c>
      <c r="BV93" s="176">
        <v>46136.496527777781</v>
      </c>
      <c r="BW93" s="176">
        <v>46136.507638888892</v>
      </c>
      <c r="BX93">
        <v>91</v>
      </c>
      <c r="BY93">
        <v>1</v>
      </c>
      <c r="BZ93" t="s">
        <v>1082</v>
      </c>
    </row>
    <row r="94" spans="1:78" x14ac:dyDescent="0.25">
      <c r="A94">
        <v>1</v>
      </c>
      <c r="B94" t="s">
        <v>303</v>
      </c>
      <c r="C94" t="s">
        <v>299</v>
      </c>
      <c r="D94" t="s">
        <v>1080</v>
      </c>
      <c r="E94" t="s">
        <v>223</v>
      </c>
      <c r="F94" s="174">
        <v>46136</v>
      </c>
      <c r="G94" t="s">
        <v>222</v>
      </c>
      <c r="I94" t="s">
        <v>224</v>
      </c>
      <c r="J94">
        <v>100</v>
      </c>
      <c r="K94">
        <v>500</v>
      </c>
      <c r="L94">
        <v>85</v>
      </c>
      <c r="M94">
        <v>7</v>
      </c>
      <c r="N94">
        <v>3</v>
      </c>
      <c r="P94" t="s">
        <v>510</v>
      </c>
      <c r="Q94" t="s">
        <v>33</v>
      </c>
      <c r="BU94" s="176">
        <v>46136.488888888889</v>
      </c>
      <c r="BV94" s="176">
        <v>46136.496527777781</v>
      </c>
      <c r="BW94" s="176">
        <v>46136.507638888892</v>
      </c>
      <c r="BX94">
        <v>92</v>
      </c>
      <c r="BY94">
        <v>2</v>
      </c>
      <c r="BZ94" t="s">
        <v>1083</v>
      </c>
    </row>
    <row r="95" spans="1:78" x14ac:dyDescent="0.25">
      <c r="A95">
        <v>1</v>
      </c>
      <c r="B95" t="s">
        <v>303</v>
      </c>
      <c r="C95" t="s">
        <v>299</v>
      </c>
      <c r="D95" t="s">
        <v>1080</v>
      </c>
      <c r="E95" t="s">
        <v>223</v>
      </c>
      <c r="F95" s="174">
        <v>46136</v>
      </c>
      <c r="G95" t="s">
        <v>222</v>
      </c>
      <c r="I95" t="s">
        <v>224</v>
      </c>
      <c r="J95">
        <v>100</v>
      </c>
      <c r="K95">
        <v>500</v>
      </c>
      <c r="L95">
        <v>85</v>
      </c>
      <c r="M95">
        <v>7</v>
      </c>
      <c r="N95">
        <v>3</v>
      </c>
      <c r="P95" t="s">
        <v>510</v>
      </c>
      <c r="Q95" t="s">
        <v>35</v>
      </c>
      <c r="S95" t="s">
        <v>225</v>
      </c>
      <c r="BU95" s="176">
        <v>46136.488888888889</v>
      </c>
      <c r="BV95" s="176">
        <v>46136.496527777781</v>
      </c>
      <c r="BW95" s="176">
        <v>46136.507638888892</v>
      </c>
      <c r="BX95">
        <v>93</v>
      </c>
      <c r="BY95">
        <v>3</v>
      </c>
      <c r="BZ95" t="s">
        <v>1084</v>
      </c>
    </row>
    <row r="96" spans="1:78" x14ac:dyDescent="0.25">
      <c r="A96">
        <v>1</v>
      </c>
      <c r="B96" t="s">
        <v>303</v>
      </c>
      <c r="C96" t="s">
        <v>299</v>
      </c>
      <c r="D96" t="s">
        <v>1080</v>
      </c>
      <c r="E96" t="s">
        <v>223</v>
      </c>
      <c r="F96" s="174">
        <v>46136</v>
      </c>
      <c r="G96" t="s">
        <v>222</v>
      </c>
      <c r="I96" t="s">
        <v>224</v>
      </c>
      <c r="J96">
        <v>100</v>
      </c>
      <c r="K96">
        <v>500</v>
      </c>
      <c r="L96">
        <v>85</v>
      </c>
      <c r="M96">
        <v>7</v>
      </c>
      <c r="N96">
        <v>3</v>
      </c>
      <c r="P96" t="s">
        <v>510</v>
      </c>
      <c r="Q96" t="s">
        <v>37</v>
      </c>
      <c r="BU96" s="176">
        <v>46136.488888888889</v>
      </c>
      <c r="BV96" s="176">
        <v>46136.496527777781</v>
      </c>
      <c r="BW96" s="176">
        <v>46136.507638888892</v>
      </c>
      <c r="BX96">
        <v>94</v>
      </c>
      <c r="BY96">
        <v>4</v>
      </c>
      <c r="BZ96" t="s">
        <v>1085</v>
      </c>
    </row>
    <row r="97" spans="1:78" x14ac:dyDescent="0.25">
      <c r="A97">
        <v>1</v>
      </c>
      <c r="B97" t="s">
        <v>303</v>
      </c>
      <c r="C97" t="s">
        <v>299</v>
      </c>
      <c r="D97" t="s">
        <v>1080</v>
      </c>
      <c r="E97" t="s">
        <v>223</v>
      </c>
      <c r="F97" s="174">
        <v>46136</v>
      </c>
      <c r="G97" t="s">
        <v>222</v>
      </c>
      <c r="I97" t="s">
        <v>224</v>
      </c>
      <c r="J97">
        <v>100</v>
      </c>
      <c r="K97">
        <v>500</v>
      </c>
      <c r="L97">
        <v>85</v>
      </c>
      <c r="M97">
        <v>7</v>
      </c>
      <c r="N97">
        <v>3</v>
      </c>
      <c r="O97" t="s">
        <v>265</v>
      </c>
      <c r="P97">
        <v>3</v>
      </c>
      <c r="Q97">
        <v>3</v>
      </c>
      <c r="R97">
        <v>1</v>
      </c>
      <c r="S97">
        <v>0</v>
      </c>
      <c r="BU97" s="176">
        <v>46136.488888888889</v>
      </c>
      <c r="BV97" s="176">
        <v>46136.496527777781</v>
      </c>
      <c r="BW97" s="176">
        <v>46136.507638888892</v>
      </c>
      <c r="BX97">
        <v>95</v>
      </c>
      <c r="BY97">
        <v>0</v>
      </c>
      <c r="BZ97" t="s">
        <v>1081</v>
      </c>
    </row>
    <row r="98" spans="1:78" x14ac:dyDescent="0.25">
      <c r="A98">
        <v>1</v>
      </c>
      <c r="B98" t="s">
        <v>303</v>
      </c>
      <c r="C98" t="s">
        <v>299</v>
      </c>
      <c r="D98" t="s">
        <v>1080</v>
      </c>
      <c r="E98" t="s">
        <v>223</v>
      </c>
      <c r="F98" s="174">
        <v>46136</v>
      </c>
      <c r="G98" t="s">
        <v>222</v>
      </c>
      <c r="I98" t="s">
        <v>224</v>
      </c>
      <c r="J98">
        <v>100</v>
      </c>
      <c r="K98">
        <v>500</v>
      </c>
      <c r="L98">
        <v>85</v>
      </c>
      <c r="M98">
        <v>7</v>
      </c>
      <c r="N98">
        <v>3</v>
      </c>
      <c r="P98" t="s">
        <v>510</v>
      </c>
      <c r="Q98" t="s">
        <v>31</v>
      </c>
      <c r="S98">
        <v>15.01</v>
      </c>
      <c r="BU98" s="176">
        <v>46136.488888888889</v>
      </c>
      <c r="BV98" s="176">
        <v>46136.496527777781</v>
      </c>
      <c r="BW98" s="176">
        <v>46136.507638888892</v>
      </c>
      <c r="BX98">
        <v>96</v>
      </c>
      <c r="BY98">
        <v>1</v>
      </c>
      <c r="BZ98" t="s">
        <v>1082</v>
      </c>
    </row>
    <row r="99" spans="1:78" x14ac:dyDescent="0.25">
      <c r="A99">
        <v>1</v>
      </c>
      <c r="B99" t="s">
        <v>303</v>
      </c>
      <c r="C99" t="s">
        <v>299</v>
      </c>
      <c r="D99" t="s">
        <v>1080</v>
      </c>
      <c r="E99" t="s">
        <v>223</v>
      </c>
      <c r="F99" s="174">
        <v>46136</v>
      </c>
      <c r="G99" t="s">
        <v>222</v>
      </c>
      <c r="I99" t="s">
        <v>224</v>
      </c>
      <c r="J99">
        <v>100</v>
      </c>
      <c r="K99">
        <v>500</v>
      </c>
      <c r="L99">
        <v>85</v>
      </c>
      <c r="M99">
        <v>7</v>
      </c>
      <c r="N99">
        <v>3</v>
      </c>
      <c r="P99" t="s">
        <v>510</v>
      </c>
      <c r="Q99" t="s">
        <v>33</v>
      </c>
      <c r="BU99" s="176">
        <v>46136.488888888889</v>
      </c>
      <c r="BV99" s="176">
        <v>46136.496527777781</v>
      </c>
      <c r="BW99" s="176">
        <v>46136.507638888892</v>
      </c>
      <c r="BX99">
        <v>97</v>
      </c>
      <c r="BY99">
        <v>2</v>
      </c>
      <c r="BZ99" t="s">
        <v>1083</v>
      </c>
    </row>
    <row r="100" spans="1:78" x14ac:dyDescent="0.25">
      <c r="A100">
        <v>1</v>
      </c>
      <c r="B100" t="s">
        <v>303</v>
      </c>
      <c r="C100" t="s">
        <v>299</v>
      </c>
      <c r="D100" t="s">
        <v>1080</v>
      </c>
      <c r="E100" t="s">
        <v>223</v>
      </c>
      <c r="F100" s="174">
        <v>46136</v>
      </c>
      <c r="G100" t="s">
        <v>222</v>
      </c>
      <c r="I100" t="s">
        <v>224</v>
      </c>
      <c r="J100">
        <v>100</v>
      </c>
      <c r="K100">
        <v>500</v>
      </c>
      <c r="L100">
        <v>85</v>
      </c>
      <c r="M100">
        <v>7</v>
      </c>
      <c r="N100">
        <v>3</v>
      </c>
      <c r="P100" t="s">
        <v>510</v>
      </c>
      <c r="Q100" t="s">
        <v>35</v>
      </c>
      <c r="S100" t="s">
        <v>225</v>
      </c>
      <c r="BU100" s="176">
        <v>46136.488888888889</v>
      </c>
      <c r="BV100" s="176">
        <v>46136.496527777781</v>
      </c>
      <c r="BW100" s="176">
        <v>46136.507638888892</v>
      </c>
      <c r="BX100">
        <v>98</v>
      </c>
      <c r="BY100">
        <v>3</v>
      </c>
      <c r="BZ100" t="s">
        <v>1084</v>
      </c>
    </row>
    <row r="101" spans="1:78" x14ac:dyDescent="0.25">
      <c r="A101">
        <v>1</v>
      </c>
      <c r="B101" t="s">
        <v>303</v>
      </c>
      <c r="C101" t="s">
        <v>299</v>
      </c>
      <c r="D101" t="s">
        <v>1080</v>
      </c>
      <c r="E101" t="s">
        <v>223</v>
      </c>
      <c r="F101" s="174">
        <v>46136</v>
      </c>
      <c r="G101" t="s">
        <v>222</v>
      </c>
      <c r="I101" t="s">
        <v>224</v>
      </c>
      <c r="J101">
        <v>100</v>
      </c>
      <c r="K101">
        <v>500</v>
      </c>
      <c r="L101">
        <v>85</v>
      </c>
      <c r="M101">
        <v>7</v>
      </c>
      <c r="N101">
        <v>3</v>
      </c>
      <c r="P101" t="s">
        <v>510</v>
      </c>
      <c r="Q101" t="s">
        <v>37</v>
      </c>
      <c r="BU101" s="176">
        <v>46136.488888888889</v>
      </c>
      <c r="BV101" s="176">
        <v>46136.496527777781</v>
      </c>
      <c r="BW101" s="176">
        <v>46136.507638888892</v>
      </c>
      <c r="BX101">
        <v>99</v>
      </c>
      <c r="BY101">
        <v>4</v>
      </c>
      <c r="BZ101" t="s">
        <v>1085</v>
      </c>
    </row>
    <row r="102" spans="1:78" x14ac:dyDescent="0.25">
      <c r="A102">
        <v>1</v>
      </c>
      <c r="B102" t="s">
        <v>303</v>
      </c>
      <c r="C102" t="s">
        <v>299</v>
      </c>
      <c r="D102" t="s">
        <v>1080</v>
      </c>
      <c r="E102" t="s">
        <v>223</v>
      </c>
      <c r="F102" s="174">
        <v>46136</v>
      </c>
      <c r="G102" t="s">
        <v>222</v>
      </c>
      <c r="I102" t="s">
        <v>224</v>
      </c>
      <c r="J102">
        <v>100</v>
      </c>
      <c r="K102">
        <v>500</v>
      </c>
      <c r="L102">
        <v>85</v>
      </c>
      <c r="M102">
        <v>8</v>
      </c>
      <c r="N102">
        <v>2</v>
      </c>
      <c r="O102" t="s">
        <v>267</v>
      </c>
      <c r="P102">
        <v>1</v>
      </c>
      <c r="Q102">
        <v>1</v>
      </c>
      <c r="R102">
        <v>1</v>
      </c>
      <c r="Z102">
        <v>1</v>
      </c>
      <c r="AC102">
        <v>1</v>
      </c>
      <c r="AH102">
        <v>1</v>
      </c>
      <c r="AK102">
        <v>1</v>
      </c>
      <c r="AL102">
        <v>0</v>
      </c>
      <c r="BU102" s="176">
        <v>46136.49722222222</v>
      </c>
      <c r="BV102" s="176">
        <v>46136.503472222219</v>
      </c>
      <c r="BW102" s="176">
        <v>46136.513888888891</v>
      </c>
      <c r="BX102">
        <v>100</v>
      </c>
      <c r="BY102">
        <v>0</v>
      </c>
      <c r="BZ102" t="s">
        <v>1081</v>
      </c>
    </row>
    <row r="103" spans="1:78" x14ac:dyDescent="0.25">
      <c r="A103">
        <v>1</v>
      </c>
      <c r="B103" t="s">
        <v>303</v>
      </c>
      <c r="C103" t="s">
        <v>299</v>
      </c>
      <c r="D103" t="s">
        <v>1080</v>
      </c>
      <c r="E103" t="s">
        <v>223</v>
      </c>
      <c r="F103" s="174">
        <v>46136</v>
      </c>
      <c r="G103" t="s">
        <v>222</v>
      </c>
      <c r="I103" t="s">
        <v>224</v>
      </c>
      <c r="J103">
        <v>100</v>
      </c>
      <c r="K103">
        <v>500</v>
      </c>
      <c r="L103">
        <v>85</v>
      </c>
      <c r="M103">
        <v>8</v>
      </c>
      <c r="N103">
        <v>2</v>
      </c>
      <c r="P103" t="s">
        <v>510</v>
      </c>
      <c r="Q103" t="s">
        <v>31</v>
      </c>
      <c r="Z103">
        <v>15.02</v>
      </c>
      <c r="AC103">
        <v>16.25</v>
      </c>
      <c r="AH103">
        <v>19.13</v>
      </c>
      <c r="AK103">
        <v>20.51</v>
      </c>
      <c r="AL103">
        <v>21</v>
      </c>
      <c r="BU103" s="176">
        <v>46136.49722222222</v>
      </c>
      <c r="BV103" s="176">
        <v>46136.503472222219</v>
      </c>
      <c r="BW103" s="176">
        <v>46136.513888888891</v>
      </c>
      <c r="BX103">
        <v>101</v>
      </c>
      <c r="BY103">
        <v>1</v>
      </c>
      <c r="BZ103" t="s">
        <v>1082</v>
      </c>
    </row>
    <row r="104" spans="1:78" x14ac:dyDescent="0.25">
      <c r="A104">
        <v>1</v>
      </c>
      <c r="B104" t="s">
        <v>303</v>
      </c>
      <c r="C104" t="s">
        <v>299</v>
      </c>
      <c r="D104" t="s">
        <v>1080</v>
      </c>
      <c r="E104" t="s">
        <v>223</v>
      </c>
      <c r="F104" s="174">
        <v>46136</v>
      </c>
      <c r="G104" t="s">
        <v>222</v>
      </c>
      <c r="I104" t="s">
        <v>224</v>
      </c>
      <c r="J104">
        <v>100</v>
      </c>
      <c r="K104">
        <v>500</v>
      </c>
      <c r="L104">
        <v>85</v>
      </c>
      <c r="M104">
        <v>8</v>
      </c>
      <c r="N104">
        <v>2</v>
      </c>
      <c r="P104" t="s">
        <v>510</v>
      </c>
      <c r="Q104" t="s">
        <v>33</v>
      </c>
      <c r="AL104" t="s">
        <v>225</v>
      </c>
      <c r="BU104" s="176">
        <v>46136.49722222222</v>
      </c>
      <c r="BV104" s="176">
        <v>46136.503472222219</v>
      </c>
      <c r="BW104" s="176">
        <v>46136.513888888891</v>
      </c>
      <c r="BX104">
        <v>102</v>
      </c>
      <c r="BY104">
        <v>2</v>
      </c>
      <c r="BZ104" t="s">
        <v>1083</v>
      </c>
    </row>
    <row r="105" spans="1:78" x14ac:dyDescent="0.25">
      <c r="A105">
        <v>1</v>
      </c>
      <c r="B105" t="s">
        <v>303</v>
      </c>
      <c r="C105" t="s">
        <v>299</v>
      </c>
      <c r="D105" t="s">
        <v>1080</v>
      </c>
      <c r="E105" t="s">
        <v>223</v>
      </c>
      <c r="F105" s="174">
        <v>46136</v>
      </c>
      <c r="G105" t="s">
        <v>222</v>
      </c>
      <c r="I105" t="s">
        <v>224</v>
      </c>
      <c r="J105">
        <v>100</v>
      </c>
      <c r="K105">
        <v>500</v>
      </c>
      <c r="L105">
        <v>85</v>
      </c>
      <c r="M105">
        <v>8</v>
      </c>
      <c r="N105">
        <v>2</v>
      </c>
      <c r="P105" t="s">
        <v>510</v>
      </c>
      <c r="Q105" t="s">
        <v>35</v>
      </c>
      <c r="BU105" s="176">
        <v>46136.49722222222</v>
      </c>
      <c r="BV105" s="176">
        <v>46136.503472222219</v>
      </c>
      <c r="BW105" s="176">
        <v>46136.513888888891</v>
      </c>
      <c r="BX105">
        <v>103</v>
      </c>
      <c r="BY105">
        <v>3</v>
      </c>
      <c r="BZ105" t="s">
        <v>1084</v>
      </c>
    </row>
    <row r="106" spans="1:78" x14ac:dyDescent="0.25">
      <c r="A106">
        <v>1</v>
      </c>
      <c r="B106" t="s">
        <v>303</v>
      </c>
      <c r="C106" t="s">
        <v>299</v>
      </c>
      <c r="D106" t="s">
        <v>1080</v>
      </c>
      <c r="E106" t="s">
        <v>223</v>
      </c>
      <c r="F106" s="174">
        <v>46136</v>
      </c>
      <c r="G106" t="s">
        <v>222</v>
      </c>
      <c r="I106" t="s">
        <v>224</v>
      </c>
      <c r="J106">
        <v>100</v>
      </c>
      <c r="K106">
        <v>500</v>
      </c>
      <c r="L106">
        <v>85</v>
      </c>
      <c r="M106">
        <v>8</v>
      </c>
      <c r="N106">
        <v>2</v>
      </c>
      <c r="P106" t="s">
        <v>510</v>
      </c>
      <c r="Q106" t="s">
        <v>37</v>
      </c>
      <c r="Z106" t="s">
        <v>226</v>
      </c>
      <c r="AC106" t="s">
        <v>226</v>
      </c>
      <c r="AH106" t="s">
        <v>226</v>
      </c>
      <c r="AK106" t="s">
        <v>226</v>
      </c>
      <c r="BU106" s="176">
        <v>46136.49722222222</v>
      </c>
      <c r="BV106" s="176">
        <v>46136.503472222219</v>
      </c>
      <c r="BW106" s="176">
        <v>46136.513888888891</v>
      </c>
      <c r="BX106">
        <v>104</v>
      </c>
      <c r="BY106">
        <v>4</v>
      </c>
      <c r="BZ106" t="s">
        <v>1085</v>
      </c>
    </row>
    <row r="107" spans="1:78" x14ac:dyDescent="0.25">
      <c r="A107">
        <v>1</v>
      </c>
      <c r="B107" t="s">
        <v>303</v>
      </c>
      <c r="C107" t="s">
        <v>299</v>
      </c>
      <c r="D107" t="s">
        <v>1080</v>
      </c>
      <c r="E107" t="s">
        <v>223</v>
      </c>
      <c r="F107" s="174">
        <v>46136</v>
      </c>
      <c r="G107" t="s">
        <v>222</v>
      </c>
      <c r="I107" t="s">
        <v>224</v>
      </c>
      <c r="J107">
        <v>100</v>
      </c>
      <c r="K107">
        <v>500</v>
      </c>
      <c r="L107">
        <v>85</v>
      </c>
      <c r="M107">
        <v>8</v>
      </c>
      <c r="N107">
        <v>2</v>
      </c>
      <c r="O107" t="s">
        <v>268</v>
      </c>
      <c r="P107">
        <v>2</v>
      </c>
      <c r="Q107">
        <v>2</v>
      </c>
      <c r="R107">
        <v>1</v>
      </c>
      <c r="S107">
        <v>0</v>
      </c>
      <c r="BU107" s="176">
        <v>46136.49722222222</v>
      </c>
      <c r="BV107" s="176">
        <v>46136.503472222219</v>
      </c>
      <c r="BW107" s="176">
        <v>46136.513888888891</v>
      </c>
      <c r="BX107">
        <v>105</v>
      </c>
      <c r="BY107">
        <v>0</v>
      </c>
      <c r="BZ107" t="s">
        <v>1081</v>
      </c>
    </row>
    <row r="108" spans="1:78" x14ac:dyDescent="0.25">
      <c r="A108">
        <v>1</v>
      </c>
      <c r="B108" t="s">
        <v>303</v>
      </c>
      <c r="C108" t="s">
        <v>299</v>
      </c>
      <c r="D108" t="s">
        <v>1080</v>
      </c>
      <c r="E108" t="s">
        <v>223</v>
      </c>
      <c r="F108" s="174">
        <v>46136</v>
      </c>
      <c r="G108" t="s">
        <v>222</v>
      </c>
      <c r="I108" t="s">
        <v>224</v>
      </c>
      <c r="J108">
        <v>100</v>
      </c>
      <c r="K108">
        <v>500</v>
      </c>
      <c r="L108">
        <v>85</v>
      </c>
      <c r="M108">
        <v>8</v>
      </c>
      <c r="N108">
        <v>2</v>
      </c>
      <c r="P108" t="s">
        <v>510</v>
      </c>
      <c r="Q108" t="s">
        <v>31</v>
      </c>
      <c r="S108">
        <v>15.03</v>
      </c>
      <c r="BU108" s="176">
        <v>46136.49722222222</v>
      </c>
      <c r="BV108" s="176">
        <v>46136.503472222219</v>
      </c>
      <c r="BW108" s="176">
        <v>46136.513888888891</v>
      </c>
      <c r="BX108">
        <v>106</v>
      </c>
      <c r="BY108">
        <v>1</v>
      </c>
      <c r="BZ108" t="s">
        <v>1082</v>
      </c>
    </row>
    <row r="109" spans="1:78" x14ac:dyDescent="0.25">
      <c r="A109">
        <v>1</v>
      </c>
      <c r="B109" t="s">
        <v>303</v>
      </c>
      <c r="C109" t="s">
        <v>299</v>
      </c>
      <c r="D109" t="s">
        <v>1080</v>
      </c>
      <c r="E109" t="s">
        <v>223</v>
      </c>
      <c r="F109" s="174">
        <v>46136</v>
      </c>
      <c r="G109" t="s">
        <v>222</v>
      </c>
      <c r="I109" t="s">
        <v>224</v>
      </c>
      <c r="J109">
        <v>100</v>
      </c>
      <c r="K109">
        <v>500</v>
      </c>
      <c r="L109">
        <v>85</v>
      </c>
      <c r="M109">
        <v>8</v>
      </c>
      <c r="N109">
        <v>2</v>
      </c>
      <c r="P109" t="s">
        <v>510</v>
      </c>
      <c r="Q109" t="s">
        <v>33</v>
      </c>
      <c r="BU109" s="176">
        <v>46136.49722222222</v>
      </c>
      <c r="BV109" s="176">
        <v>46136.503472222219</v>
      </c>
      <c r="BW109" s="176">
        <v>46136.513888888891</v>
      </c>
      <c r="BX109">
        <v>107</v>
      </c>
      <c r="BY109">
        <v>2</v>
      </c>
      <c r="BZ109" t="s">
        <v>1083</v>
      </c>
    </row>
    <row r="110" spans="1:78" x14ac:dyDescent="0.25">
      <c r="A110">
        <v>1</v>
      </c>
      <c r="B110" t="s">
        <v>303</v>
      </c>
      <c r="C110" t="s">
        <v>299</v>
      </c>
      <c r="D110" t="s">
        <v>1080</v>
      </c>
      <c r="E110" t="s">
        <v>223</v>
      </c>
      <c r="F110" s="174">
        <v>46136</v>
      </c>
      <c r="G110" t="s">
        <v>222</v>
      </c>
      <c r="I110" t="s">
        <v>224</v>
      </c>
      <c r="J110">
        <v>100</v>
      </c>
      <c r="K110">
        <v>500</v>
      </c>
      <c r="L110">
        <v>85</v>
      </c>
      <c r="M110">
        <v>8</v>
      </c>
      <c r="N110">
        <v>2</v>
      </c>
      <c r="P110" t="s">
        <v>510</v>
      </c>
      <c r="Q110" t="s">
        <v>35</v>
      </c>
      <c r="S110" t="s">
        <v>225</v>
      </c>
      <c r="BU110" s="176">
        <v>46136.49722222222</v>
      </c>
      <c r="BV110" s="176">
        <v>46136.503472222219</v>
      </c>
      <c r="BW110" s="176">
        <v>46136.513888888891</v>
      </c>
      <c r="BX110">
        <v>108</v>
      </c>
      <c r="BY110">
        <v>3</v>
      </c>
      <c r="BZ110" t="s">
        <v>1084</v>
      </c>
    </row>
    <row r="111" spans="1:78" x14ac:dyDescent="0.25">
      <c r="A111">
        <v>1</v>
      </c>
      <c r="B111" t="s">
        <v>303</v>
      </c>
      <c r="C111" t="s">
        <v>299</v>
      </c>
      <c r="D111" t="s">
        <v>1080</v>
      </c>
      <c r="E111" t="s">
        <v>223</v>
      </c>
      <c r="F111" s="174">
        <v>46136</v>
      </c>
      <c r="G111" t="s">
        <v>222</v>
      </c>
      <c r="I111" t="s">
        <v>224</v>
      </c>
      <c r="J111">
        <v>100</v>
      </c>
      <c r="K111">
        <v>500</v>
      </c>
      <c r="L111">
        <v>85</v>
      </c>
      <c r="M111">
        <v>8</v>
      </c>
      <c r="N111">
        <v>2</v>
      </c>
      <c r="P111" t="s">
        <v>510</v>
      </c>
      <c r="Q111" t="s">
        <v>37</v>
      </c>
      <c r="BU111" s="176">
        <v>46136.49722222222</v>
      </c>
      <c r="BV111" s="176">
        <v>46136.503472222219</v>
      </c>
      <c r="BW111" s="176">
        <v>46136.513888888891</v>
      </c>
      <c r="BX111">
        <v>109</v>
      </c>
      <c r="BY111">
        <v>4</v>
      </c>
      <c r="BZ111" t="s">
        <v>1085</v>
      </c>
    </row>
    <row r="112" spans="1:78" x14ac:dyDescent="0.25">
      <c r="A112">
        <v>1</v>
      </c>
      <c r="B112" t="s">
        <v>303</v>
      </c>
      <c r="C112" t="s">
        <v>299</v>
      </c>
      <c r="D112" t="s">
        <v>1080</v>
      </c>
      <c r="E112" t="s">
        <v>223</v>
      </c>
      <c r="F112" s="174">
        <v>46136</v>
      </c>
      <c r="G112" t="s">
        <v>222</v>
      </c>
      <c r="I112" t="s">
        <v>224</v>
      </c>
      <c r="J112">
        <v>100</v>
      </c>
      <c r="K112">
        <v>500</v>
      </c>
      <c r="L112">
        <v>85</v>
      </c>
      <c r="M112">
        <v>9</v>
      </c>
      <c r="N112">
        <v>3</v>
      </c>
      <c r="O112" t="s">
        <v>270</v>
      </c>
      <c r="P112">
        <v>1</v>
      </c>
      <c r="Q112">
        <v>1</v>
      </c>
      <c r="R112">
        <v>1</v>
      </c>
      <c r="V112">
        <v>1</v>
      </c>
      <c r="W112">
        <v>0</v>
      </c>
      <c r="BU112" s="176">
        <v>46136.504166666666</v>
      </c>
      <c r="BV112" s="176">
        <v>46136.511111111111</v>
      </c>
      <c r="BW112" s="176">
        <v>46136.527083333334</v>
      </c>
      <c r="BX112">
        <v>110</v>
      </c>
      <c r="BY112">
        <v>0</v>
      </c>
      <c r="BZ112" t="s">
        <v>1081</v>
      </c>
    </row>
    <row r="113" spans="1:78" x14ac:dyDescent="0.25">
      <c r="A113">
        <v>1</v>
      </c>
      <c r="B113" t="s">
        <v>303</v>
      </c>
      <c r="C113" t="s">
        <v>299</v>
      </c>
      <c r="D113" t="s">
        <v>1080</v>
      </c>
      <c r="E113" t="s">
        <v>223</v>
      </c>
      <c r="F113" s="174">
        <v>46136</v>
      </c>
      <c r="G113" t="s">
        <v>222</v>
      </c>
      <c r="I113" t="s">
        <v>224</v>
      </c>
      <c r="J113">
        <v>100</v>
      </c>
      <c r="K113">
        <v>500</v>
      </c>
      <c r="L113">
        <v>85</v>
      </c>
      <c r="M113">
        <v>9</v>
      </c>
      <c r="N113">
        <v>3</v>
      </c>
      <c r="P113" t="s">
        <v>510</v>
      </c>
      <c r="Q113" t="s">
        <v>31</v>
      </c>
      <c r="V113">
        <v>15.04</v>
      </c>
      <c r="W113">
        <v>16.260000000000002</v>
      </c>
      <c r="BU113" s="176">
        <v>46136.504166666666</v>
      </c>
      <c r="BV113" s="176">
        <v>46136.511111111111</v>
      </c>
      <c r="BW113" s="176">
        <v>46136.527083333334</v>
      </c>
      <c r="BX113">
        <v>111</v>
      </c>
      <c r="BY113">
        <v>1</v>
      </c>
      <c r="BZ113" t="s">
        <v>1082</v>
      </c>
    </row>
    <row r="114" spans="1:78" x14ac:dyDescent="0.25">
      <c r="A114">
        <v>1</v>
      </c>
      <c r="B114" t="s">
        <v>303</v>
      </c>
      <c r="C114" t="s">
        <v>299</v>
      </c>
      <c r="D114" t="s">
        <v>1080</v>
      </c>
      <c r="E114" t="s">
        <v>223</v>
      </c>
      <c r="F114" s="174">
        <v>46136</v>
      </c>
      <c r="G114" t="s">
        <v>222</v>
      </c>
      <c r="I114" t="s">
        <v>224</v>
      </c>
      <c r="J114">
        <v>100</v>
      </c>
      <c r="K114">
        <v>500</v>
      </c>
      <c r="L114">
        <v>85</v>
      </c>
      <c r="M114">
        <v>9</v>
      </c>
      <c r="N114">
        <v>3</v>
      </c>
      <c r="P114" t="s">
        <v>510</v>
      </c>
      <c r="Q114" t="s">
        <v>33</v>
      </c>
      <c r="BU114" s="176">
        <v>46136.504166666666</v>
      </c>
      <c r="BV114" s="176">
        <v>46136.511111111111</v>
      </c>
      <c r="BW114" s="176">
        <v>46136.527083333334</v>
      </c>
      <c r="BX114">
        <v>112</v>
      </c>
      <c r="BY114">
        <v>2</v>
      </c>
      <c r="BZ114" t="s">
        <v>1083</v>
      </c>
    </row>
    <row r="115" spans="1:78" x14ac:dyDescent="0.25">
      <c r="A115">
        <v>1</v>
      </c>
      <c r="B115" t="s">
        <v>303</v>
      </c>
      <c r="C115" t="s">
        <v>299</v>
      </c>
      <c r="D115" t="s">
        <v>1080</v>
      </c>
      <c r="E115" t="s">
        <v>223</v>
      </c>
      <c r="F115" s="174">
        <v>46136</v>
      </c>
      <c r="G115" t="s">
        <v>222</v>
      </c>
      <c r="I115" t="s">
        <v>224</v>
      </c>
      <c r="J115">
        <v>100</v>
      </c>
      <c r="K115">
        <v>500</v>
      </c>
      <c r="L115">
        <v>85</v>
      </c>
      <c r="M115">
        <v>9</v>
      </c>
      <c r="N115">
        <v>3</v>
      </c>
      <c r="P115" t="s">
        <v>510</v>
      </c>
      <c r="Q115" t="s">
        <v>35</v>
      </c>
      <c r="W115" t="s">
        <v>225</v>
      </c>
      <c r="BU115" s="176">
        <v>46136.504166666666</v>
      </c>
      <c r="BV115" s="176">
        <v>46136.511111111111</v>
      </c>
      <c r="BW115" s="176">
        <v>46136.527083333334</v>
      </c>
      <c r="BX115">
        <v>113</v>
      </c>
      <c r="BY115">
        <v>3</v>
      </c>
      <c r="BZ115" t="s">
        <v>1084</v>
      </c>
    </row>
    <row r="116" spans="1:78" x14ac:dyDescent="0.25">
      <c r="A116">
        <v>1</v>
      </c>
      <c r="B116" t="s">
        <v>303</v>
      </c>
      <c r="C116" t="s">
        <v>299</v>
      </c>
      <c r="D116" t="s">
        <v>1080</v>
      </c>
      <c r="E116" t="s">
        <v>223</v>
      </c>
      <c r="F116" s="174">
        <v>46136</v>
      </c>
      <c r="G116" t="s">
        <v>222</v>
      </c>
      <c r="I116" t="s">
        <v>224</v>
      </c>
      <c r="J116">
        <v>100</v>
      </c>
      <c r="K116">
        <v>500</v>
      </c>
      <c r="L116">
        <v>85</v>
      </c>
      <c r="M116">
        <v>9</v>
      </c>
      <c r="N116">
        <v>3</v>
      </c>
      <c r="P116" t="s">
        <v>510</v>
      </c>
      <c r="Q116" t="s">
        <v>37</v>
      </c>
      <c r="V116" t="s">
        <v>229</v>
      </c>
      <c r="BU116" s="176">
        <v>46136.504166666666</v>
      </c>
      <c r="BV116" s="176">
        <v>46136.511111111111</v>
      </c>
      <c r="BW116" s="176">
        <v>46136.527083333334</v>
      </c>
      <c r="BX116">
        <v>114</v>
      </c>
      <c r="BY116">
        <v>4</v>
      </c>
      <c r="BZ116" t="s">
        <v>1085</v>
      </c>
    </row>
    <row r="117" spans="1:78" x14ac:dyDescent="0.25">
      <c r="A117">
        <v>1</v>
      </c>
      <c r="B117" t="s">
        <v>303</v>
      </c>
      <c r="C117" t="s">
        <v>299</v>
      </c>
      <c r="D117" t="s">
        <v>1080</v>
      </c>
      <c r="E117" t="s">
        <v>223</v>
      </c>
      <c r="F117" s="174">
        <v>46136</v>
      </c>
      <c r="G117" t="s">
        <v>222</v>
      </c>
      <c r="I117" t="s">
        <v>224</v>
      </c>
      <c r="J117">
        <v>100</v>
      </c>
      <c r="K117">
        <v>500</v>
      </c>
      <c r="L117">
        <v>85</v>
      </c>
      <c r="M117">
        <v>9</v>
      </c>
      <c r="N117">
        <v>3</v>
      </c>
      <c r="O117" t="s">
        <v>271</v>
      </c>
      <c r="P117">
        <v>2</v>
      </c>
      <c r="Q117">
        <v>2</v>
      </c>
      <c r="R117">
        <v>1</v>
      </c>
      <c r="S117">
        <v>0</v>
      </c>
      <c r="BU117" s="176">
        <v>46136.504166666666</v>
      </c>
      <c r="BV117" s="176">
        <v>46136.511111111111</v>
      </c>
      <c r="BW117" s="176">
        <v>46136.527083333334</v>
      </c>
      <c r="BX117">
        <v>115</v>
      </c>
      <c r="BY117">
        <v>0</v>
      </c>
      <c r="BZ117" t="s">
        <v>1081</v>
      </c>
    </row>
    <row r="118" spans="1:78" x14ac:dyDescent="0.25">
      <c r="A118">
        <v>1</v>
      </c>
      <c r="B118" t="s">
        <v>303</v>
      </c>
      <c r="C118" t="s">
        <v>299</v>
      </c>
      <c r="D118" t="s">
        <v>1080</v>
      </c>
      <c r="E118" t="s">
        <v>223</v>
      </c>
      <c r="F118" s="174">
        <v>46136</v>
      </c>
      <c r="G118" t="s">
        <v>222</v>
      </c>
      <c r="I118" t="s">
        <v>224</v>
      </c>
      <c r="J118">
        <v>100</v>
      </c>
      <c r="K118">
        <v>500</v>
      </c>
      <c r="L118">
        <v>85</v>
      </c>
      <c r="M118">
        <v>9</v>
      </c>
      <c r="N118">
        <v>3</v>
      </c>
      <c r="P118" t="s">
        <v>510</v>
      </c>
      <c r="Q118" t="s">
        <v>31</v>
      </c>
      <c r="S118">
        <v>15.05</v>
      </c>
      <c r="BU118" s="176">
        <v>46136.504166666666</v>
      </c>
      <c r="BV118" s="176">
        <v>46136.511111111111</v>
      </c>
      <c r="BW118" s="176">
        <v>46136.527083333334</v>
      </c>
      <c r="BX118">
        <v>116</v>
      </c>
      <c r="BY118">
        <v>1</v>
      </c>
      <c r="BZ118" t="s">
        <v>1082</v>
      </c>
    </row>
    <row r="119" spans="1:78" x14ac:dyDescent="0.25">
      <c r="A119">
        <v>1</v>
      </c>
      <c r="B119" t="s">
        <v>303</v>
      </c>
      <c r="C119" t="s">
        <v>299</v>
      </c>
      <c r="D119" t="s">
        <v>1080</v>
      </c>
      <c r="E119" t="s">
        <v>223</v>
      </c>
      <c r="F119" s="174">
        <v>46136</v>
      </c>
      <c r="G119" t="s">
        <v>222</v>
      </c>
      <c r="I119" t="s">
        <v>224</v>
      </c>
      <c r="J119">
        <v>100</v>
      </c>
      <c r="K119">
        <v>500</v>
      </c>
      <c r="L119">
        <v>85</v>
      </c>
      <c r="M119">
        <v>9</v>
      </c>
      <c r="N119">
        <v>3</v>
      </c>
      <c r="P119" t="s">
        <v>510</v>
      </c>
      <c r="Q119" t="s">
        <v>33</v>
      </c>
      <c r="BU119" s="176">
        <v>46136.504166666666</v>
      </c>
      <c r="BV119" s="176">
        <v>46136.511111111111</v>
      </c>
      <c r="BW119" s="176">
        <v>46136.527083333334</v>
      </c>
      <c r="BX119">
        <v>117</v>
      </c>
      <c r="BY119">
        <v>2</v>
      </c>
      <c r="BZ119" t="s">
        <v>1083</v>
      </c>
    </row>
    <row r="120" spans="1:78" x14ac:dyDescent="0.25">
      <c r="A120">
        <v>1</v>
      </c>
      <c r="B120" t="s">
        <v>303</v>
      </c>
      <c r="C120" t="s">
        <v>299</v>
      </c>
      <c r="D120" t="s">
        <v>1080</v>
      </c>
      <c r="E120" t="s">
        <v>223</v>
      </c>
      <c r="F120" s="174">
        <v>46136</v>
      </c>
      <c r="G120" t="s">
        <v>222</v>
      </c>
      <c r="I120" t="s">
        <v>224</v>
      </c>
      <c r="J120">
        <v>100</v>
      </c>
      <c r="K120">
        <v>500</v>
      </c>
      <c r="L120">
        <v>85</v>
      </c>
      <c r="M120">
        <v>9</v>
      </c>
      <c r="N120">
        <v>3</v>
      </c>
      <c r="P120" t="s">
        <v>510</v>
      </c>
      <c r="Q120" t="s">
        <v>35</v>
      </c>
      <c r="S120" t="s">
        <v>225</v>
      </c>
      <c r="BU120" s="176">
        <v>46136.504166666666</v>
      </c>
      <c r="BV120" s="176">
        <v>46136.511111111111</v>
      </c>
      <c r="BW120" s="176">
        <v>46136.527083333334</v>
      </c>
      <c r="BX120">
        <v>118</v>
      </c>
      <c r="BY120">
        <v>3</v>
      </c>
      <c r="BZ120" t="s">
        <v>1084</v>
      </c>
    </row>
    <row r="121" spans="1:78" x14ac:dyDescent="0.25">
      <c r="A121">
        <v>1</v>
      </c>
      <c r="B121" t="s">
        <v>303</v>
      </c>
      <c r="C121" t="s">
        <v>299</v>
      </c>
      <c r="D121" t="s">
        <v>1080</v>
      </c>
      <c r="E121" t="s">
        <v>223</v>
      </c>
      <c r="F121" s="174">
        <v>46136</v>
      </c>
      <c r="G121" t="s">
        <v>222</v>
      </c>
      <c r="I121" t="s">
        <v>224</v>
      </c>
      <c r="J121">
        <v>100</v>
      </c>
      <c r="K121">
        <v>500</v>
      </c>
      <c r="L121">
        <v>85</v>
      </c>
      <c r="M121">
        <v>9</v>
      </c>
      <c r="N121">
        <v>3</v>
      </c>
      <c r="P121" t="s">
        <v>510</v>
      </c>
      <c r="Q121" t="s">
        <v>37</v>
      </c>
      <c r="BU121" s="176">
        <v>46136.504166666666</v>
      </c>
      <c r="BV121" s="176">
        <v>46136.511111111111</v>
      </c>
      <c r="BW121" s="176">
        <v>46136.527083333334</v>
      </c>
      <c r="BX121">
        <v>119</v>
      </c>
      <c r="BY121">
        <v>4</v>
      </c>
      <c r="BZ121" t="s">
        <v>1085</v>
      </c>
    </row>
    <row r="122" spans="1:78" x14ac:dyDescent="0.25">
      <c r="A122">
        <v>1</v>
      </c>
      <c r="B122" t="s">
        <v>303</v>
      </c>
      <c r="C122" t="s">
        <v>299</v>
      </c>
      <c r="D122" t="s">
        <v>1080</v>
      </c>
      <c r="E122" t="s">
        <v>223</v>
      </c>
      <c r="F122" s="174">
        <v>46136</v>
      </c>
      <c r="G122" t="s">
        <v>222</v>
      </c>
      <c r="I122" t="s">
        <v>224</v>
      </c>
      <c r="J122">
        <v>100</v>
      </c>
      <c r="K122">
        <v>500</v>
      </c>
      <c r="L122">
        <v>85</v>
      </c>
      <c r="M122">
        <v>9</v>
      </c>
      <c r="N122">
        <v>3</v>
      </c>
      <c r="O122" t="s">
        <v>272</v>
      </c>
      <c r="P122">
        <v>3</v>
      </c>
      <c r="Q122">
        <v>3</v>
      </c>
      <c r="R122">
        <v>1</v>
      </c>
      <c r="S122">
        <v>0</v>
      </c>
      <c r="BU122" s="176">
        <v>46136.504166666666</v>
      </c>
      <c r="BV122" s="176">
        <v>46136.511111111111</v>
      </c>
      <c r="BW122" s="176">
        <v>46136.527083333334</v>
      </c>
      <c r="BX122">
        <v>120</v>
      </c>
      <c r="BY122">
        <v>0</v>
      </c>
      <c r="BZ122" t="s">
        <v>1081</v>
      </c>
    </row>
    <row r="123" spans="1:78" x14ac:dyDescent="0.25">
      <c r="A123">
        <v>1</v>
      </c>
      <c r="B123" t="s">
        <v>303</v>
      </c>
      <c r="C123" t="s">
        <v>299</v>
      </c>
      <c r="D123" t="s">
        <v>1080</v>
      </c>
      <c r="E123" t="s">
        <v>223</v>
      </c>
      <c r="F123" s="174">
        <v>46136</v>
      </c>
      <c r="G123" t="s">
        <v>222</v>
      </c>
      <c r="I123" t="s">
        <v>224</v>
      </c>
      <c r="J123">
        <v>100</v>
      </c>
      <c r="K123">
        <v>500</v>
      </c>
      <c r="L123">
        <v>85</v>
      </c>
      <c r="M123">
        <v>9</v>
      </c>
      <c r="N123">
        <v>3</v>
      </c>
      <c r="P123" t="s">
        <v>510</v>
      </c>
      <c r="Q123" t="s">
        <v>31</v>
      </c>
      <c r="S123">
        <v>15.05</v>
      </c>
      <c r="BU123" s="176">
        <v>46136.504166666666</v>
      </c>
      <c r="BV123" s="176">
        <v>46136.511111111111</v>
      </c>
      <c r="BW123" s="176">
        <v>46136.527083333334</v>
      </c>
      <c r="BX123">
        <v>121</v>
      </c>
      <c r="BY123">
        <v>1</v>
      </c>
      <c r="BZ123" t="s">
        <v>1082</v>
      </c>
    </row>
    <row r="124" spans="1:78" x14ac:dyDescent="0.25">
      <c r="A124">
        <v>1</v>
      </c>
      <c r="B124" t="s">
        <v>303</v>
      </c>
      <c r="C124" t="s">
        <v>299</v>
      </c>
      <c r="D124" t="s">
        <v>1080</v>
      </c>
      <c r="E124" t="s">
        <v>223</v>
      </c>
      <c r="F124" s="174">
        <v>46136</v>
      </c>
      <c r="G124" t="s">
        <v>222</v>
      </c>
      <c r="I124" t="s">
        <v>224</v>
      </c>
      <c r="J124">
        <v>100</v>
      </c>
      <c r="K124">
        <v>500</v>
      </c>
      <c r="L124">
        <v>85</v>
      </c>
      <c r="M124">
        <v>9</v>
      </c>
      <c r="N124">
        <v>3</v>
      </c>
      <c r="P124" t="s">
        <v>510</v>
      </c>
      <c r="Q124" t="s">
        <v>33</v>
      </c>
      <c r="BU124" s="176">
        <v>46136.504166666666</v>
      </c>
      <c r="BV124" s="176">
        <v>46136.511111111111</v>
      </c>
      <c r="BW124" s="176">
        <v>46136.527083333334</v>
      </c>
      <c r="BX124">
        <v>122</v>
      </c>
      <c r="BY124">
        <v>2</v>
      </c>
      <c r="BZ124" t="s">
        <v>1083</v>
      </c>
    </row>
    <row r="125" spans="1:78" x14ac:dyDescent="0.25">
      <c r="A125">
        <v>1</v>
      </c>
      <c r="B125" t="s">
        <v>303</v>
      </c>
      <c r="C125" t="s">
        <v>299</v>
      </c>
      <c r="D125" t="s">
        <v>1080</v>
      </c>
      <c r="E125" t="s">
        <v>223</v>
      </c>
      <c r="F125" s="174">
        <v>46136</v>
      </c>
      <c r="G125" t="s">
        <v>222</v>
      </c>
      <c r="I125" t="s">
        <v>224</v>
      </c>
      <c r="J125">
        <v>100</v>
      </c>
      <c r="K125">
        <v>500</v>
      </c>
      <c r="L125">
        <v>85</v>
      </c>
      <c r="M125">
        <v>9</v>
      </c>
      <c r="N125">
        <v>3</v>
      </c>
      <c r="P125" t="s">
        <v>510</v>
      </c>
      <c r="Q125" t="s">
        <v>35</v>
      </c>
      <c r="S125" t="s">
        <v>225</v>
      </c>
      <c r="BU125" s="176">
        <v>46136.504166666666</v>
      </c>
      <c r="BV125" s="176">
        <v>46136.511111111111</v>
      </c>
      <c r="BW125" s="176">
        <v>46136.527083333334</v>
      </c>
      <c r="BX125">
        <v>123</v>
      </c>
      <c r="BY125">
        <v>3</v>
      </c>
      <c r="BZ125" t="s">
        <v>1084</v>
      </c>
    </row>
    <row r="126" spans="1:78" x14ac:dyDescent="0.25">
      <c r="A126">
        <v>1</v>
      </c>
      <c r="B126" t="s">
        <v>303</v>
      </c>
      <c r="C126" t="s">
        <v>299</v>
      </c>
      <c r="D126" t="s">
        <v>1080</v>
      </c>
      <c r="E126" t="s">
        <v>223</v>
      </c>
      <c r="F126" s="174">
        <v>46136</v>
      </c>
      <c r="G126" t="s">
        <v>222</v>
      </c>
      <c r="I126" t="s">
        <v>224</v>
      </c>
      <c r="J126">
        <v>100</v>
      </c>
      <c r="K126">
        <v>500</v>
      </c>
      <c r="L126">
        <v>85</v>
      </c>
      <c r="M126">
        <v>9</v>
      </c>
      <c r="N126">
        <v>3</v>
      </c>
      <c r="P126" t="s">
        <v>510</v>
      </c>
      <c r="Q126" t="s">
        <v>37</v>
      </c>
      <c r="BU126" s="176">
        <v>46136.504166666666</v>
      </c>
      <c r="BV126" s="176">
        <v>46136.511111111111</v>
      </c>
      <c r="BW126" s="176">
        <v>46136.527083333334</v>
      </c>
      <c r="BX126">
        <v>124</v>
      </c>
      <c r="BY126">
        <v>4</v>
      </c>
      <c r="BZ126" t="s">
        <v>1085</v>
      </c>
    </row>
    <row r="127" spans="1:78" x14ac:dyDescent="0.25">
      <c r="A127">
        <v>1</v>
      </c>
      <c r="B127" t="s">
        <v>303</v>
      </c>
      <c r="C127" t="s">
        <v>299</v>
      </c>
      <c r="D127" t="s">
        <v>1080</v>
      </c>
      <c r="E127" t="s">
        <v>223</v>
      </c>
      <c r="F127" s="174">
        <v>46136</v>
      </c>
      <c r="G127" t="s">
        <v>222</v>
      </c>
      <c r="I127" t="s">
        <v>224</v>
      </c>
      <c r="J127">
        <v>100</v>
      </c>
      <c r="K127">
        <v>500</v>
      </c>
      <c r="L127">
        <v>85</v>
      </c>
      <c r="M127">
        <v>10</v>
      </c>
      <c r="N127">
        <v>2</v>
      </c>
      <c r="O127" t="s">
        <v>274</v>
      </c>
      <c r="P127">
        <v>1</v>
      </c>
      <c r="Q127">
        <v>1</v>
      </c>
      <c r="R127">
        <v>1</v>
      </c>
      <c r="S127">
        <v>0</v>
      </c>
      <c r="BU127" s="176">
        <v>46136.511805555558</v>
      </c>
      <c r="BV127" s="176">
        <v>46136.518750000003</v>
      </c>
      <c r="BW127" s="176">
        <v>46136.529861111114</v>
      </c>
      <c r="BX127">
        <v>125</v>
      </c>
      <c r="BY127">
        <v>0</v>
      </c>
      <c r="BZ127" t="s">
        <v>1081</v>
      </c>
    </row>
    <row r="128" spans="1:78" x14ac:dyDescent="0.25">
      <c r="A128">
        <v>1</v>
      </c>
      <c r="B128" t="s">
        <v>303</v>
      </c>
      <c r="C128" t="s">
        <v>299</v>
      </c>
      <c r="D128" t="s">
        <v>1080</v>
      </c>
      <c r="E128" t="s">
        <v>223</v>
      </c>
      <c r="F128" s="174">
        <v>46136</v>
      </c>
      <c r="G128" t="s">
        <v>222</v>
      </c>
      <c r="I128" t="s">
        <v>224</v>
      </c>
      <c r="J128">
        <v>100</v>
      </c>
      <c r="K128">
        <v>500</v>
      </c>
      <c r="L128">
        <v>85</v>
      </c>
      <c r="M128">
        <v>10</v>
      </c>
      <c r="N128">
        <v>2</v>
      </c>
      <c r="P128" t="s">
        <v>510</v>
      </c>
      <c r="Q128" t="s">
        <v>31</v>
      </c>
      <c r="S128">
        <v>15.06</v>
      </c>
      <c r="BU128" s="176">
        <v>46136.511805555558</v>
      </c>
      <c r="BV128" s="176">
        <v>46136.518750000003</v>
      </c>
      <c r="BW128" s="176">
        <v>46136.529861111114</v>
      </c>
      <c r="BX128">
        <v>126</v>
      </c>
      <c r="BY128">
        <v>1</v>
      </c>
      <c r="BZ128" t="s">
        <v>1082</v>
      </c>
    </row>
    <row r="129" spans="1:78" x14ac:dyDescent="0.25">
      <c r="A129">
        <v>1</v>
      </c>
      <c r="B129" t="s">
        <v>303</v>
      </c>
      <c r="C129" t="s">
        <v>299</v>
      </c>
      <c r="D129" t="s">
        <v>1080</v>
      </c>
      <c r="E129" t="s">
        <v>223</v>
      </c>
      <c r="F129" s="174">
        <v>46136</v>
      </c>
      <c r="G129" t="s">
        <v>222</v>
      </c>
      <c r="I129" t="s">
        <v>224</v>
      </c>
      <c r="J129">
        <v>100</v>
      </c>
      <c r="K129">
        <v>500</v>
      </c>
      <c r="L129">
        <v>85</v>
      </c>
      <c r="M129">
        <v>10</v>
      </c>
      <c r="N129">
        <v>2</v>
      </c>
      <c r="P129" t="s">
        <v>510</v>
      </c>
      <c r="Q129" t="s">
        <v>33</v>
      </c>
      <c r="BU129" s="176">
        <v>46136.511805555558</v>
      </c>
      <c r="BV129" s="176">
        <v>46136.518750000003</v>
      </c>
      <c r="BW129" s="176">
        <v>46136.529861111114</v>
      </c>
      <c r="BX129">
        <v>127</v>
      </c>
      <c r="BY129">
        <v>2</v>
      </c>
      <c r="BZ129" t="s">
        <v>1083</v>
      </c>
    </row>
    <row r="130" spans="1:78" x14ac:dyDescent="0.25">
      <c r="A130">
        <v>1</v>
      </c>
      <c r="B130" t="s">
        <v>303</v>
      </c>
      <c r="C130" t="s">
        <v>299</v>
      </c>
      <c r="D130" t="s">
        <v>1080</v>
      </c>
      <c r="E130" t="s">
        <v>223</v>
      </c>
      <c r="F130" s="174">
        <v>46136</v>
      </c>
      <c r="G130" t="s">
        <v>222</v>
      </c>
      <c r="I130" t="s">
        <v>224</v>
      </c>
      <c r="J130">
        <v>100</v>
      </c>
      <c r="K130">
        <v>500</v>
      </c>
      <c r="L130">
        <v>85</v>
      </c>
      <c r="M130">
        <v>10</v>
      </c>
      <c r="N130">
        <v>2</v>
      </c>
      <c r="P130" t="s">
        <v>510</v>
      </c>
      <c r="Q130" t="s">
        <v>35</v>
      </c>
      <c r="S130" t="s">
        <v>225</v>
      </c>
      <c r="BU130" s="176">
        <v>46136.511805555558</v>
      </c>
      <c r="BV130" s="176">
        <v>46136.518750000003</v>
      </c>
      <c r="BW130" s="176">
        <v>46136.529861111114</v>
      </c>
      <c r="BX130">
        <v>128</v>
      </c>
      <c r="BY130">
        <v>3</v>
      </c>
      <c r="BZ130" t="s">
        <v>1084</v>
      </c>
    </row>
    <row r="131" spans="1:78" x14ac:dyDescent="0.25">
      <c r="A131">
        <v>1</v>
      </c>
      <c r="B131" t="s">
        <v>303</v>
      </c>
      <c r="C131" t="s">
        <v>299</v>
      </c>
      <c r="D131" t="s">
        <v>1080</v>
      </c>
      <c r="E131" t="s">
        <v>223</v>
      </c>
      <c r="F131" s="174">
        <v>46136</v>
      </c>
      <c r="G131" t="s">
        <v>222</v>
      </c>
      <c r="I131" t="s">
        <v>224</v>
      </c>
      <c r="J131">
        <v>100</v>
      </c>
      <c r="K131">
        <v>500</v>
      </c>
      <c r="L131">
        <v>85</v>
      </c>
      <c r="M131">
        <v>10</v>
      </c>
      <c r="N131">
        <v>2</v>
      </c>
      <c r="P131" t="s">
        <v>510</v>
      </c>
      <c r="Q131" t="s">
        <v>37</v>
      </c>
      <c r="BU131" s="176">
        <v>46136.511805555558</v>
      </c>
      <c r="BV131" s="176">
        <v>46136.518750000003</v>
      </c>
      <c r="BW131" s="176">
        <v>46136.529861111114</v>
      </c>
      <c r="BX131">
        <v>129</v>
      </c>
      <c r="BY131">
        <v>4</v>
      </c>
      <c r="BZ131" t="s">
        <v>1085</v>
      </c>
    </row>
    <row r="132" spans="1:78" x14ac:dyDescent="0.25">
      <c r="A132">
        <v>1</v>
      </c>
      <c r="B132" t="s">
        <v>303</v>
      </c>
      <c r="C132" t="s">
        <v>299</v>
      </c>
      <c r="D132" t="s">
        <v>1080</v>
      </c>
      <c r="E132" t="s">
        <v>223</v>
      </c>
      <c r="F132" s="174">
        <v>46136</v>
      </c>
      <c r="G132" t="s">
        <v>222</v>
      </c>
      <c r="I132" t="s">
        <v>224</v>
      </c>
      <c r="J132">
        <v>100</v>
      </c>
      <c r="K132">
        <v>500</v>
      </c>
      <c r="L132">
        <v>85</v>
      </c>
      <c r="M132">
        <v>10</v>
      </c>
      <c r="N132">
        <v>2</v>
      </c>
      <c r="O132" t="s">
        <v>275</v>
      </c>
      <c r="P132">
        <v>2</v>
      </c>
      <c r="Q132">
        <v>2</v>
      </c>
      <c r="R132">
        <v>1</v>
      </c>
      <c r="S132">
        <v>0</v>
      </c>
      <c r="BU132" s="176">
        <v>46136.511805555558</v>
      </c>
      <c r="BV132" s="176">
        <v>46136.518750000003</v>
      </c>
      <c r="BW132" s="176">
        <v>46136.529861111114</v>
      </c>
      <c r="BX132">
        <v>130</v>
      </c>
      <c r="BY132">
        <v>0</v>
      </c>
      <c r="BZ132" t="s">
        <v>1081</v>
      </c>
    </row>
    <row r="133" spans="1:78" x14ac:dyDescent="0.25">
      <c r="A133">
        <v>1</v>
      </c>
      <c r="B133" t="s">
        <v>303</v>
      </c>
      <c r="C133" t="s">
        <v>299</v>
      </c>
      <c r="D133" t="s">
        <v>1080</v>
      </c>
      <c r="E133" t="s">
        <v>223</v>
      </c>
      <c r="F133" s="174">
        <v>46136</v>
      </c>
      <c r="G133" t="s">
        <v>222</v>
      </c>
      <c r="I133" t="s">
        <v>224</v>
      </c>
      <c r="J133">
        <v>100</v>
      </c>
      <c r="K133">
        <v>500</v>
      </c>
      <c r="L133">
        <v>85</v>
      </c>
      <c r="M133">
        <v>10</v>
      </c>
      <c r="N133">
        <v>2</v>
      </c>
      <c r="P133" t="s">
        <v>510</v>
      </c>
      <c r="Q133" t="s">
        <v>31</v>
      </c>
      <c r="S133">
        <v>15.06</v>
      </c>
      <c r="BU133" s="176">
        <v>46136.511805555558</v>
      </c>
      <c r="BV133" s="176">
        <v>46136.518750000003</v>
      </c>
      <c r="BW133" s="176">
        <v>46136.529861111114</v>
      </c>
      <c r="BX133">
        <v>131</v>
      </c>
      <c r="BY133">
        <v>1</v>
      </c>
      <c r="BZ133" t="s">
        <v>1082</v>
      </c>
    </row>
    <row r="134" spans="1:78" x14ac:dyDescent="0.25">
      <c r="A134">
        <v>1</v>
      </c>
      <c r="B134" t="s">
        <v>303</v>
      </c>
      <c r="C134" t="s">
        <v>299</v>
      </c>
      <c r="D134" t="s">
        <v>1080</v>
      </c>
      <c r="E134" t="s">
        <v>223</v>
      </c>
      <c r="F134" s="174">
        <v>46136</v>
      </c>
      <c r="G134" t="s">
        <v>222</v>
      </c>
      <c r="I134" t="s">
        <v>224</v>
      </c>
      <c r="J134">
        <v>100</v>
      </c>
      <c r="K134">
        <v>500</v>
      </c>
      <c r="L134">
        <v>85</v>
      </c>
      <c r="M134">
        <v>10</v>
      </c>
      <c r="N134">
        <v>2</v>
      </c>
      <c r="P134" t="s">
        <v>510</v>
      </c>
      <c r="Q134" t="s">
        <v>33</v>
      </c>
      <c r="BU134" s="176">
        <v>46136.511805555558</v>
      </c>
      <c r="BV134" s="176">
        <v>46136.518750000003</v>
      </c>
      <c r="BW134" s="176">
        <v>46136.529861111114</v>
      </c>
      <c r="BX134">
        <v>132</v>
      </c>
      <c r="BY134">
        <v>2</v>
      </c>
      <c r="BZ134" t="s">
        <v>1083</v>
      </c>
    </row>
    <row r="135" spans="1:78" x14ac:dyDescent="0.25">
      <c r="A135">
        <v>1</v>
      </c>
      <c r="B135" t="s">
        <v>303</v>
      </c>
      <c r="C135" t="s">
        <v>299</v>
      </c>
      <c r="D135" t="s">
        <v>1080</v>
      </c>
      <c r="E135" t="s">
        <v>223</v>
      </c>
      <c r="F135" s="174">
        <v>46136</v>
      </c>
      <c r="G135" t="s">
        <v>222</v>
      </c>
      <c r="I135" t="s">
        <v>224</v>
      </c>
      <c r="J135">
        <v>100</v>
      </c>
      <c r="K135">
        <v>500</v>
      </c>
      <c r="L135">
        <v>85</v>
      </c>
      <c r="M135">
        <v>10</v>
      </c>
      <c r="N135">
        <v>2</v>
      </c>
      <c r="P135" t="s">
        <v>510</v>
      </c>
      <c r="Q135" t="s">
        <v>35</v>
      </c>
      <c r="S135" t="s">
        <v>225</v>
      </c>
      <c r="BU135" s="176">
        <v>46136.511805555558</v>
      </c>
      <c r="BV135" s="176">
        <v>46136.518750000003</v>
      </c>
      <c r="BW135" s="176">
        <v>46136.529861111114</v>
      </c>
      <c r="BX135">
        <v>133</v>
      </c>
      <c r="BY135">
        <v>3</v>
      </c>
      <c r="BZ135" t="s">
        <v>1084</v>
      </c>
    </row>
    <row r="136" spans="1:78" x14ac:dyDescent="0.25">
      <c r="A136">
        <v>1</v>
      </c>
      <c r="B136" t="s">
        <v>303</v>
      </c>
      <c r="C136" t="s">
        <v>299</v>
      </c>
      <c r="D136" t="s">
        <v>1080</v>
      </c>
      <c r="E136" t="s">
        <v>223</v>
      </c>
      <c r="F136" s="174">
        <v>46136</v>
      </c>
      <c r="G136" t="s">
        <v>222</v>
      </c>
      <c r="I136" t="s">
        <v>224</v>
      </c>
      <c r="J136">
        <v>100</v>
      </c>
      <c r="K136">
        <v>500</v>
      </c>
      <c r="L136">
        <v>85</v>
      </c>
      <c r="M136">
        <v>10</v>
      </c>
      <c r="N136">
        <v>2</v>
      </c>
      <c r="P136" t="s">
        <v>510</v>
      </c>
      <c r="Q136" t="s">
        <v>37</v>
      </c>
      <c r="BU136" s="176">
        <v>46136.511805555558</v>
      </c>
      <c r="BV136" s="176">
        <v>46136.518750000003</v>
      </c>
      <c r="BW136" s="176">
        <v>46136.529861111114</v>
      </c>
      <c r="BX136">
        <v>134</v>
      </c>
      <c r="BY136">
        <v>4</v>
      </c>
      <c r="BZ136" t="s">
        <v>1085</v>
      </c>
    </row>
    <row r="137" spans="1:78" x14ac:dyDescent="0.25">
      <c r="A137">
        <v>1</v>
      </c>
      <c r="B137" t="s">
        <v>303</v>
      </c>
      <c r="C137" t="s">
        <v>299</v>
      </c>
      <c r="D137" t="s">
        <v>1080</v>
      </c>
      <c r="E137" t="s">
        <v>223</v>
      </c>
      <c r="F137" s="174">
        <v>46136</v>
      </c>
      <c r="G137" t="s">
        <v>222</v>
      </c>
      <c r="I137" t="s">
        <v>224</v>
      </c>
      <c r="J137">
        <v>100</v>
      </c>
      <c r="K137">
        <v>500</v>
      </c>
      <c r="L137">
        <v>85</v>
      </c>
      <c r="M137">
        <v>11</v>
      </c>
      <c r="N137">
        <v>2</v>
      </c>
      <c r="O137" t="s">
        <v>277</v>
      </c>
      <c r="P137">
        <v>1</v>
      </c>
      <c r="Q137">
        <v>1</v>
      </c>
      <c r="R137">
        <v>1</v>
      </c>
      <c r="BU137" s="176">
        <v>46136.519444444442</v>
      </c>
      <c r="BV137" s="176">
        <v>46136.527083333334</v>
      </c>
      <c r="BW137" s="176">
        <v>46136.538888888892</v>
      </c>
      <c r="BX137">
        <v>135</v>
      </c>
      <c r="BY137">
        <v>0</v>
      </c>
      <c r="BZ137" t="s">
        <v>1081</v>
      </c>
    </row>
    <row r="138" spans="1:78" x14ac:dyDescent="0.25">
      <c r="A138">
        <v>1</v>
      </c>
      <c r="B138" t="s">
        <v>303</v>
      </c>
      <c r="C138" t="s">
        <v>299</v>
      </c>
      <c r="D138" t="s">
        <v>1080</v>
      </c>
      <c r="E138" t="s">
        <v>223</v>
      </c>
      <c r="F138" s="174">
        <v>46136</v>
      </c>
      <c r="G138" t="s">
        <v>222</v>
      </c>
      <c r="I138" t="s">
        <v>224</v>
      </c>
      <c r="J138">
        <v>100</v>
      </c>
      <c r="K138">
        <v>500</v>
      </c>
      <c r="L138">
        <v>85</v>
      </c>
      <c r="M138">
        <v>11</v>
      </c>
      <c r="N138">
        <v>2</v>
      </c>
      <c r="P138" t="s">
        <v>510</v>
      </c>
      <c r="Q138" t="s">
        <v>31</v>
      </c>
      <c r="BU138" s="176">
        <v>46136.519444444442</v>
      </c>
      <c r="BV138" s="176">
        <v>46136.527083333334</v>
      </c>
      <c r="BW138" s="176">
        <v>46136.538888888892</v>
      </c>
      <c r="BX138">
        <v>136</v>
      </c>
      <c r="BY138">
        <v>1</v>
      </c>
      <c r="BZ138" t="s">
        <v>1082</v>
      </c>
    </row>
    <row r="139" spans="1:78" x14ac:dyDescent="0.25">
      <c r="A139">
        <v>1</v>
      </c>
      <c r="B139" t="s">
        <v>303</v>
      </c>
      <c r="C139" t="s">
        <v>299</v>
      </c>
      <c r="D139" t="s">
        <v>1080</v>
      </c>
      <c r="E139" t="s">
        <v>223</v>
      </c>
      <c r="F139" s="174">
        <v>46136</v>
      </c>
      <c r="G139" t="s">
        <v>222</v>
      </c>
      <c r="I139" t="s">
        <v>224</v>
      </c>
      <c r="J139">
        <v>100</v>
      </c>
      <c r="K139">
        <v>500</v>
      </c>
      <c r="L139">
        <v>85</v>
      </c>
      <c r="M139">
        <v>11</v>
      </c>
      <c r="N139">
        <v>2</v>
      </c>
      <c r="P139" t="s">
        <v>510</v>
      </c>
      <c r="Q139" t="s">
        <v>33</v>
      </c>
      <c r="BU139" s="176">
        <v>46136.519444444442</v>
      </c>
      <c r="BV139" s="176">
        <v>46136.527083333334</v>
      </c>
      <c r="BW139" s="176">
        <v>46136.538888888892</v>
      </c>
      <c r="BX139">
        <v>137</v>
      </c>
      <c r="BY139">
        <v>2</v>
      </c>
      <c r="BZ139" t="s">
        <v>1083</v>
      </c>
    </row>
    <row r="140" spans="1:78" x14ac:dyDescent="0.25">
      <c r="A140">
        <v>1</v>
      </c>
      <c r="B140" t="s">
        <v>303</v>
      </c>
      <c r="C140" t="s">
        <v>299</v>
      </c>
      <c r="D140" t="s">
        <v>1080</v>
      </c>
      <c r="E140" t="s">
        <v>223</v>
      </c>
      <c r="F140" s="174">
        <v>46136</v>
      </c>
      <c r="G140" t="s">
        <v>222</v>
      </c>
      <c r="I140" t="s">
        <v>224</v>
      </c>
      <c r="J140">
        <v>100</v>
      </c>
      <c r="K140">
        <v>500</v>
      </c>
      <c r="L140">
        <v>85</v>
      </c>
      <c r="M140">
        <v>11</v>
      </c>
      <c r="N140">
        <v>2</v>
      </c>
      <c r="P140" t="s">
        <v>510</v>
      </c>
      <c r="Q140" t="s">
        <v>35</v>
      </c>
      <c r="BU140" s="176">
        <v>46136.519444444442</v>
      </c>
      <c r="BV140" s="176">
        <v>46136.527083333334</v>
      </c>
      <c r="BW140" s="176">
        <v>46136.538888888892</v>
      </c>
      <c r="BX140">
        <v>138</v>
      </c>
      <c r="BY140">
        <v>3</v>
      </c>
      <c r="BZ140" t="s">
        <v>1084</v>
      </c>
    </row>
    <row r="141" spans="1:78" x14ac:dyDescent="0.25">
      <c r="A141">
        <v>1</v>
      </c>
      <c r="B141" t="s">
        <v>303</v>
      </c>
      <c r="C141" t="s">
        <v>299</v>
      </c>
      <c r="D141" t="s">
        <v>1080</v>
      </c>
      <c r="E141" t="s">
        <v>223</v>
      </c>
      <c r="F141" s="174">
        <v>46136</v>
      </c>
      <c r="G141" t="s">
        <v>222</v>
      </c>
      <c r="I141" t="s">
        <v>224</v>
      </c>
      <c r="J141">
        <v>100</v>
      </c>
      <c r="K141">
        <v>500</v>
      </c>
      <c r="L141">
        <v>85</v>
      </c>
      <c r="M141">
        <v>11</v>
      </c>
      <c r="N141">
        <v>2</v>
      </c>
      <c r="P141" t="s">
        <v>510</v>
      </c>
      <c r="Q141" t="s">
        <v>37</v>
      </c>
      <c r="BU141" s="176">
        <v>46136.519444444442</v>
      </c>
      <c r="BV141" s="176">
        <v>46136.527083333334</v>
      </c>
      <c r="BW141" s="176">
        <v>46136.538888888892</v>
      </c>
      <c r="BX141">
        <v>139</v>
      </c>
      <c r="BY141">
        <v>4</v>
      </c>
      <c r="BZ141" t="s">
        <v>1085</v>
      </c>
    </row>
    <row r="142" spans="1:78" x14ac:dyDescent="0.25">
      <c r="A142">
        <v>1</v>
      </c>
      <c r="B142" t="s">
        <v>303</v>
      </c>
      <c r="C142" t="s">
        <v>299</v>
      </c>
      <c r="D142" t="s">
        <v>1080</v>
      </c>
      <c r="E142" t="s">
        <v>223</v>
      </c>
      <c r="F142" s="174">
        <v>46136</v>
      </c>
      <c r="G142" t="s">
        <v>222</v>
      </c>
      <c r="I142" t="s">
        <v>224</v>
      </c>
      <c r="J142">
        <v>100</v>
      </c>
      <c r="K142">
        <v>500</v>
      </c>
      <c r="L142">
        <v>85</v>
      </c>
      <c r="M142">
        <v>11</v>
      </c>
      <c r="N142">
        <v>2</v>
      </c>
      <c r="O142" t="s">
        <v>278</v>
      </c>
      <c r="P142">
        <v>2</v>
      </c>
      <c r="Q142">
        <v>2</v>
      </c>
      <c r="R142">
        <v>1</v>
      </c>
      <c r="S142">
        <v>0</v>
      </c>
      <c r="Y142">
        <v>1</v>
      </c>
      <c r="AC142">
        <v>1</v>
      </c>
      <c r="AG142">
        <v>1</v>
      </c>
      <c r="AH142">
        <v>0</v>
      </c>
      <c r="BU142" s="176">
        <v>46136.519444444442</v>
      </c>
      <c r="BV142" s="176">
        <v>46136.527083333334</v>
      </c>
      <c r="BW142" s="176">
        <v>46136.538888888892</v>
      </c>
      <c r="BX142">
        <v>140</v>
      </c>
      <c r="BY142">
        <v>0</v>
      </c>
      <c r="BZ142" t="s">
        <v>1081</v>
      </c>
    </row>
    <row r="143" spans="1:78" x14ac:dyDescent="0.25">
      <c r="A143">
        <v>1</v>
      </c>
      <c r="B143" t="s">
        <v>303</v>
      </c>
      <c r="C143" t="s">
        <v>299</v>
      </c>
      <c r="D143" t="s">
        <v>1080</v>
      </c>
      <c r="E143" t="s">
        <v>223</v>
      </c>
      <c r="F143" s="174">
        <v>46136</v>
      </c>
      <c r="G143" t="s">
        <v>222</v>
      </c>
      <c r="I143" t="s">
        <v>224</v>
      </c>
      <c r="J143">
        <v>100</v>
      </c>
      <c r="K143">
        <v>500</v>
      </c>
      <c r="L143">
        <v>85</v>
      </c>
      <c r="M143">
        <v>11</v>
      </c>
      <c r="N143">
        <v>2</v>
      </c>
      <c r="P143" t="s">
        <v>510</v>
      </c>
      <c r="Q143" t="s">
        <v>31</v>
      </c>
      <c r="S143">
        <v>15.08</v>
      </c>
      <c r="Y143">
        <v>15.07</v>
      </c>
      <c r="AC143">
        <v>16.28</v>
      </c>
      <c r="AG143">
        <v>19.149999999999999</v>
      </c>
      <c r="AH143">
        <v>20.3</v>
      </c>
      <c r="BU143" s="176">
        <v>46136.519444444442</v>
      </c>
      <c r="BV143" s="176">
        <v>46136.527083333334</v>
      </c>
      <c r="BW143" s="176">
        <v>46136.538888888892</v>
      </c>
      <c r="BX143">
        <v>141</v>
      </c>
      <c r="BY143">
        <v>1</v>
      </c>
      <c r="BZ143" t="s">
        <v>1082</v>
      </c>
    </row>
    <row r="144" spans="1:78" x14ac:dyDescent="0.25">
      <c r="A144">
        <v>1</v>
      </c>
      <c r="B144" t="s">
        <v>303</v>
      </c>
      <c r="C144" t="s">
        <v>299</v>
      </c>
      <c r="D144" t="s">
        <v>1080</v>
      </c>
      <c r="E144" t="s">
        <v>223</v>
      </c>
      <c r="F144" s="174">
        <v>46136</v>
      </c>
      <c r="G144" t="s">
        <v>222</v>
      </c>
      <c r="I144" t="s">
        <v>224</v>
      </c>
      <c r="J144">
        <v>100</v>
      </c>
      <c r="K144">
        <v>500</v>
      </c>
      <c r="L144">
        <v>85</v>
      </c>
      <c r="M144">
        <v>11</v>
      </c>
      <c r="N144">
        <v>2</v>
      </c>
      <c r="P144" t="s">
        <v>510</v>
      </c>
      <c r="Q144" t="s">
        <v>33</v>
      </c>
      <c r="AH144" t="s">
        <v>225</v>
      </c>
      <c r="BU144" s="176">
        <v>46136.519444444442</v>
      </c>
      <c r="BV144" s="176">
        <v>46136.527083333334</v>
      </c>
      <c r="BW144" s="176">
        <v>46136.538888888892</v>
      </c>
      <c r="BX144">
        <v>142</v>
      </c>
      <c r="BY144">
        <v>2</v>
      </c>
      <c r="BZ144" t="s">
        <v>1083</v>
      </c>
    </row>
    <row r="145" spans="1:78" x14ac:dyDescent="0.25">
      <c r="A145">
        <v>1</v>
      </c>
      <c r="B145" t="s">
        <v>303</v>
      </c>
      <c r="C145" t="s">
        <v>299</v>
      </c>
      <c r="D145" t="s">
        <v>1080</v>
      </c>
      <c r="E145" t="s">
        <v>223</v>
      </c>
      <c r="F145" s="174">
        <v>46136</v>
      </c>
      <c r="G145" t="s">
        <v>222</v>
      </c>
      <c r="I145" t="s">
        <v>224</v>
      </c>
      <c r="J145">
        <v>100</v>
      </c>
      <c r="K145">
        <v>500</v>
      </c>
      <c r="L145">
        <v>85</v>
      </c>
      <c r="M145">
        <v>11</v>
      </c>
      <c r="N145">
        <v>2</v>
      </c>
      <c r="P145" t="s">
        <v>510</v>
      </c>
      <c r="Q145" t="s">
        <v>35</v>
      </c>
      <c r="S145" t="s">
        <v>225</v>
      </c>
      <c r="BU145" s="176">
        <v>46136.519444444442</v>
      </c>
      <c r="BV145" s="176">
        <v>46136.527083333334</v>
      </c>
      <c r="BW145" s="176">
        <v>46136.538888888892</v>
      </c>
      <c r="BX145">
        <v>143</v>
      </c>
      <c r="BY145">
        <v>3</v>
      </c>
      <c r="BZ145" t="s">
        <v>1084</v>
      </c>
    </row>
    <row r="146" spans="1:78" x14ac:dyDescent="0.25">
      <c r="A146">
        <v>1</v>
      </c>
      <c r="B146" t="s">
        <v>303</v>
      </c>
      <c r="C146" t="s">
        <v>299</v>
      </c>
      <c r="D146" t="s">
        <v>1080</v>
      </c>
      <c r="E146" t="s">
        <v>223</v>
      </c>
      <c r="F146" s="174">
        <v>46136</v>
      </c>
      <c r="G146" t="s">
        <v>222</v>
      </c>
      <c r="I146" t="s">
        <v>224</v>
      </c>
      <c r="J146">
        <v>100</v>
      </c>
      <c r="K146">
        <v>500</v>
      </c>
      <c r="L146">
        <v>85</v>
      </c>
      <c r="M146">
        <v>11</v>
      </c>
      <c r="N146">
        <v>2</v>
      </c>
      <c r="P146" t="s">
        <v>510</v>
      </c>
      <c r="Q146" t="s">
        <v>37</v>
      </c>
      <c r="Y146" t="s">
        <v>229</v>
      </c>
      <c r="AC146" t="s">
        <v>229</v>
      </c>
      <c r="AG146" t="s">
        <v>229</v>
      </c>
      <c r="BU146" s="176">
        <v>46136.519444444442</v>
      </c>
      <c r="BV146" s="176">
        <v>46136.527083333334</v>
      </c>
      <c r="BW146" s="176">
        <v>46136.538888888892</v>
      </c>
      <c r="BX146">
        <v>144</v>
      </c>
      <c r="BY146">
        <v>4</v>
      </c>
      <c r="BZ146" t="s">
        <v>1085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77A5-980A-4526-914A-28E7FDCDAA37}">
  <sheetPr>
    <tabColor theme="3" tint="0.499984740745262"/>
  </sheetPr>
  <dimension ref="A1:HC250"/>
  <sheetViews>
    <sheetView topLeftCell="A29" workbookViewId="0">
      <selection activeCell="D169" sqref="D169"/>
    </sheetView>
  </sheetViews>
  <sheetFormatPr defaultColWidth="9.140625" defaultRowHeight="15" x14ac:dyDescent="0.25"/>
  <cols>
    <col min="1" max="1" width="11.28515625" style="120" customWidth="1"/>
    <col min="2" max="2" width="13.85546875" style="120" customWidth="1"/>
    <col min="3" max="3" width="21.42578125" style="120" bestFit="1" customWidth="1"/>
    <col min="4" max="6" width="11.28515625" style="120" customWidth="1"/>
    <col min="7" max="8" width="14" style="120" customWidth="1"/>
    <col min="9" max="9" width="11.28515625" style="120" customWidth="1"/>
    <col min="10" max="14" width="12.28515625" style="120" customWidth="1"/>
    <col min="15" max="16" width="13.28515625" style="120" customWidth="1"/>
    <col min="17" max="24" width="12.28515625" style="120" customWidth="1"/>
    <col min="25" max="25" width="22.5703125" style="120" bestFit="1" customWidth="1"/>
    <col min="26" max="29" width="12.28515625" style="120" customWidth="1"/>
    <col min="30" max="30" width="12.28515625" style="121" customWidth="1"/>
    <col min="31" max="35" width="12.28515625" style="120" customWidth="1"/>
    <col min="36" max="36" width="19.7109375" style="120" customWidth="1"/>
    <col min="37" max="57" width="12.28515625" style="120" customWidth="1"/>
    <col min="58" max="58" width="12.28515625" style="122" customWidth="1"/>
    <col min="59" max="99" width="12.28515625" style="120" customWidth="1"/>
    <col min="100" max="211" width="13.28515625" style="120" customWidth="1"/>
    <col min="212" max="16384" width="9.140625" style="120"/>
  </cols>
  <sheetData>
    <row r="1" spans="1:211" ht="14.45" customHeight="1" x14ac:dyDescent="0.25">
      <c r="A1" s="113" t="s">
        <v>513</v>
      </c>
      <c r="B1" s="114" t="s">
        <v>514</v>
      </c>
      <c r="C1" s="114" t="s">
        <v>515</v>
      </c>
      <c r="D1" s="118" t="s">
        <v>516</v>
      </c>
      <c r="E1" s="118" t="s">
        <v>517</v>
      </c>
      <c r="F1" s="118" t="s">
        <v>518</v>
      </c>
      <c r="G1" s="118" t="s">
        <v>519</v>
      </c>
      <c r="H1" s="118" t="s">
        <v>520</v>
      </c>
      <c r="I1" s="118" t="s">
        <v>521</v>
      </c>
      <c r="J1" s="118" t="s">
        <v>522</v>
      </c>
      <c r="K1" s="118" t="s">
        <v>523</v>
      </c>
      <c r="L1" s="118" t="s">
        <v>524</v>
      </c>
      <c r="M1" s="118" t="s">
        <v>525</v>
      </c>
      <c r="N1" s="114" t="s">
        <v>526</v>
      </c>
      <c r="O1" s="114" t="s">
        <v>527</v>
      </c>
      <c r="P1" s="114" t="s">
        <v>528</v>
      </c>
      <c r="Q1" s="114" t="s">
        <v>529</v>
      </c>
      <c r="R1" s="114" t="s">
        <v>530</v>
      </c>
      <c r="S1" s="114" t="s">
        <v>531</v>
      </c>
      <c r="T1" s="114" t="s">
        <v>532</v>
      </c>
      <c r="U1" s="114" t="s">
        <v>533</v>
      </c>
      <c r="V1" s="114" t="s">
        <v>534</v>
      </c>
      <c r="W1" s="113" t="s">
        <v>535</v>
      </c>
      <c r="X1" s="113" t="s">
        <v>536</v>
      </c>
      <c r="Y1" s="113" t="s">
        <v>537</v>
      </c>
      <c r="Z1" s="113" t="s">
        <v>538</v>
      </c>
      <c r="AA1" s="113" t="s">
        <v>539</v>
      </c>
      <c r="AB1" s="113" t="s">
        <v>540</v>
      </c>
      <c r="AC1" s="113" t="s">
        <v>541</v>
      </c>
      <c r="AD1" s="115" t="s">
        <v>542</v>
      </c>
      <c r="AE1" s="119" t="s">
        <v>543</v>
      </c>
      <c r="AF1" s="113" t="s">
        <v>544</v>
      </c>
      <c r="AG1" s="113" t="s">
        <v>545</v>
      </c>
      <c r="AH1" s="113" t="s">
        <v>546</v>
      </c>
      <c r="AI1" s="113" t="s">
        <v>547</v>
      </c>
      <c r="AJ1" s="113" t="s">
        <v>548</v>
      </c>
      <c r="AK1" s="113" t="s">
        <v>549</v>
      </c>
      <c r="AL1" s="113" t="s">
        <v>550</v>
      </c>
      <c r="AM1" s="116" t="s">
        <v>551</v>
      </c>
      <c r="AN1" s="116" t="s">
        <v>552</v>
      </c>
      <c r="AO1" s="116" t="s">
        <v>553</v>
      </c>
      <c r="AP1" s="116" t="s">
        <v>554</v>
      </c>
      <c r="AQ1" s="116" t="s">
        <v>555</v>
      </c>
      <c r="AR1" s="116" t="s">
        <v>556</v>
      </c>
      <c r="AS1" s="116" t="s">
        <v>557</v>
      </c>
      <c r="AT1" s="116" t="s">
        <v>558</v>
      </c>
      <c r="AU1" s="116" t="s">
        <v>559</v>
      </c>
      <c r="AV1" s="116" t="s">
        <v>560</v>
      </c>
      <c r="AW1" s="116" t="s">
        <v>561</v>
      </c>
      <c r="AX1" s="116" t="s">
        <v>562</v>
      </c>
      <c r="AY1" s="116" t="s">
        <v>563</v>
      </c>
      <c r="AZ1" s="116" t="s">
        <v>564</v>
      </c>
      <c r="BA1" s="116" t="s">
        <v>565</v>
      </c>
      <c r="BB1" s="116" t="s">
        <v>566</v>
      </c>
      <c r="BC1" s="116" t="s">
        <v>567</v>
      </c>
      <c r="BD1" s="116" t="s">
        <v>568</v>
      </c>
      <c r="BE1" s="113" t="s">
        <v>569</v>
      </c>
      <c r="BF1" s="117" t="s">
        <v>570</v>
      </c>
      <c r="BG1" s="113" t="s">
        <v>571</v>
      </c>
      <c r="BH1" s="113" t="s">
        <v>572</v>
      </c>
      <c r="BI1" s="113" t="s">
        <v>573</v>
      </c>
      <c r="BJ1" s="113" t="s">
        <v>574</v>
      </c>
      <c r="BK1" s="113" t="s">
        <v>575</v>
      </c>
      <c r="BL1" s="113" t="s">
        <v>576</v>
      </c>
      <c r="BM1" s="113" t="s">
        <v>577</v>
      </c>
      <c r="BN1" s="113" t="s">
        <v>578</v>
      </c>
      <c r="BO1" s="113" t="s">
        <v>579</v>
      </c>
      <c r="BP1" s="113" t="s">
        <v>580</v>
      </c>
      <c r="BQ1" s="113" t="s">
        <v>581</v>
      </c>
      <c r="BR1" s="113" t="s">
        <v>582</v>
      </c>
      <c r="BS1" s="113" t="s">
        <v>583</v>
      </c>
      <c r="BT1" s="113" t="s">
        <v>584</v>
      </c>
      <c r="BU1" s="113" t="s">
        <v>585</v>
      </c>
      <c r="BV1" s="113" t="s">
        <v>586</v>
      </c>
      <c r="BW1" s="113" t="s">
        <v>587</v>
      </c>
      <c r="BX1" s="113" t="s">
        <v>588</v>
      </c>
      <c r="BY1" s="113" t="s">
        <v>589</v>
      </c>
      <c r="BZ1" s="113" t="s">
        <v>590</v>
      </c>
      <c r="CA1" s="113" t="s">
        <v>591</v>
      </c>
      <c r="CB1" s="113" t="s">
        <v>592</v>
      </c>
      <c r="CC1" s="113" t="s">
        <v>593</v>
      </c>
      <c r="CD1" s="113" t="s">
        <v>594</v>
      </c>
      <c r="CE1" s="113" t="s">
        <v>595</v>
      </c>
      <c r="CF1" s="113" t="s">
        <v>596</v>
      </c>
      <c r="CG1" s="113" t="s">
        <v>597</v>
      </c>
      <c r="CH1" s="113" t="s">
        <v>598</v>
      </c>
      <c r="CI1" s="113" t="s">
        <v>599</v>
      </c>
      <c r="CJ1" s="113" t="s">
        <v>600</v>
      </c>
      <c r="CK1" s="113" t="s">
        <v>601</v>
      </c>
      <c r="CL1" s="113" t="s">
        <v>602</v>
      </c>
      <c r="CM1" s="113" t="s">
        <v>603</v>
      </c>
      <c r="CN1" s="113" t="s">
        <v>604</v>
      </c>
      <c r="CO1" s="113" t="s">
        <v>605</v>
      </c>
      <c r="CP1" s="113" t="s">
        <v>606</v>
      </c>
      <c r="CQ1" s="113" t="s">
        <v>607</v>
      </c>
      <c r="CR1" s="113" t="s">
        <v>608</v>
      </c>
      <c r="CS1" s="113" t="s">
        <v>609</v>
      </c>
      <c r="CT1" s="113" t="s">
        <v>610</v>
      </c>
      <c r="CU1" s="113" t="s">
        <v>611</v>
      </c>
      <c r="CV1" s="113" t="s">
        <v>612</v>
      </c>
      <c r="CW1" s="113" t="s">
        <v>613</v>
      </c>
      <c r="CX1" s="113" t="s">
        <v>614</v>
      </c>
      <c r="CY1" s="113" t="s">
        <v>615</v>
      </c>
      <c r="CZ1" s="113" t="s">
        <v>616</v>
      </c>
      <c r="DA1" s="113" t="s">
        <v>617</v>
      </c>
      <c r="DB1" s="113" t="s">
        <v>618</v>
      </c>
      <c r="DC1" s="113" t="s">
        <v>619</v>
      </c>
      <c r="DD1" s="113" t="s">
        <v>620</v>
      </c>
      <c r="DE1" s="113" t="s">
        <v>621</v>
      </c>
      <c r="DF1" s="113" t="s">
        <v>622</v>
      </c>
      <c r="DG1" s="113" t="s">
        <v>623</v>
      </c>
      <c r="DH1" s="113" t="s">
        <v>624</v>
      </c>
      <c r="DI1" s="113" t="s">
        <v>625</v>
      </c>
      <c r="DJ1" s="113" t="s">
        <v>626</v>
      </c>
      <c r="DK1" s="113" t="s">
        <v>627</v>
      </c>
      <c r="DL1" s="113" t="s">
        <v>628</v>
      </c>
      <c r="DM1" s="113" t="s">
        <v>629</v>
      </c>
      <c r="DN1" s="113" t="s">
        <v>630</v>
      </c>
      <c r="DO1" s="113" t="s">
        <v>631</v>
      </c>
      <c r="DP1" s="113" t="s">
        <v>632</v>
      </c>
      <c r="DQ1" s="113" t="s">
        <v>633</v>
      </c>
      <c r="DR1" s="113" t="s">
        <v>634</v>
      </c>
      <c r="DS1" s="113" t="s">
        <v>635</v>
      </c>
      <c r="DT1" s="113" t="s">
        <v>636</v>
      </c>
      <c r="DU1" s="113" t="s">
        <v>637</v>
      </c>
      <c r="DV1" s="113" t="s">
        <v>638</v>
      </c>
      <c r="DW1" s="113" t="s">
        <v>639</v>
      </c>
      <c r="DX1" s="113" t="s">
        <v>640</v>
      </c>
      <c r="DY1" s="113" t="s">
        <v>641</v>
      </c>
      <c r="DZ1" s="113" t="s">
        <v>642</v>
      </c>
      <c r="EA1" s="113" t="s">
        <v>643</v>
      </c>
      <c r="EB1" s="113" t="s">
        <v>644</v>
      </c>
      <c r="EC1" s="113" t="s">
        <v>645</v>
      </c>
      <c r="ED1" s="113" t="s">
        <v>646</v>
      </c>
      <c r="EE1" s="113" t="s">
        <v>647</v>
      </c>
      <c r="EF1" s="113" t="s">
        <v>648</v>
      </c>
      <c r="EG1" s="113" t="s">
        <v>649</v>
      </c>
      <c r="EH1" s="113" t="s">
        <v>650</v>
      </c>
      <c r="EI1" s="113" t="s">
        <v>651</v>
      </c>
      <c r="EJ1" s="113" t="s">
        <v>652</v>
      </c>
      <c r="EK1" s="113" t="s">
        <v>653</v>
      </c>
      <c r="EL1" s="113" t="s">
        <v>654</v>
      </c>
      <c r="EM1" s="113" t="s">
        <v>655</v>
      </c>
      <c r="EN1" s="113" t="s">
        <v>656</v>
      </c>
      <c r="EO1" s="113" t="s">
        <v>657</v>
      </c>
      <c r="EP1" s="113" t="s">
        <v>658</v>
      </c>
      <c r="EQ1" s="113" t="s">
        <v>659</v>
      </c>
      <c r="ER1" s="113" t="s">
        <v>660</v>
      </c>
      <c r="ES1" s="113" t="s">
        <v>661</v>
      </c>
      <c r="ET1" s="113" t="s">
        <v>662</v>
      </c>
      <c r="EU1" s="113" t="s">
        <v>663</v>
      </c>
      <c r="EV1" s="113" t="s">
        <v>664</v>
      </c>
      <c r="EW1" s="113" t="s">
        <v>665</v>
      </c>
      <c r="EX1" s="113" t="s">
        <v>666</v>
      </c>
      <c r="EY1" s="113" t="s">
        <v>667</v>
      </c>
      <c r="EZ1" s="113" t="s">
        <v>668</v>
      </c>
      <c r="FA1" s="113" t="s">
        <v>669</v>
      </c>
      <c r="FB1" s="113" t="s">
        <v>670</v>
      </c>
      <c r="FC1" s="113" t="s">
        <v>671</v>
      </c>
      <c r="FD1" s="113" t="s">
        <v>672</v>
      </c>
      <c r="FE1" s="113" t="s">
        <v>673</v>
      </c>
      <c r="FF1" s="113" t="s">
        <v>674</v>
      </c>
      <c r="FG1" s="113" t="s">
        <v>675</v>
      </c>
      <c r="FH1" s="113" t="s">
        <v>676</v>
      </c>
      <c r="FI1" s="113" t="s">
        <v>677</v>
      </c>
      <c r="FJ1" s="113" t="s">
        <v>678</v>
      </c>
      <c r="FK1" s="113" t="s">
        <v>679</v>
      </c>
      <c r="FL1" s="113" t="s">
        <v>680</v>
      </c>
      <c r="FM1" s="113" t="s">
        <v>681</v>
      </c>
      <c r="FN1" s="113" t="s">
        <v>682</v>
      </c>
      <c r="FO1" s="113" t="s">
        <v>683</v>
      </c>
      <c r="FP1" s="113" t="s">
        <v>684</v>
      </c>
      <c r="FQ1" s="113" t="s">
        <v>685</v>
      </c>
      <c r="FR1" s="113" t="s">
        <v>686</v>
      </c>
      <c r="FS1" s="113" t="s">
        <v>687</v>
      </c>
      <c r="FT1" s="113" t="s">
        <v>688</v>
      </c>
      <c r="FU1" s="113" t="s">
        <v>689</v>
      </c>
      <c r="FV1" s="113" t="s">
        <v>690</v>
      </c>
      <c r="FW1" s="113" t="s">
        <v>691</v>
      </c>
      <c r="FX1" s="113" t="s">
        <v>692</v>
      </c>
      <c r="FY1" s="113" t="s">
        <v>693</v>
      </c>
      <c r="FZ1" s="113" t="s">
        <v>694</v>
      </c>
      <c r="GA1" s="113" t="s">
        <v>695</v>
      </c>
      <c r="GB1" s="113" t="s">
        <v>696</v>
      </c>
      <c r="GC1" s="113" t="s">
        <v>697</v>
      </c>
      <c r="GD1" s="113" t="s">
        <v>698</v>
      </c>
      <c r="GE1" s="113" t="s">
        <v>699</v>
      </c>
      <c r="GF1" s="113" t="s">
        <v>700</v>
      </c>
      <c r="GG1" s="113" t="s">
        <v>701</v>
      </c>
      <c r="GH1" s="113" t="s">
        <v>702</v>
      </c>
      <c r="GI1" s="113" t="s">
        <v>703</v>
      </c>
      <c r="GJ1" s="113" t="s">
        <v>704</v>
      </c>
      <c r="GK1" s="113" t="s">
        <v>705</v>
      </c>
      <c r="GL1" s="113" t="s">
        <v>706</v>
      </c>
      <c r="GM1" s="113" t="s">
        <v>707</v>
      </c>
      <c r="GN1" s="113" t="s">
        <v>708</v>
      </c>
      <c r="GO1" s="113" t="s">
        <v>709</v>
      </c>
      <c r="GP1" s="113" t="s">
        <v>710</v>
      </c>
      <c r="GQ1" s="113" t="s">
        <v>711</v>
      </c>
      <c r="GR1" s="113" t="s">
        <v>712</v>
      </c>
      <c r="GS1" s="113" t="s">
        <v>713</v>
      </c>
      <c r="GT1" s="113" t="s">
        <v>714</v>
      </c>
      <c r="GU1" s="113" t="s">
        <v>715</v>
      </c>
      <c r="GV1" s="113" t="s">
        <v>716</v>
      </c>
      <c r="GW1" s="113" t="s">
        <v>717</v>
      </c>
      <c r="GX1" s="113" t="s">
        <v>718</v>
      </c>
      <c r="GY1" s="113" t="s">
        <v>719</v>
      </c>
      <c r="GZ1" s="113" t="s">
        <v>720</v>
      </c>
      <c r="HA1" s="120" t="s">
        <v>721</v>
      </c>
      <c r="HB1" s="120" t="s">
        <v>722</v>
      </c>
      <c r="HC1" s="120" t="s">
        <v>723</v>
      </c>
    </row>
    <row r="2" spans="1:211" ht="31.15" customHeight="1" x14ac:dyDescent="0.25">
      <c r="A2" s="113" t="s">
        <v>38</v>
      </c>
      <c r="B2" s="114" t="s">
        <v>39</v>
      </c>
      <c r="C2" s="114" t="s">
        <v>40</v>
      </c>
      <c r="D2" s="118" t="s">
        <v>41</v>
      </c>
      <c r="E2" s="118"/>
      <c r="F2" s="118"/>
      <c r="G2" s="118"/>
      <c r="H2" s="118"/>
      <c r="I2" s="118"/>
      <c r="J2" s="118"/>
      <c r="K2" s="118"/>
      <c r="L2" s="118"/>
      <c r="M2" s="118"/>
      <c r="N2" s="114" t="s">
        <v>42</v>
      </c>
      <c r="O2" s="114"/>
      <c r="P2" s="114"/>
      <c r="Q2" s="114"/>
      <c r="R2" s="114"/>
      <c r="S2" s="114"/>
      <c r="T2" s="114"/>
      <c r="U2" s="114"/>
      <c r="V2" s="114" t="s">
        <v>43</v>
      </c>
      <c r="W2" s="113" t="s">
        <v>44</v>
      </c>
      <c r="X2" s="113" t="s">
        <v>45</v>
      </c>
      <c r="Y2" s="113" t="s">
        <v>46</v>
      </c>
      <c r="Z2" s="113"/>
      <c r="AA2" s="113"/>
      <c r="AB2" s="113"/>
      <c r="AC2" s="113" t="s">
        <v>47</v>
      </c>
      <c r="AD2" s="115" t="s">
        <v>48</v>
      </c>
      <c r="AE2" s="119" t="s">
        <v>49</v>
      </c>
      <c r="AF2" s="113" t="s">
        <v>50</v>
      </c>
      <c r="AG2" s="113" t="s">
        <v>52</v>
      </c>
      <c r="AH2" s="113"/>
      <c r="AI2" s="113" t="s">
        <v>4</v>
      </c>
      <c r="AJ2" s="113" t="s">
        <v>51</v>
      </c>
      <c r="AK2" s="113" t="s">
        <v>6</v>
      </c>
      <c r="AL2" s="113" t="s">
        <v>53</v>
      </c>
      <c r="AM2" s="116" t="s">
        <v>8</v>
      </c>
      <c r="AN2" s="116" t="s">
        <v>9</v>
      </c>
      <c r="AO2" s="116" t="s">
        <v>10</v>
      </c>
      <c r="AP2" s="116" t="s">
        <v>11</v>
      </c>
      <c r="AQ2" s="116" t="s">
        <v>12</v>
      </c>
      <c r="AR2" s="116" t="s">
        <v>13</v>
      </c>
      <c r="AS2" s="116" t="s">
        <v>14</v>
      </c>
      <c r="AT2" s="116" t="s">
        <v>15</v>
      </c>
      <c r="AU2" s="116" t="s">
        <v>16</v>
      </c>
      <c r="AV2" s="116" t="s">
        <v>17</v>
      </c>
      <c r="AW2" s="116" t="s">
        <v>18</v>
      </c>
      <c r="AX2" s="116" t="s">
        <v>19</v>
      </c>
      <c r="AY2" s="116" t="s">
        <v>20</v>
      </c>
      <c r="AZ2" s="116" t="s">
        <v>21</v>
      </c>
      <c r="BA2" s="116" t="s">
        <v>22</v>
      </c>
      <c r="BB2" s="116" t="s">
        <v>23</v>
      </c>
      <c r="BC2" s="116" t="s">
        <v>24</v>
      </c>
      <c r="BD2" s="116" t="s">
        <v>25</v>
      </c>
      <c r="BE2" s="113" t="s">
        <v>26</v>
      </c>
      <c r="BF2" s="117" t="s">
        <v>54</v>
      </c>
      <c r="BG2" s="113" t="s">
        <v>55</v>
      </c>
      <c r="BH2" s="113" t="s">
        <v>56</v>
      </c>
      <c r="BI2" s="113" t="s">
        <v>57</v>
      </c>
      <c r="BJ2" s="113" t="s">
        <v>58</v>
      </c>
      <c r="BK2" s="113" t="s">
        <v>59</v>
      </c>
      <c r="BL2" s="113" t="s">
        <v>60</v>
      </c>
      <c r="BM2" s="113" t="s">
        <v>61</v>
      </c>
      <c r="BN2" s="113" t="s">
        <v>62</v>
      </c>
      <c r="BO2" s="113" t="s">
        <v>63</v>
      </c>
      <c r="BP2" s="113" t="s">
        <v>64</v>
      </c>
      <c r="BQ2" s="113" t="s">
        <v>65</v>
      </c>
      <c r="BR2" s="113" t="s">
        <v>66</v>
      </c>
      <c r="BS2" s="113" t="s">
        <v>67</v>
      </c>
      <c r="BT2" s="113" t="s">
        <v>68</v>
      </c>
      <c r="BU2" s="113" t="s">
        <v>69</v>
      </c>
      <c r="BV2" s="113" t="s">
        <v>70</v>
      </c>
      <c r="BW2" s="113" t="s">
        <v>71</v>
      </c>
      <c r="BX2" s="113" t="s">
        <v>72</v>
      </c>
      <c r="BY2" s="113" t="s">
        <v>73</v>
      </c>
      <c r="BZ2" s="113" t="s">
        <v>74</v>
      </c>
      <c r="CA2" s="113" t="s">
        <v>75</v>
      </c>
      <c r="CB2" s="113" t="s">
        <v>76</v>
      </c>
      <c r="CC2" s="113" t="s">
        <v>77</v>
      </c>
      <c r="CD2" s="113" t="s">
        <v>78</v>
      </c>
      <c r="CE2" s="113" t="s">
        <v>79</v>
      </c>
      <c r="CF2" s="113" t="s">
        <v>80</v>
      </c>
      <c r="CG2" s="113" t="s">
        <v>81</v>
      </c>
      <c r="CH2" s="113" t="s">
        <v>82</v>
      </c>
      <c r="CI2" s="113" t="s">
        <v>83</v>
      </c>
      <c r="CJ2" s="113" t="s">
        <v>84</v>
      </c>
      <c r="CK2" s="113" t="s">
        <v>85</v>
      </c>
      <c r="CL2" s="113" t="s">
        <v>86</v>
      </c>
      <c r="CM2" s="113" t="s">
        <v>87</v>
      </c>
      <c r="CN2" s="113" t="s">
        <v>88</v>
      </c>
      <c r="CO2" s="113" t="s">
        <v>89</v>
      </c>
      <c r="CP2" s="113" t="s">
        <v>90</v>
      </c>
      <c r="CQ2" s="113" t="s">
        <v>91</v>
      </c>
      <c r="CR2" s="113" t="s">
        <v>92</v>
      </c>
      <c r="CS2" s="113" t="s">
        <v>93</v>
      </c>
      <c r="CT2" s="113" t="s">
        <v>94</v>
      </c>
      <c r="CU2" s="113" t="s">
        <v>95</v>
      </c>
      <c r="CV2" s="113" t="s">
        <v>96</v>
      </c>
      <c r="CW2" s="113" t="s">
        <v>97</v>
      </c>
      <c r="CX2" s="113" t="s">
        <v>98</v>
      </c>
      <c r="CY2" s="113" t="s">
        <v>99</v>
      </c>
      <c r="CZ2" s="113" t="s">
        <v>100</v>
      </c>
      <c r="DA2" s="113" t="s">
        <v>101</v>
      </c>
      <c r="DB2" s="113" t="s">
        <v>102</v>
      </c>
      <c r="DC2" s="113" t="s">
        <v>103</v>
      </c>
      <c r="DD2" s="113" t="s">
        <v>104</v>
      </c>
      <c r="DE2" s="113" t="s">
        <v>105</v>
      </c>
      <c r="DF2" s="113" t="s">
        <v>106</v>
      </c>
      <c r="DG2" s="113" t="s">
        <v>107</v>
      </c>
      <c r="DH2" s="113" t="s">
        <v>108</v>
      </c>
      <c r="DI2" s="113" t="s">
        <v>109</v>
      </c>
      <c r="DJ2" s="113" t="s">
        <v>110</v>
      </c>
      <c r="DK2" s="113" t="s">
        <v>111</v>
      </c>
      <c r="DL2" s="113" t="s">
        <v>112</v>
      </c>
      <c r="DM2" s="113" t="s">
        <v>113</v>
      </c>
      <c r="DN2" s="113" t="s">
        <v>114</v>
      </c>
      <c r="DO2" s="113" t="s">
        <v>115</v>
      </c>
      <c r="DP2" s="113" t="s">
        <v>116</v>
      </c>
      <c r="DQ2" s="113" t="s">
        <v>117</v>
      </c>
      <c r="DR2" s="113" t="s">
        <v>118</v>
      </c>
      <c r="DS2" s="113" t="s">
        <v>119</v>
      </c>
      <c r="DT2" s="113" t="s">
        <v>120</v>
      </c>
      <c r="DU2" s="113" t="s">
        <v>121</v>
      </c>
      <c r="DV2" s="113" t="s">
        <v>122</v>
      </c>
      <c r="DW2" s="113" t="s">
        <v>123</v>
      </c>
      <c r="DX2" s="113" t="s">
        <v>124</v>
      </c>
      <c r="DY2" s="113" t="s">
        <v>125</v>
      </c>
      <c r="DZ2" s="113" t="s">
        <v>126</v>
      </c>
      <c r="EA2" s="113" t="s">
        <v>127</v>
      </c>
      <c r="EB2" s="113" t="s">
        <v>128</v>
      </c>
      <c r="EC2" s="113" t="s">
        <v>129</v>
      </c>
      <c r="ED2" s="113" t="s">
        <v>130</v>
      </c>
      <c r="EE2" s="113" t="s">
        <v>131</v>
      </c>
      <c r="EF2" s="113" t="s">
        <v>132</v>
      </c>
      <c r="EG2" s="113" t="s">
        <v>133</v>
      </c>
      <c r="EH2" s="113" t="s">
        <v>134</v>
      </c>
      <c r="EI2" s="113" t="s">
        <v>135</v>
      </c>
      <c r="EJ2" s="113" t="s">
        <v>136</v>
      </c>
      <c r="EK2" s="113" t="s">
        <v>137</v>
      </c>
      <c r="EL2" s="113" t="s">
        <v>138</v>
      </c>
      <c r="EM2" s="113" t="s">
        <v>139</v>
      </c>
      <c r="EN2" s="113" t="s">
        <v>140</v>
      </c>
      <c r="EO2" s="113" t="s">
        <v>141</v>
      </c>
      <c r="EP2" s="113" t="s">
        <v>142</v>
      </c>
      <c r="EQ2" s="113" t="s">
        <v>143</v>
      </c>
      <c r="ER2" s="113" t="s">
        <v>144</v>
      </c>
      <c r="ES2" s="113" t="s">
        <v>145</v>
      </c>
      <c r="ET2" s="113" t="s">
        <v>146</v>
      </c>
      <c r="EU2" s="113" t="s">
        <v>147</v>
      </c>
      <c r="EV2" s="113" t="s">
        <v>148</v>
      </c>
      <c r="EW2" s="113" t="s">
        <v>149</v>
      </c>
      <c r="EX2" s="113" t="s">
        <v>150</v>
      </c>
      <c r="EY2" s="113" t="s">
        <v>151</v>
      </c>
      <c r="EZ2" s="113" t="s">
        <v>152</v>
      </c>
      <c r="FA2" s="113" t="s">
        <v>153</v>
      </c>
      <c r="FB2" s="113" t="s">
        <v>154</v>
      </c>
      <c r="FC2" s="113" t="s">
        <v>155</v>
      </c>
      <c r="FD2" s="113" t="s">
        <v>156</v>
      </c>
      <c r="FE2" s="113" t="s">
        <v>157</v>
      </c>
      <c r="FF2" s="113" t="s">
        <v>158</v>
      </c>
      <c r="FG2" s="113" t="s">
        <v>159</v>
      </c>
      <c r="FH2" s="113" t="s">
        <v>160</v>
      </c>
      <c r="FI2" s="113" t="s">
        <v>161</v>
      </c>
      <c r="FJ2" s="113" t="s">
        <v>162</v>
      </c>
      <c r="FK2" s="113" t="s">
        <v>163</v>
      </c>
      <c r="FL2" s="113" t="s">
        <v>164</v>
      </c>
      <c r="FM2" s="113" t="s">
        <v>165</v>
      </c>
      <c r="FN2" s="113" t="s">
        <v>166</v>
      </c>
      <c r="FO2" s="113" t="s">
        <v>167</v>
      </c>
      <c r="FP2" s="113" t="s">
        <v>168</v>
      </c>
      <c r="FQ2" s="113" t="s">
        <v>169</v>
      </c>
      <c r="FR2" s="113" t="s">
        <v>170</v>
      </c>
      <c r="FS2" s="113" t="s">
        <v>171</v>
      </c>
      <c r="FT2" s="113" t="s">
        <v>172</v>
      </c>
      <c r="FU2" s="113" t="s">
        <v>173</v>
      </c>
      <c r="FV2" s="113" t="s">
        <v>174</v>
      </c>
      <c r="FW2" s="113" t="s">
        <v>175</v>
      </c>
      <c r="FX2" s="113" t="s">
        <v>176</v>
      </c>
      <c r="FY2" s="113" t="s">
        <v>177</v>
      </c>
      <c r="FZ2" s="113" t="s">
        <v>178</v>
      </c>
      <c r="GA2" s="113" t="s">
        <v>179</v>
      </c>
      <c r="GB2" s="113" t="s">
        <v>180</v>
      </c>
      <c r="GC2" s="113" t="s">
        <v>181</v>
      </c>
      <c r="GD2" s="113" t="s">
        <v>182</v>
      </c>
      <c r="GE2" s="113" t="s">
        <v>183</v>
      </c>
      <c r="GF2" s="113" t="s">
        <v>184</v>
      </c>
      <c r="GG2" s="113" t="s">
        <v>185</v>
      </c>
      <c r="GH2" s="113" t="s">
        <v>186</v>
      </c>
      <c r="GI2" s="113" t="s">
        <v>187</v>
      </c>
      <c r="GJ2" s="113" t="s">
        <v>188</v>
      </c>
      <c r="GK2" s="113" t="s">
        <v>189</v>
      </c>
      <c r="GL2" s="113" t="s">
        <v>190</v>
      </c>
      <c r="GM2" s="113" t="s">
        <v>191</v>
      </c>
      <c r="GN2" s="113" t="s">
        <v>192</v>
      </c>
      <c r="GO2" s="113" t="s">
        <v>193</v>
      </c>
      <c r="GP2" s="113" t="s">
        <v>194</v>
      </c>
      <c r="GQ2" s="113" t="s">
        <v>195</v>
      </c>
      <c r="GR2" s="113" t="s">
        <v>196</v>
      </c>
      <c r="GS2" s="113" t="s">
        <v>197</v>
      </c>
      <c r="GT2" s="113" t="s">
        <v>198</v>
      </c>
      <c r="GU2" s="113" t="s">
        <v>199</v>
      </c>
      <c r="GV2" s="113" t="s">
        <v>200</v>
      </c>
      <c r="GW2" s="113" t="s">
        <v>201</v>
      </c>
      <c r="GX2" s="113" t="s">
        <v>202</v>
      </c>
      <c r="GY2" s="113" t="s">
        <v>203</v>
      </c>
      <c r="GZ2" s="113" t="s">
        <v>204</v>
      </c>
    </row>
    <row r="3" spans="1:211" ht="22.9" customHeight="1" x14ac:dyDescent="0.25">
      <c r="A3" s="113"/>
      <c r="B3" s="114"/>
      <c r="C3" s="114"/>
      <c r="D3" s="114" t="s">
        <v>205</v>
      </c>
      <c r="E3" s="114"/>
      <c r="F3" s="118" t="s">
        <v>206</v>
      </c>
      <c r="G3" s="118"/>
      <c r="H3" s="114" t="s">
        <v>207</v>
      </c>
      <c r="I3" s="114"/>
      <c r="J3" s="114" t="s">
        <v>208</v>
      </c>
      <c r="K3" s="114"/>
      <c r="L3" s="114" t="s">
        <v>209</v>
      </c>
      <c r="M3" s="114"/>
      <c r="N3" s="118" t="s">
        <v>206</v>
      </c>
      <c r="O3" s="118"/>
      <c r="P3" s="114" t="s">
        <v>207</v>
      </c>
      <c r="Q3" s="114"/>
      <c r="R3" s="114" t="s">
        <v>208</v>
      </c>
      <c r="S3" s="114"/>
      <c r="T3" s="114" t="s">
        <v>209</v>
      </c>
      <c r="U3" s="114"/>
      <c r="V3" s="114"/>
      <c r="W3" s="113"/>
      <c r="X3" s="113"/>
      <c r="Y3" s="113" t="s">
        <v>220</v>
      </c>
      <c r="Z3" s="113" t="s">
        <v>211</v>
      </c>
      <c r="AA3" s="113"/>
      <c r="AB3" s="113"/>
      <c r="AC3" s="113"/>
      <c r="AD3" s="115"/>
      <c r="AE3" s="119"/>
      <c r="AF3" s="113"/>
      <c r="AG3" s="113" t="s">
        <v>212</v>
      </c>
      <c r="AH3" s="113" t="s">
        <v>213</v>
      </c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7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3"/>
      <c r="DF3" s="113"/>
      <c r="DG3" s="113"/>
      <c r="DH3" s="113"/>
      <c r="DI3" s="113"/>
      <c r="DJ3" s="113"/>
      <c r="DK3" s="113"/>
      <c r="DL3" s="113"/>
      <c r="DM3" s="113"/>
      <c r="DN3" s="113"/>
      <c r="DO3" s="113"/>
      <c r="DP3" s="113"/>
      <c r="DQ3" s="113"/>
      <c r="DR3" s="113"/>
      <c r="DS3" s="113"/>
      <c r="DT3" s="113"/>
      <c r="DU3" s="113"/>
      <c r="DV3" s="113"/>
      <c r="DW3" s="113"/>
      <c r="DX3" s="113"/>
      <c r="DY3" s="113"/>
      <c r="DZ3" s="113"/>
      <c r="EA3" s="113"/>
      <c r="EB3" s="113"/>
      <c r="EC3" s="113"/>
      <c r="ED3" s="113"/>
      <c r="EE3" s="113"/>
      <c r="EF3" s="113"/>
      <c r="EG3" s="113"/>
      <c r="EH3" s="113"/>
      <c r="EI3" s="113"/>
      <c r="EJ3" s="113"/>
      <c r="EK3" s="113"/>
      <c r="EL3" s="113"/>
      <c r="EM3" s="113"/>
      <c r="EN3" s="113"/>
      <c r="EO3" s="113"/>
      <c r="EP3" s="113"/>
      <c r="EQ3" s="113"/>
      <c r="ER3" s="113"/>
      <c r="ES3" s="113"/>
      <c r="ET3" s="113"/>
      <c r="EU3" s="113"/>
      <c r="EV3" s="113"/>
      <c r="EW3" s="113"/>
      <c r="EX3" s="113"/>
      <c r="EY3" s="113"/>
      <c r="EZ3" s="113"/>
      <c r="FA3" s="113"/>
      <c r="FB3" s="113"/>
      <c r="FC3" s="113"/>
      <c r="FD3" s="113"/>
      <c r="FE3" s="113"/>
      <c r="FF3" s="113"/>
      <c r="FG3" s="113"/>
      <c r="FH3" s="113"/>
      <c r="FI3" s="113"/>
      <c r="FJ3" s="113"/>
      <c r="FK3" s="113"/>
      <c r="FL3" s="113"/>
      <c r="FM3" s="113"/>
      <c r="FN3" s="113"/>
      <c r="FO3" s="113"/>
      <c r="FP3" s="113"/>
      <c r="FQ3" s="113"/>
      <c r="FR3" s="113"/>
      <c r="FS3" s="113"/>
      <c r="FT3" s="113"/>
      <c r="FU3" s="113"/>
      <c r="FV3" s="113"/>
      <c r="FW3" s="113"/>
      <c r="FX3" s="113"/>
      <c r="FY3" s="113"/>
      <c r="FZ3" s="113"/>
      <c r="GA3" s="113"/>
      <c r="GB3" s="113"/>
      <c r="GC3" s="113"/>
      <c r="GD3" s="113"/>
      <c r="GE3" s="113"/>
      <c r="GF3" s="113"/>
      <c r="GG3" s="113"/>
      <c r="GH3" s="113"/>
      <c r="GI3" s="113"/>
      <c r="GJ3" s="113"/>
      <c r="GK3" s="113"/>
      <c r="GL3" s="113"/>
      <c r="GM3" s="113"/>
      <c r="GN3" s="113"/>
      <c r="GO3" s="113"/>
      <c r="GP3" s="113"/>
      <c r="GQ3" s="113"/>
      <c r="GR3" s="113"/>
      <c r="GS3" s="113"/>
      <c r="GT3" s="113"/>
      <c r="GU3" s="113"/>
      <c r="GV3" s="113"/>
      <c r="GW3" s="113"/>
      <c r="GX3" s="113"/>
      <c r="GY3" s="113"/>
      <c r="GZ3" s="113"/>
    </row>
    <row r="4" spans="1:211" x14ac:dyDescent="0.25">
      <c r="A4" s="113"/>
      <c r="B4" s="114"/>
      <c r="C4" s="114"/>
      <c r="D4" s="120" t="s">
        <v>214</v>
      </c>
      <c r="E4" s="120" t="s">
        <v>215</v>
      </c>
      <c r="F4" s="120" t="s">
        <v>214</v>
      </c>
      <c r="G4" s="120" t="s">
        <v>215</v>
      </c>
      <c r="H4" s="120" t="s">
        <v>214</v>
      </c>
      <c r="I4" s="120" t="s">
        <v>215</v>
      </c>
      <c r="J4" s="120" t="s">
        <v>214</v>
      </c>
      <c r="K4" s="120" t="s">
        <v>215</v>
      </c>
      <c r="L4" s="120" t="s">
        <v>214</v>
      </c>
      <c r="M4" s="120" t="s">
        <v>215</v>
      </c>
      <c r="N4" s="120" t="s">
        <v>214</v>
      </c>
      <c r="O4" s="120" t="s">
        <v>215</v>
      </c>
      <c r="P4" s="120" t="s">
        <v>214</v>
      </c>
      <c r="Q4" s="120" t="s">
        <v>215</v>
      </c>
      <c r="R4" s="120" t="s">
        <v>214</v>
      </c>
      <c r="S4" s="120" t="s">
        <v>215</v>
      </c>
      <c r="T4" s="120" t="s">
        <v>214</v>
      </c>
      <c r="U4" s="120" t="s">
        <v>215</v>
      </c>
      <c r="V4" s="114"/>
      <c r="W4" s="113"/>
      <c r="X4" s="113"/>
      <c r="Y4" s="113"/>
      <c r="Z4" s="113" t="s">
        <v>216</v>
      </c>
      <c r="AA4" s="113" t="s">
        <v>217</v>
      </c>
      <c r="AB4" s="113" t="s">
        <v>218</v>
      </c>
    </row>
    <row r="5" spans="1:211" x14ac:dyDescent="0.25">
      <c r="A5" s="120">
        <v>1</v>
      </c>
      <c r="B5" s="123">
        <v>46136</v>
      </c>
      <c r="C5" s="120" t="s">
        <v>222</v>
      </c>
      <c r="W5" s="120" t="s">
        <v>223</v>
      </c>
      <c r="Y5" s="120" t="s">
        <v>224</v>
      </c>
      <c r="Z5" s="120">
        <v>100</v>
      </c>
      <c r="AA5" s="120">
        <v>500</v>
      </c>
      <c r="AB5" s="120">
        <v>85</v>
      </c>
      <c r="AC5" s="118">
        <v>1</v>
      </c>
      <c r="AD5" s="121" t="s">
        <v>238</v>
      </c>
      <c r="AE5" s="120">
        <v>3</v>
      </c>
      <c r="AF5" s="120">
        <v>10.5</v>
      </c>
      <c r="AG5" s="120">
        <v>10.18</v>
      </c>
      <c r="AH5" s="120">
        <v>10.34</v>
      </c>
      <c r="AI5" s="120" t="s">
        <v>239</v>
      </c>
      <c r="AJ5" s="120">
        <v>1</v>
      </c>
      <c r="AK5" s="120">
        <v>1</v>
      </c>
      <c r="AL5" s="120">
        <v>0</v>
      </c>
    </row>
    <row r="6" spans="1:211" x14ac:dyDescent="0.25">
      <c r="AC6" s="124"/>
      <c r="AD6" s="125"/>
      <c r="AE6" s="124"/>
      <c r="AF6" s="124"/>
      <c r="AG6" s="126"/>
      <c r="AH6" s="126"/>
      <c r="AI6" s="124"/>
      <c r="AJ6" s="127" t="s">
        <v>31</v>
      </c>
      <c r="AL6" s="120">
        <v>14.3</v>
      </c>
    </row>
    <row r="7" spans="1:211" s="128" customFormat="1" x14ac:dyDescent="0.25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4"/>
      <c r="AD7" s="125"/>
      <c r="AE7" s="124"/>
      <c r="AF7" s="124"/>
      <c r="AG7" s="126"/>
      <c r="AH7" s="126"/>
      <c r="AI7" s="124"/>
      <c r="AJ7" s="127" t="s">
        <v>33</v>
      </c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2"/>
      <c r="BG7" s="120"/>
      <c r="BH7" s="120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  <c r="BU7" s="120"/>
      <c r="BV7" s="120"/>
      <c r="BW7" s="120"/>
      <c r="BX7" s="120"/>
      <c r="BY7" s="120"/>
      <c r="BZ7" s="120"/>
      <c r="CA7" s="120"/>
      <c r="CB7" s="120"/>
      <c r="CC7" s="120"/>
      <c r="CD7" s="120"/>
      <c r="CE7" s="120"/>
      <c r="CF7" s="120"/>
      <c r="CG7" s="120"/>
      <c r="CH7" s="120"/>
      <c r="CI7" s="120"/>
      <c r="CJ7" s="120"/>
      <c r="CK7" s="120"/>
      <c r="CL7" s="120"/>
      <c r="CM7" s="120"/>
      <c r="CN7" s="120"/>
      <c r="CO7" s="120"/>
      <c r="CP7" s="120"/>
      <c r="CQ7" s="120"/>
      <c r="CR7" s="120"/>
      <c r="CS7" s="120"/>
      <c r="CT7" s="120"/>
      <c r="CU7" s="120"/>
      <c r="CV7" s="120"/>
      <c r="CW7" s="120"/>
      <c r="CX7" s="120"/>
      <c r="CY7" s="120"/>
      <c r="CZ7" s="120"/>
      <c r="DA7" s="120"/>
      <c r="DB7" s="120"/>
      <c r="DC7" s="120"/>
      <c r="DD7" s="120"/>
      <c r="DE7" s="120"/>
      <c r="DF7" s="120"/>
      <c r="DG7" s="120"/>
      <c r="DH7" s="120"/>
      <c r="DI7" s="120"/>
      <c r="DJ7" s="120"/>
      <c r="DK7" s="120"/>
      <c r="DL7" s="120"/>
      <c r="DM7" s="120"/>
      <c r="DN7" s="120"/>
      <c r="DO7" s="120"/>
      <c r="DP7" s="120"/>
      <c r="DQ7" s="120"/>
      <c r="DR7" s="120"/>
      <c r="DS7" s="120"/>
      <c r="DT7" s="120"/>
      <c r="DU7" s="120"/>
      <c r="DV7" s="120"/>
      <c r="DW7" s="120"/>
      <c r="DX7" s="120"/>
      <c r="DY7" s="120"/>
      <c r="DZ7" s="120"/>
      <c r="EA7" s="120"/>
      <c r="EB7" s="120"/>
      <c r="EC7" s="120"/>
      <c r="ED7" s="120"/>
      <c r="EE7" s="120"/>
      <c r="EF7" s="120"/>
      <c r="EG7" s="120"/>
      <c r="EH7" s="120"/>
      <c r="EI7" s="120"/>
      <c r="EJ7" s="120"/>
      <c r="EK7" s="120"/>
      <c r="EL7" s="120"/>
      <c r="EM7" s="120"/>
      <c r="EN7" s="120"/>
      <c r="EO7" s="120"/>
      <c r="EP7" s="120"/>
      <c r="EQ7" s="120"/>
      <c r="ER7" s="120"/>
      <c r="ES7" s="120"/>
      <c r="ET7" s="120"/>
      <c r="EU7" s="120"/>
      <c r="EV7" s="120"/>
      <c r="EW7" s="120"/>
      <c r="EX7" s="120"/>
      <c r="EY7" s="120"/>
      <c r="EZ7" s="120"/>
      <c r="FA7" s="120"/>
      <c r="FB7" s="120"/>
      <c r="FC7" s="120"/>
      <c r="FD7" s="120"/>
      <c r="FE7" s="120"/>
      <c r="FF7" s="120"/>
      <c r="FG7" s="120"/>
      <c r="FH7" s="120"/>
      <c r="FI7" s="120"/>
      <c r="FJ7" s="120"/>
      <c r="FK7" s="120"/>
      <c r="FL7" s="120"/>
      <c r="FM7" s="120"/>
      <c r="FN7" s="120"/>
      <c r="FO7" s="120"/>
      <c r="FP7" s="120"/>
      <c r="FQ7" s="120"/>
      <c r="FR7" s="120"/>
      <c r="FS7" s="120"/>
      <c r="FT7" s="120"/>
      <c r="FU7" s="120"/>
      <c r="FV7" s="120"/>
      <c r="FW7" s="120"/>
      <c r="FX7" s="120"/>
      <c r="FY7" s="120"/>
      <c r="FZ7" s="120"/>
      <c r="GA7" s="120"/>
      <c r="GB7" s="120"/>
      <c r="GC7" s="120"/>
      <c r="GD7" s="120"/>
      <c r="GE7" s="120"/>
      <c r="GF7" s="120"/>
      <c r="GG7" s="120"/>
      <c r="GH7" s="120"/>
      <c r="GI7" s="120"/>
      <c r="GJ7" s="120"/>
      <c r="GK7" s="120"/>
      <c r="GL7" s="120"/>
      <c r="GM7" s="120"/>
      <c r="GN7" s="120"/>
      <c r="GO7" s="120"/>
      <c r="GP7" s="120"/>
      <c r="GQ7" s="120"/>
      <c r="GR7" s="120"/>
      <c r="GS7" s="120"/>
      <c r="GT7" s="120"/>
      <c r="GU7" s="120"/>
      <c r="GV7" s="120"/>
      <c r="GW7" s="120"/>
      <c r="GX7" s="120"/>
      <c r="GY7" s="120"/>
      <c r="GZ7" s="120"/>
      <c r="HA7" s="120"/>
      <c r="HB7" s="120"/>
      <c r="HC7" s="120"/>
    </row>
    <row r="8" spans="1:211" x14ac:dyDescent="0.25">
      <c r="AC8" s="124"/>
      <c r="AD8" s="125"/>
      <c r="AE8" s="124"/>
      <c r="AF8" s="124"/>
      <c r="AG8" s="126"/>
      <c r="AH8" s="126"/>
      <c r="AI8" s="124"/>
      <c r="AJ8" s="127" t="s">
        <v>35</v>
      </c>
      <c r="AL8" s="129" t="s">
        <v>225</v>
      </c>
      <c r="EO8" s="128"/>
      <c r="EP8" s="128"/>
      <c r="EQ8" s="128"/>
      <c r="ER8" s="128"/>
      <c r="ES8" s="128"/>
      <c r="ET8" s="128"/>
      <c r="EU8" s="128"/>
      <c r="EV8" s="128"/>
      <c r="EW8" s="128"/>
      <c r="EX8" s="128"/>
      <c r="EY8" s="128"/>
      <c r="EZ8" s="128"/>
      <c r="FA8" s="128"/>
      <c r="FB8" s="128"/>
      <c r="FC8" s="128"/>
      <c r="FD8" s="128"/>
      <c r="FE8" s="128"/>
      <c r="FF8" s="128"/>
      <c r="FG8" s="128"/>
      <c r="FH8" s="128"/>
      <c r="FI8" s="128"/>
      <c r="FJ8" s="128"/>
      <c r="FK8" s="128"/>
      <c r="FL8" s="128"/>
      <c r="FM8" s="128"/>
      <c r="FN8" s="128"/>
      <c r="FO8" s="128"/>
      <c r="FP8" s="128"/>
      <c r="FQ8" s="128"/>
      <c r="FR8" s="128"/>
      <c r="FS8" s="128"/>
      <c r="FT8" s="128"/>
      <c r="FU8" s="128"/>
      <c r="FV8" s="128"/>
      <c r="FW8" s="128"/>
      <c r="FX8" s="128"/>
      <c r="FY8" s="128"/>
      <c r="FZ8" s="128"/>
      <c r="GA8" s="128"/>
      <c r="GB8" s="128"/>
      <c r="GC8" s="128"/>
      <c r="GD8" s="128"/>
      <c r="GE8" s="128"/>
      <c r="GF8" s="128"/>
      <c r="GG8" s="128"/>
      <c r="GH8" s="128"/>
      <c r="GI8" s="128"/>
      <c r="GJ8" s="128"/>
      <c r="GK8" s="128"/>
      <c r="GL8" s="128"/>
      <c r="GM8" s="128"/>
      <c r="GN8" s="128"/>
      <c r="GO8" s="128"/>
      <c r="GP8" s="128"/>
      <c r="GQ8" s="128"/>
      <c r="GR8" s="128"/>
      <c r="GS8" s="128"/>
      <c r="GT8" s="128"/>
      <c r="GU8" s="128"/>
      <c r="GV8" s="128"/>
      <c r="GW8" s="128"/>
      <c r="GX8" s="128"/>
      <c r="GY8" s="128"/>
      <c r="GZ8" s="128"/>
      <c r="HA8" s="128"/>
      <c r="HB8" s="128"/>
      <c r="HC8" s="128"/>
    </row>
    <row r="9" spans="1:211" x14ac:dyDescent="0.25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30"/>
      <c r="AD9" s="131"/>
      <c r="AE9" s="130"/>
      <c r="AF9" s="130"/>
      <c r="AG9" s="132"/>
      <c r="AH9" s="132"/>
      <c r="AI9" s="130"/>
      <c r="AJ9" s="133" t="s">
        <v>37</v>
      </c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</row>
    <row r="10" spans="1:211" x14ac:dyDescent="0.25">
      <c r="AC10" s="118"/>
      <c r="AI10" s="120" t="s">
        <v>240</v>
      </c>
      <c r="AJ10" s="120">
        <v>2</v>
      </c>
      <c r="AK10" s="120">
        <v>1</v>
      </c>
      <c r="AL10" s="120">
        <v>0</v>
      </c>
    </row>
    <row r="11" spans="1:211" x14ac:dyDescent="0.25">
      <c r="AC11" s="124"/>
      <c r="AD11" s="125"/>
      <c r="AE11" s="124"/>
      <c r="AF11" s="124"/>
      <c r="AG11" s="126"/>
      <c r="AH11" s="126"/>
      <c r="AI11" s="124"/>
      <c r="AJ11" s="127" t="s">
        <v>31</v>
      </c>
      <c r="AL11" s="120">
        <v>14.3</v>
      </c>
    </row>
    <row r="12" spans="1:211" s="128" customFormat="1" x14ac:dyDescent="0.25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4"/>
      <c r="AD12" s="125"/>
      <c r="AE12" s="124"/>
      <c r="AF12" s="124"/>
      <c r="AG12" s="126"/>
      <c r="AH12" s="126"/>
      <c r="AI12" s="124"/>
      <c r="AJ12" s="127" t="s">
        <v>33</v>
      </c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2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/>
      <c r="CH12" s="120"/>
      <c r="CI12" s="120"/>
      <c r="CJ12" s="120"/>
      <c r="CK12" s="120"/>
      <c r="CL12" s="120"/>
      <c r="CM12" s="120"/>
      <c r="CN12" s="120"/>
      <c r="CO12" s="120"/>
      <c r="CP12" s="120"/>
      <c r="CQ12" s="120"/>
      <c r="CR12" s="120"/>
      <c r="CS12" s="120"/>
      <c r="CT12" s="120"/>
      <c r="CU12" s="120"/>
      <c r="CV12" s="120"/>
      <c r="CW12" s="120"/>
      <c r="CX12" s="120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/>
      <c r="DJ12" s="120"/>
      <c r="DK12" s="120"/>
      <c r="DL12" s="120"/>
      <c r="DM12" s="120"/>
      <c r="DN12" s="120"/>
      <c r="DO12" s="120"/>
      <c r="DP12" s="120"/>
      <c r="DQ12" s="120"/>
      <c r="DR12" s="120"/>
      <c r="DS12" s="120"/>
      <c r="DT12" s="120"/>
      <c r="DU12" s="120"/>
      <c r="DV12" s="120"/>
      <c r="DW12" s="120"/>
      <c r="DX12" s="120"/>
      <c r="DY12" s="120"/>
      <c r="DZ12" s="120"/>
      <c r="EA12" s="120"/>
      <c r="EB12" s="120"/>
      <c r="EC12" s="120"/>
      <c r="ED12" s="120"/>
      <c r="EE12" s="120"/>
      <c r="EF12" s="120"/>
      <c r="EG12" s="120"/>
      <c r="EH12" s="120"/>
      <c r="EI12" s="120"/>
      <c r="EJ12" s="120"/>
      <c r="EK12" s="120"/>
      <c r="EL12" s="120"/>
      <c r="EM12" s="120"/>
      <c r="EN12" s="120"/>
      <c r="EO12" s="120"/>
      <c r="EP12" s="120"/>
      <c r="EQ12" s="120"/>
      <c r="ER12" s="120"/>
      <c r="ES12" s="120"/>
      <c r="ET12" s="120"/>
      <c r="EU12" s="120"/>
      <c r="EV12" s="120"/>
      <c r="EW12" s="120"/>
      <c r="EX12" s="120"/>
      <c r="EY12" s="120"/>
      <c r="EZ12" s="120"/>
      <c r="FA12" s="120"/>
      <c r="FB12" s="120"/>
      <c r="FC12" s="120"/>
      <c r="FD12" s="120"/>
      <c r="FE12" s="120"/>
      <c r="FF12" s="120"/>
      <c r="FG12" s="120"/>
      <c r="FH12" s="120"/>
      <c r="FI12" s="120"/>
      <c r="FJ12" s="120"/>
      <c r="FK12" s="120"/>
      <c r="FL12" s="120"/>
      <c r="FM12" s="120"/>
      <c r="FN12" s="120"/>
      <c r="FO12" s="120"/>
      <c r="FP12" s="120"/>
      <c r="FQ12" s="120"/>
      <c r="FR12" s="120"/>
      <c r="FS12" s="120"/>
      <c r="FT12" s="120"/>
      <c r="FU12" s="120"/>
      <c r="FV12" s="120"/>
      <c r="FW12" s="120"/>
      <c r="FX12" s="120"/>
      <c r="FY12" s="120"/>
      <c r="FZ12" s="120"/>
      <c r="GA12" s="120"/>
      <c r="GB12" s="120"/>
      <c r="GC12" s="120"/>
      <c r="GD12" s="120"/>
      <c r="GE12" s="120"/>
      <c r="GF12" s="120"/>
      <c r="GG12" s="120"/>
      <c r="GH12" s="120"/>
      <c r="GI12" s="120"/>
      <c r="GJ12" s="120"/>
      <c r="GK12" s="120"/>
      <c r="GL12" s="120"/>
      <c r="GM12" s="120"/>
      <c r="GN12" s="120"/>
      <c r="GO12" s="120"/>
      <c r="GP12" s="120"/>
      <c r="GQ12" s="120"/>
      <c r="GR12" s="120"/>
      <c r="GS12" s="120"/>
      <c r="GT12" s="120"/>
      <c r="GU12" s="120"/>
      <c r="GV12" s="120"/>
      <c r="GW12" s="120"/>
      <c r="GX12" s="120"/>
      <c r="GY12" s="120"/>
      <c r="GZ12" s="120"/>
      <c r="HA12" s="120"/>
      <c r="HB12" s="120"/>
      <c r="HC12" s="120"/>
    </row>
    <row r="13" spans="1:211" x14ac:dyDescent="0.25">
      <c r="AC13" s="124"/>
      <c r="AD13" s="125"/>
      <c r="AE13" s="124"/>
      <c r="AF13" s="124"/>
      <c r="AG13" s="126"/>
      <c r="AH13" s="126"/>
      <c r="AI13" s="124"/>
      <c r="AJ13" s="127" t="s">
        <v>35</v>
      </c>
      <c r="AL13" s="129" t="s">
        <v>225</v>
      </c>
      <c r="EO13" s="128"/>
      <c r="EP13" s="128"/>
      <c r="EQ13" s="128"/>
      <c r="ER13" s="128"/>
      <c r="ES13" s="128"/>
      <c r="ET13" s="128"/>
      <c r="EU13" s="128"/>
      <c r="EV13" s="128"/>
      <c r="EW13" s="128"/>
      <c r="EX13" s="128"/>
      <c r="EY13" s="128"/>
      <c r="EZ13" s="128"/>
      <c r="FA13" s="128"/>
      <c r="FB13" s="128"/>
      <c r="FC13" s="128"/>
      <c r="FD13" s="128"/>
      <c r="FE13" s="128"/>
      <c r="FF13" s="128"/>
      <c r="FG13" s="128"/>
      <c r="FH13" s="128"/>
      <c r="FI13" s="128"/>
      <c r="FJ13" s="128"/>
      <c r="FK13" s="128"/>
      <c r="FL13" s="128"/>
      <c r="FM13" s="128"/>
      <c r="FN13" s="128"/>
      <c r="FO13" s="128"/>
      <c r="FP13" s="128"/>
      <c r="FQ13" s="128"/>
      <c r="FR13" s="128"/>
      <c r="FS13" s="128"/>
      <c r="FT13" s="128"/>
      <c r="FU13" s="128"/>
      <c r="FV13" s="128"/>
      <c r="FW13" s="128"/>
      <c r="FX13" s="128"/>
      <c r="FY13" s="128"/>
      <c r="FZ13" s="128"/>
      <c r="GA13" s="128"/>
      <c r="GB13" s="128"/>
      <c r="GC13" s="128"/>
      <c r="GD13" s="128"/>
      <c r="GE13" s="128"/>
      <c r="GF13" s="128"/>
      <c r="GG13" s="128"/>
      <c r="GH13" s="128"/>
      <c r="GI13" s="128"/>
      <c r="GJ13" s="128"/>
      <c r="GK13" s="128"/>
      <c r="GL13" s="128"/>
      <c r="GM13" s="128"/>
      <c r="GN13" s="128"/>
      <c r="GO13" s="128"/>
      <c r="GP13" s="128"/>
      <c r="GQ13" s="128"/>
      <c r="GR13" s="128"/>
      <c r="GS13" s="128"/>
      <c r="GT13" s="128"/>
      <c r="GU13" s="128"/>
      <c r="GV13" s="128"/>
      <c r="GW13" s="128"/>
      <c r="GX13" s="128"/>
      <c r="GY13" s="128"/>
      <c r="GZ13" s="128"/>
      <c r="HA13" s="128"/>
      <c r="HB13" s="128"/>
      <c r="HC13" s="128"/>
    </row>
    <row r="14" spans="1:211" x14ac:dyDescent="0.25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30"/>
      <c r="AD14" s="131"/>
      <c r="AE14" s="130"/>
      <c r="AF14" s="130"/>
      <c r="AG14" s="132"/>
      <c r="AH14" s="132"/>
      <c r="AI14" s="130"/>
      <c r="AJ14" s="133" t="s">
        <v>37</v>
      </c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</row>
    <row r="15" spans="1:211" x14ac:dyDescent="0.25">
      <c r="AC15" s="118"/>
      <c r="AI15" s="120" t="s">
        <v>241</v>
      </c>
      <c r="AJ15" s="120">
        <v>3</v>
      </c>
      <c r="AK15" s="120">
        <v>1</v>
      </c>
      <c r="AU15" s="120">
        <v>1</v>
      </c>
      <c r="AY15" s="120">
        <v>1</v>
      </c>
      <c r="BA15" s="120">
        <v>1</v>
      </c>
      <c r="BB15" s="120">
        <v>0</v>
      </c>
    </row>
    <row r="16" spans="1:211" x14ac:dyDescent="0.25">
      <c r="AC16" s="124"/>
      <c r="AD16" s="125"/>
      <c r="AE16" s="124"/>
      <c r="AF16" s="124"/>
      <c r="AG16" s="126"/>
      <c r="AH16" s="126"/>
      <c r="AI16" s="124"/>
      <c r="AJ16" s="127" t="s">
        <v>31</v>
      </c>
      <c r="AU16" s="120">
        <v>14.3</v>
      </c>
      <c r="AY16" s="120">
        <v>16.059999999999999</v>
      </c>
      <c r="BA16" s="120">
        <v>16.059999999999999</v>
      </c>
      <c r="BB16" s="120">
        <v>17.309999999999999</v>
      </c>
    </row>
    <row r="17" spans="1:211" s="134" customFormat="1" x14ac:dyDescent="0.25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4"/>
      <c r="AD17" s="125"/>
      <c r="AE17" s="124"/>
      <c r="AF17" s="124"/>
      <c r="AG17" s="126"/>
      <c r="AH17" s="126"/>
      <c r="AI17" s="124"/>
      <c r="AJ17" s="127" t="s">
        <v>33</v>
      </c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9" t="s">
        <v>225</v>
      </c>
      <c r="BC17" s="120"/>
      <c r="BD17" s="120"/>
      <c r="BE17" s="120"/>
      <c r="BF17" s="122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0"/>
      <c r="CD17" s="120"/>
      <c r="CE17" s="120"/>
      <c r="CF17" s="120"/>
      <c r="CG17" s="120"/>
      <c r="CH17" s="120"/>
      <c r="CI17" s="120"/>
      <c r="CJ17" s="120"/>
      <c r="CK17" s="120"/>
      <c r="CL17" s="120"/>
      <c r="CM17" s="120"/>
      <c r="CN17" s="120"/>
      <c r="CO17" s="120"/>
      <c r="CP17" s="120"/>
      <c r="CQ17" s="120"/>
      <c r="CR17" s="120"/>
      <c r="CS17" s="120"/>
      <c r="CT17" s="120"/>
      <c r="CU17" s="120"/>
      <c r="CV17" s="120"/>
      <c r="CW17" s="120"/>
      <c r="CX17" s="120"/>
      <c r="CY17" s="120"/>
      <c r="CZ17" s="120"/>
      <c r="DA17" s="120"/>
      <c r="DB17" s="120"/>
      <c r="DC17" s="120"/>
      <c r="DD17" s="120"/>
      <c r="DE17" s="120"/>
      <c r="DF17" s="120"/>
      <c r="DG17" s="120"/>
      <c r="DH17" s="120"/>
      <c r="DI17" s="120"/>
      <c r="DJ17" s="120"/>
      <c r="DK17" s="120"/>
      <c r="DL17" s="120"/>
      <c r="DM17" s="120"/>
      <c r="DN17" s="120"/>
      <c r="DO17" s="120"/>
      <c r="DP17" s="120"/>
      <c r="DQ17" s="120"/>
      <c r="DR17" s="120"/>
      <c r="DS17" s="120"/>
      <c r="DT17" s="120"/>
      <c r="DU17" s="120"/>
      <c r="DV17" s="120"/>
      <c r="DW17" s="120"/>
      <c r="DX17" s="120"/>
      <c r="DY17" s="120"/>
      <c r="DZ17" s="120"/>
      <c r="EA17" s="120"/>
      <c r="EB17" s="120"/>
      <c r="EC17" s="120"/>
      <c r="ED17" s="120"/>
      <c r="EE17" s="120"/>
      <c r="EF17" s="120"/>
      <c r="EG17" s="120"/>
      <c r="EH17" s="120"/>
      <c r="EI17" s="120"/>
      <c r="EJ17" s="120"/>
      <c r="EK17" s="120"/>
      <c r="EL17" s="120"/>
      <c r="EM17" s="120"/>
      <c r="EN17" s="120"/>
      <c r="EO17" s="120"/>
      <c r="EP17" s="120"/>
      <c r="EQ17" s="120"/>
      <c r="ER17" s="120"/>
      <c r="ES17" s="120"/>
      <c r="ET17" s="120"/>
      <c r="EU17" s="120"/>
      <c r="EV17" s="120"/>
      <c r="EW17" s="120"/>
      <c r="EX17" s="120"/>
      <c r="EY17" s="120"/>
      <c r="EZ17" s="120"/>
      <c r="FA17" s="120"/>
      <c r="FB17" s="120"/>
      <c r="FC17" s="120"/>
      <c r="FD17" s="120"/>
      <c r="FE17" s="120"/>
      <c r="FF17" s="120"/>
      <c r="FG17" s="120"/>
      <c r="FH17" s="120"/>
      <c r="FI17" s="120"/>
      <c r="FJ17" s="120"/>
      <c r="FK17" s="120"/>
      <c r="FL17" s="120"/>
      <c r="FM17" s="120"/>
      <c r="FN17" s="120"/>
      <c r="FO17" s="120"/>
      <c r="FP17" s="120"/>
      <c r="FQ17" s="120"/>
      <c r="FR17" s="120"/>
      <c r="FS17" s="120"/>
      <c r="FT17" s="120"/>
      <c r="FU17" s="120"/>
      <c r="FV17" s="120"/>
      <c r="FW17" s="120"/>
      <c r="FX17" s="120"/>
      <c r="FY17" s="120"/>
      <c r="FZ17" s="120"/>
      <c r="GA17" s="120"/>
      <c r="GB17" s="120"/>
      <c r="GC17" s="120"/>
      <c r="GD17" s="120"/>
      <c r="GE17" s="120"/>
      <c r="GF17" s="120"/>
      <c r="GG17" s="120"/>
      <c r="GH17" s="120"/>
      <c r="GI17" s="120"/>
      <c r="GJ17" s="120"/>
      <c r="GK17" s="120"/>
      <c r="GL17" s="120"/>
      <c r="GM17" s="120"/>
      <c r="GN17" s="120"/>
      <c r="GO17" s="120"/>
      <c r="GP17" s="120"/>
      <c r="GQ17" s="120"/>
      <c r="GR17" s="120"/>
      <c r="GS17" s="120"/>
      <c r="GT17" s="120"/>
      <c r="GU17" s="120"/>
      <c r="GV17" s="120"/>
      <c r="GW17" s="120"/>
      <c r="GX17" s="120"/>
      <c r="GY17" s="120"/>
      <c r="GZ17" s="120"/>
      <c r="HA17" s="120"/>
      <c r="HB17" s="120"/>
      <c r="HC17" s="120"/>
    </row>
    <row r="18" spans="1:211" s="134" customFormat="1" x14ac:dyDescent="0.25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4"/>
      <c r="AD18" s="125"/>
      <c r="AE18" s="124"/>
      <c r="AF18" s="124"/>
      <c r="AG18" s="126"/>
      <c r="AH18" s="126"/>
      <c r="AI18" s="124"/>
      <c r="AJ18" s="127" t="s">
        <v>35</v>
      </c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9"/>
      <c r="AV18" s="120"/>
      <c r="AW18" s="120"/>
      <c r="AX18" s="120"/>
      <c r="AY18" s="129"/>
      <c r="AZ18" s="120"/>
      <c r="BA18" s="129"/>
      <c r="BB18" s="129"/>
      <c r="BC18" s="120"/>
      <c r="BD18" s="120"/>
      <c r="BE18" s="120"/>
      <c r="BF18" s="122"/>
      <c r="BG18" s="120"/>
      <c r="BH18" s="120"/>
      <c r="BI18" s="120"/>
      <c r="BJ18" s="120"/>
      <c r="BK18" s="120"/>
      <c r="BL18" s="120"/>
      <c r="BM18" s="120"/>
      <c r="BN18" s="120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0"/>
      <c r="CD18" s="120"/>
      <c r="CE18" s="120"/>
      <c r="CF18" s="120"/>
      <c r="CG18" s="120"/>
      <c r="CH18" s="120"/>
      <c r="CI18" s="120"/>
      <c r="CJ18" s="120"/>
      <c r="CK18" s="120"/>
      <c r="CL18" s="120"/>
      <c r="CM18" s="120"/>
      <c r="CN18" s="120"/>
      <c r="CO18" s="120"/>
      <c r="CP18" s="120"/>
      <c r="CQ18" s="120"/>
      <c r="CR18" s="120"/>
      <c r="CS18" s="120"/>
      <c r="CT18" s="120"/>
      <c r="CU18" s="120"/>
      <c r="CV18" s="120"/>
      <c r="CW18" s="120"/>
      <c r="CX18" s="120"/>
      <c r="CY18" s="120"/>
      <c r="CZ18" s="120"/>
      <c r="DA18" s="120"/>
      <c r="DB18" s="120"/>
      <c r="DC18" s="120"/>
      <c r="DD18" s="120"/>
      <c r="DE18" s="120"/>
      <c r="DF18" s="120"/>
      <c r="DG18" s="120"/>
      <c r="DH18" s="120"/>
      <c r="DI18" s="120"/>
      <c r="DJ18" s="120"/>
      <c r="DK18" s="120"/>
      <c r="DL18" s="120"/>
      <c r="DM18" s="120"/>
      <c r="DN18" s="120"/>
      <c r="DO18" s="120"/>
      <c r="DP18" s="120"/>
      <c r="DQ18" s="120"/>
      <c r="DR18" s="120"/>
      <c r="DS18" s="120"/>
      <c r="DT18" s="120"/>
      <c r="DU18" s="120"/>
      <c r="DV18" s="120"/>
      <c r="DW18" s="120"/>
      <c r="DX18" s="120"/>
      <c r="DY18" s="120"/>
      <c r="DZ18" s="120"/>
      <c r="EA18" s="120"/>
      <c r="EB18" s="120"/>
      <c r="EC18" s="120"/>
      <c r="ED18" s="120"/>
      <c r="EE18" s="120"/>
      <c r="EF18" s="120"/>
      <c r="EG18" s="120"/>
      <c r="EH18" s="120"/>
      <c r="EI18" s="120"/>
      <c r="EJ18" s="120"/>
      <c r="EK18" s="120"/>
      <c r="EL18" s="120"/>
      <c r="EM18" s="120"/>
      <c r="EN18" s="120"/>
    </row>
    <row r="19" spans="1:211" x14ac:dyDescent="0.25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5"/>
      <c r="AD19" s="136"/>
      <c r="AE19" s="135"/>
      <c r="AF19" s="135"/>
      <c r="AG19" s="137"/>
      <c r="AH19" s="137"/>
      <c r="AI19" s="135"/>
      <c r="AJ19" s="138" t="s">
        <v>37</v>
      </c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 t="s">
        <v>226</v>
      </c>
      <c r="AV19" s="134"/>
      <c r="AW19" s="134"/>
      <c r="AX19" s="134"/>
      <c r="AY19" s="134" t="s">
        <v>226</v>
      </c>
      <c r="AZ19" s="134"/>
      <c r="BA19" s="134" t="s">
        <v>226</v>
      </c>
      <c r="BB19" s="134"/>
      <c r="BC19" s="134"/>
      <c r="BD19" s="134"/>
      <c r="BE19" s="134"/>
      <c r="BF19" s="139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  <c r="CC19" s="134"/>
      <c r="CD19" s="134"/>
      <c r="CE19" s="134"/>
      <c r="CF19" s="134"/>
      <c r="CG19" s="134"/>
      <c r="CH19" s="134"/>
      <c r="CI19" s="134"/>
      <c r="CJ19" s="134"/>
      <c r="CK19" s="134"/>
      <c r="CL19" s="134"/>
      <c r="CM19" s="134"/>
      <c r="CN19" s="134"/>
      <c r="CO19" s="134"/>
      <c r="CP19" s="134"/>
      <c r="CQ19" s="134"/>
      <c r="CR19" s="134"/>
      <c r="CS19" s="134"/>
      <c r="CT19" s="134"/>
      <c r="CU19" s="134"/>
      <c r="CV19" s="134"/>
      <c r="CW19" s="134"/>
      <c r="CX19" s="134"/>
      <c r="CY19" s="134"/>
      <c r="CZ19" s="134"/>
      <c r="DA19" s="134"/>
      <c r="DB19" s="134"/>
      <c r="DC19" s="134"/>
      <c r="DD19" s="134"/>
      <c r="DE19" s="134"/>
      <c r="DF19" s="134"/>
      <c r="DG19" s="134"/>
      <c r="DH19" s="134"/>
      <c r="DI19" s="134"/>
      <c r="DJ19" s="134"/>
      <c r="DK19" s="134"/>
      <c r="DL19" s="134"/>
      <c r="DM19" s="134"/>
      <c r="DN19" s="134"/>
      <c r="DO19" s="134"/>
      <c r="DP19" s="134"/>
      <c r="DQ19" s="134"/>
      <c r="DR19" s="134"/>
      <c r="DS19" s="134"/>
      <c r="DT19" s="134"/>
      <c r="DU19" s="134"/>
      <c r="DV19" s="134"/>
      <c r="DW19" s="134"/>
      <c r="DX19" s="134"/>
      <c r="DY19" s="134"/>
      <c r="DZ19" s="134"/>
      <c r="EA19" s="134"/>
      <c r="EB19" s="134"/>
      <c r="EC19" s="134"/>
      <c r="ED19" s="134"/>
      <c r="EE19" s="134"/>
      <c r="EF19" s="134"/>
      <c r="EG19" s="134"/>
      <c r="EH19" s="134"/>
      <c r="EI19" s="134"/>
      <c r="EJ19" s="134"/>
      <c r="EK19" s="134"/>
      <c r="EL19" s="134"/>
      <c r="EM19" s="134"/>
      <c r="EN19" s="134"/>
      <c r="EO19" s="134"/>
      <c r="EP19" s="134"/>
      <c r="EQ19" s="134"/>
      <c r="ER19" s="134"/>
      <c r="ES19" s="134"/>
      <c r="ET19" s="134"/>
      <c r="EU19" s="134"/>
      <c r="EV19" s="134"/>
      <c r="EW19" s="134"/>
      <c r="EX19" s="134"/>
      <c r="EY19" s="134"/>
      <c r="EZ19" s="134"/>
      <c r="FA19" s="134"/>
      <c r="FB19" s="134"/>
      <c r="FC19" s="134"/>
      <c r="FD19" s="134"/>
      <c r="FE19" s="134"/>
      <c r="FF19" s="134"/>
      <c r="FG19" s="134"/>
      <c r="FH19" s="134"/>
      <c r="FI19" s="134"/>
      <c r="FJ19" s="134"/>
      <c r="FK19" s="134"/>
      <c r="FL19" s="134"/>
      <c r="FM19" s="134"/>
      <c r="FN19" s="134"/>
      <c r="FO19" s="134"/>
      <c r="FP19" s="134"/>
      <c r="FQ19" s="134"/>
      <c r="FR19" s="134"/>
      <c r="FS19" s="134"/>
      <c r="FT19" s="134"/>
      <c r="FU19" s="134"/>
      <c r="FV19" s="134"/>
      <c r="FW19" s="134"/>
      <c r="FX19" s="134"/>
      <c r="FY19" s="134"/>
      <c r="FZ19" s="134"/>
      <c r="GA19" s="134"/>
      <c r="GB19" s="134"/>
      <c r="GC19" s="134"/>
      <c r="GD19" s="134"/>
      <c r="GE19" s="134"/>
      <c r="GF19" s="134"/>
      <c r="GG19" s="134"/>
      <c r="GH19" s="134"/>
      <c r="GI19" s="134"/>
      <c r="GJ19" s="134"/>
      <c r="GK19" s="134"/>
      <c r="GL19" s="134"/>
      <c r="GM19" s="134"/>
      <c r="GN19" s="134"/>
      <c r="GO19" s="134"/>
      <c r="GP19" s="134"/>
      <c r="GQ19" s="134"/>
      <c r="GR19" s="134"/>
      <c r="GS19" s="134"/>
      <c r="GT19" s="134"/>
      <c r="GU19" s="134"/>
      <c r="GV19" s="134"/>
      <c r="GW19" s="134"/>
      <c r="GX19" s="134"/>
      <c r="GY19" s="134"/>
      <c r="GZ19" s="134"/>
      <c r="HA19" s="134"/>
      <c r="HB19" s="134"/>
      <c r="HC19" s="134"/>
    </row>
    <row r="20" spans="1:211" x14ac:dyDescent="0.25">
      <c r="B20" s="123">
        <v>46136</v>
      </c>
      <c r="C20" s="120" t="s">
        <v>222</v>
      </c>
      <c r="W20" s="120" t="s">
        <v>223</v>
      </c>
      <c r="Y20" s="120" t="s">
        <v>224</v>
      </c>
      <c r="Z20" s="120">
        <v>100</v>
      </c>
      <c r="AA20" s="120">
        <v>500</v>
      </c>
      <c r="AB20" s="120">
        <v>85</v>
      </c>
      <c r="AC20" s="118">
        <v>2</v>
      </c>
      <c r="AD20" s="121" t="s">
        <v>242</v>
      </c>
      <c r="AE20" s="120">
        <v>3</v>
      </c>
      <c r="AF20" s="120">
        <v>11.01</v>
      </c>
      <c r="AG20" s="120">
        <v>10.36</v>
      </c>
      <c r="AH20" s="120">
        <v>10.46</v>
      </c>
      <c r="AI20" s="120" t="s">
        <v>243</v>
      </c>
      <c r="AJ20" s="120">
        <v>1</v>
      </c>
      <c r="AK20" s="120">
        <v>1</v>
      </c>
      <c r="AS20" s="120">
        <v>1</v>
      </c>
      <c r="AY20" s="120">
        <v>1</v>
      </c>
      <c r="AZ20" s="120">
        <v>0</v>
      </c>
    </row>
    <row r="21" spans="1:211" x14ac:dyDescent="0.25">
      <c r="AC21" s="124"/>
      <c r="AD21" s="125"/>
      <c r="AE21" s="124"/>
      <c r="AF21" s="124"/>
      <c r="AG21" s="126"/>
      <c r="AH21" s="126"/>
      <c r="AI21" s="124"/>
      <c r="AJ21" s="127" t="s">
        <v>31</v>
      </c>
      <c r="AS21" s="120">
        <v>14.39</v>
      </c>
      <c r="AY21" s="120">
        <v>16.11</v>
      </c>
      <c r="AZ21" s="120">
        <v>19.059999999999999</v>
      </c>
    </row>
    <row r="22" spans="1:211" s="128" customFormat="1" x14ac:dyDescent="0.25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4"/>
      <c r="AD22" s="125"/>
      <c r="AE22" s="124"/>
      <c r="AF22" s="124"/>
      <c r="AG22" s="126"/>
      <c r="AH22" s="126"/>
      <c r="AI22" s="124"/>
      <c r="AJ22" s="127" t="s">
        <v>33</v>
      </c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9" t="s">
        <v>225</v>
      </c>
      <c r="BA22" s="120"/>
      <c r="BB22" s="120"/>
      <c r="BC22" s="120"/>
      <c r="BD22" s="120"/>
      <c r="BE22" s="120"/>
      <c r="BF22" s="122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  <c r="CF22" s="120"/>
      <c r="CG22" s="120"/>
      <c r="CH22" s="120"/>
      <c r="CI22" s="120"/>
      <c r="CJ22" s="120"/>
      <c r="CK22" s="120"/>
      <c r="CL22" s="120"/>
      <c r="CM22" s="120"/>
      <c r="CN22" s="120"/>
      <c r="CO22" s="120"/>
      <c r="CP22" s="120"/>
      <c r="CQ22" s="120"/>
      <c r="CR22" s="120"/>
      <c r="CS22" s="120"/>
      <c r="CT22" s="120"/>
      <c r="CU22" s="120"/>
      <c r="CV22" s="120"/>
      <c r="CW22" s="120"/>
      <c r="CX22" s="120"/>
      <c r="CY22" s="120"/>
      <c r="CZ22" s="120"/>
      <c r="DA22" s="120"/>
      <c r="DB22" s="120"/>
      <c r="DC22" s="120"/>
      <c r="DD22" s="120"/>
      <c r="DE22" s="120"/>
      <c r="DF22" s="120"/>
      <c r="DG22" s="120"/>
      <c r="DH22" s="120"/>
      <c r="DI22" s="120"/>
      <c r="DJ22" s="120"/>
      <c r="DK22" s="120"/>
      <c r="DL22" s="120"/>
      <c r="DM22" s="120"/>
      <c r="DN22" s="120"/>
      <c r="DO22" s="120"/>
      <c r="DP22" s="120"/>
      <c r="DQ22" s="120"/>
      <c r="DR22" s="120"/>
      <c r="DS22" s="120"/>
      <c r="DT22" s="120"/>
      <c r="DU22" s="120"/>
      <c r="DV22" s="120"/>
      <c r="DW22" s="120"/>
      <c r="DX22" s="120"/>
      <c r="DY22" s="120"/>
      <c r="DZ22" s="120"/>
      <c r="EA22" s="120"/>
      <c r="EB22" s="120"/>
      <c r="EC22" s="120"/>
      <c r="ED22" s="120"/>
      <c r="EE22" s="120"/>
      <c r="EF22" s="120"/>
      <c r="EG22" s="120"/>
      <c r="EH22" s="120"/>
      <c r="EI22" s="120"/>
      <c r="EJ22" s="120"/>
      <c r="EK22" s="120"/>
      <c r="EL22" s="120"/>
      <c r="EM22" s="120"/>
      <c r="EN22" s="120"/>
      <c r="EO22" s="120"/>
      <c r="EP22" s="120"/>
      <c r="EQ22" s="120"/>
      <c r="ER22" s="120"/>
      <c r="ES22" s="120"/>
      <c r="ET22" s="120"/>
      <c r="EU22" s="120"/>
      <c r="EV22" s="120"/>
      <c r="EW22" s="120"/>
      <c r="EX22" s="120"/>
      <c r="EY22" s="120"/>
      <c r="EZ22" s="120"/>
      <c r="FA22" s="120"/>
      <c r="FB22" s="120"/>
      <c r="FC22" s="120"/>
      <c r="FD22" s="120"/>
      <c r="FE22" s="120"/>
      <c r="FF22" s="120"/>
      <c r="FG22" s="120"/>
      <c r="FH22" s="120"/>
      <c r="FI22" s="120"/>
      <c r="FJ22" s="120"/>
      <c r="FK22" s="120"/>
      <c r="FL22" s="120"/>
      <c r="FM22" s="120"/>
      <c r="FN22" s="120"/>
      <c r="FO22" s="120"/>
      <c r="FP22" s="120"/>
      <c r="FQ22" s="120"/>
      <c r="FR22" s="120"/>
      <c r="FS22" s="120"/>
      <c r="FT22" s="120"/>
      <c r="FU22" s="120"/>
      <c r="FV22" s="120"/>
      <c r="FW22" s="120"/>
      <c r="FX22" s="120"/>
      <c r="FY22" s="120"/>
      <c r="FZ22" s="120"/>
      <c r="GA22" s="120"/>
      <c r="GB22" s="120"/>
      <c r="GC22" s="120"/>
      <c r="GD22" s="120"/>
      <c r="GE22" s="120"/>
      <c r="GF22" s="120"/>
      <c r="GG22" s="120"/>
      <c r="GH22" s="120"/>
      <c r="GI22" s="120"/>
      <c r="GJ22" s="120"/>
      <c r="GK22" s="120"/>
      <c r="GL22" s="120"/>
      <c r="GM22" s="120"/>
      <c r="GN22" s="120"/>
      <c r="GO22" s="120"/>
      <c r="GP22" s="120"/>
      <c r="GQ22" s="120"/>
      <c r="GR22" s="120"/>
      <c r="GS22" s="120"/>
      <c r="GT22" s="120"/>
      <c r="GU22" s="120"/>
      <c r="GV22" s="120"/>
      <c r="GW22" s="120"/>
      <c r="GX22" s="120"/>
      <c r="GY22" s="120"/>
      <c r="GZ22" s="120"/>
      <c r="HA22" s="120"/>
      <c r="HB22" s="120"/>
      <c r="HC22" s="120"/>
    </row>
    <row r="23" spans="1:211" x14ac:dyDescent="0.25">
      <c r="AC23" s="124"/>
      <c r="AD23" s="125"/>
      <c r="AE23" s="124"/>
      <c r="AF23" s="124"/>
      <c r="AG23" s="126"/>
      <c r="AH23" s="126"/>
      <c r="AI23" s="124"/>
      <c r="AJ23" s="127" t="s">
        <v>35</v>
      </c>
      <c r="EO23" s="128"/>
      <c r="EP23" s="128"/>
      <c r="EQ23" s="128"/>
      <c r="ER23" s="128"/>
      <c r="ES23" s="128"/>
      <c r="ET23" s="128"/>
      <c r="EU23" s="128"/>
      <c r="EV23" s="128"/>
      <c r="EW23" s="128"/>
      <c r="EX23" s="128"/>
      <c r="EY23" s="128"/>
      <c r="EZ23" s="128"/>
      <c r="FA23" s="128"/>
      <c r="FB23" s="128"/>
      <c r="FC23" s="128"/>
      <c r="FD23" s="128"/>
      <c r="FE23" s="128"/>
      <c r="FF23" s="128"/>
      <c r="FG23" s="128"/>
      <c r="FH23" s="128"/>
      <c r="FI23" s="128"/>
      <c r="FJ23" s="128"/>
      <c r="FK23" s="128"/>
      <c r="FL23" s="128"/>
      <c r="FM23" s="128"/>
      <c r="FN23" s="128"/>
      <c r="FO23" s="128"/>
      <c r="FP23" s="128"/>
      <c r="FQ23" s="128"/>
      <c r="FR23" s="128"/>
      <c r="FS23" s="128"/>
      <c r="FT23" s="128"/>
      <c r="FU23" s="128"/>
      <c r="FV23" s="128"/>
      <c r="FW23" s="128"/>
      <c r="FX23" s="128"/>
      <c r="FY23" s="128"/>
      <c r="FZ23" s="128"/>
      <c r="GA23" s="128"/>
      <c r="GB23" s="128"/>
      <c r="GC23" s="128"/>
      <c r="GD23" s="128"/>
      <c r="GE23" s="128"/>
      <c r="GF23" s="128"/>
      <c r="GG23" s="128"/>
      <c r="GH23" s="128"/>
      <c r="GI23" s="128"/>
      <c r="GJ23" s="128"/>
      <c r="GK23" s="128"/>
      <c r="GL23" s="128"/>
      <c r="GM23" s="128"/>
      <c r="GN23" s="128"/>
      <c r="GO23" s="128"/>
      <c r="GP23" s="128"/>
      <c r="GQ23" s="128"/>
      <c r="GR23" s="128"/>
      <c r="GS23" s="128"/>
      <c r="GT23" s="128"/>
      <c r="GU23" s="128"/>
      <c r="GV23" s="128"/>
      <c r="GW23" s="128"/>
      <c r="GX23" s="128"/>
      <c r="GY23" s="128"/>
      <c r="GZ23" s="128"/>
      <c r="HA23" s="128"/>
      <c r="HB23" s="128"/>
      <c r="HC23" s="128"/>
    </row>
    <row r="24" spans="1:211" x14ac:dyDescent="0.25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30"/>
      <c r="AD24" s="131"/>
      <c r="AE24" s="130"/>
      <c r="AF24" s="130"/>
      <c r="AG24" s="132"/>
      <c r="AH24" s="132"/>
      <c r="AI24" s="130"/>
      <c r="AJ24" s="133" t="s">
        <v>37</v>
      </c>
      <c r="AK24" s="128"/>
      <c r="AL24" s="128"/>
      <c r="AM24" s="128"/>
      <c r="AN24" s="128"/>
      <c r="AO24" s="128"/>
      <c r="AP24" s="128"/>
      <c r="AQ24" s="128"/>
      <c r="AR24" s="128"/>
      <c r="AS24" s="128" t="s">
        <v>229</v>
      </c>
      <c r="AT24" s="128"/>
      <c r="AU24" s="128"/>
      <c r="AV24" s="128"/>
      <c r="AW24" s="128"/>
      <c r="AX24" s="128"/>
      <c r="AY24" s="128" t="s">
        <v>229</v>
      </c>
      <c r="AZ24" s="128"/>
      <c r="BA24" s="128"/>
      <c r="BB24" s="128"/>
      <c r="BC24" s="128"/>
      <c r="BD24" s="128"/>
      <c r="BE24" s="128"/>
    </row>
    <row r="25" spans="1:211" x14ac:dyDescent="0.25">
      <c r="AC25" s="118"/>
      <c r="AI25" s="120" t="s">
        <v>244</v>
      </c>
      <c r="AJ25" s="120">
        <v>2</v>
      </c>
      <c r="AK25" s="120">
        <v>1</v>
      </c>
      <c r="AU25" s="120">
        <v>1</v>
      </c>
      <c r="AY25" s="120">
        <v>1</v>
      </c>
      <c r="AZ25" s="120">
        <v>0</v>
      </c>
    </row>
    <row r="26" spans="1:211" x14ac:dyDescent="0.25">
      <c r="AC26" s="124"/>
      <c r="AD26" s="125"/>
      <c r="AE26" s="124"/>
      <c r="AF26" s="124"/>
      <c r="AG26" s="126"/>
      <c r="AH26" s="126"/>
      <c r="AI26" s="124"/>
      <c r="AJ26" s="127" t="s">
        <v>31</v>
      </c>
      <c r="AU26" s="120">
        <v>14.41</v>
      </c>
      <c r="AY26" s="120">
        <v>16.12</v>
      </c>
      <c r="AZ26" s="120">
        <v>19.059999999999999</v>
      </c>
    </row>
    <row r="27" spans="1:211" s="134" customFormat="1" x14ac:dyDescent="0.25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4"/>
      <c r="AD27" s="125"/>
      <c r="AE27" s="124"/>
      <c r="AF27" s="124"/>
      <c r="AG27" s="126"/>
      <c r="AH27" s="126"/>
      <c r="AI27" s="124"/>
      <c r="AJ27" s="127" t="s">
        <v>33</v>
      </c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9" t="s">
        <v>225</v>
      </c>
      <c r="BA27" s="120"/>
      <c r="BB27" s="120"/>
      <c r="BC27" s="120"/>
      <c r="BD27" s="120"/>
      <c r="BE27" s="120"/>
      <c r="BF27" s="122"/>
      <c r="BG27" s="120"/>
      <c r="BH27" s="120"/>
      <c r="BI27" s="120"/>
      <c r="BJ27" s="120"/>
      <c r="BK27" s="120"/>
      <c r="BL27" s="120"/>
      <c r="BM27" s="120"/>
      <c r="BN27" s="120"/>
      <c r="BO27" s="120"/>
      <c r="BP27" s="120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/>
      <c r="CB27" s="120"/>
      <c r="CC27" s="120"/>
      <c r="CD27" s="120"/>
      <c r="CE27" s="120"/>
      <c r="CF27" s="120"/>
      <c r="CG27" s="120"/>
      <c r="CH27" s="120"/>
      <c r="CI27" s="120"/>
      <c r="CJ27" s="120"/>
      <c r="CK27" s="120"/>
      <c r="CL27" s="120"/>
      <c r="CM27" s="120"/>
      <c r="CN27" s="120"/>
      <c r="CO27" s="120"/>
      <c r="CP27" s="120"/>
      <c r="CQ27" s="120"/>
      <c r="CR27" s="120"/>
      <c r="CS27" s="120"/>
      <c r="CT27" s="120"/>
      <c r="CU27" s="120"/>
      <c r="CV27" s="120"/>
      <c r="CW27" s="120"/>
      <c r="CX27" s="120"/>
      <c r="CY27" s="120"/>
      <c r="CZ27" s="120"/>
      <c r="DA27" s="120"/>
      <c r="DB27" s="120"/>
      <c r="DC27" s="120"/>
      <c r="DD27" s="120"/>
      <c r="DE27" s="120"/>
      <c r="DF27" s="120"/>
      <c r="DG27" s="120"/>
      <c r="DH27" s="120"/>
      <c r="DI27" s="120"/>
      <c r="DJ27" s="120"/>
      <c r="DK27" s="120"/>
      <c r="DL27" s="120"/>
      <c r="DM27" s="120"/>
      <c r="DN27" s="120"/>
      <c r="DO27" s="120"/>
      <c r="DP27" s="120"/>
      <c r="DQ27" s="120"/>
      <c r="DR27" s="120"/>
      <c r="DS27" s="120"/>
      <c r="DT27" s="120"/>
      <c r="DU27" s="120"/>
      <c r="DV27" s="120"/>
      <c r="DW27" s="120"/>
      <c r="DX27" s="120"/>
      <c r="DY27" s="120"/>
      <c r="DZ27" s="120"/>
      <c r="EA27" s="120"/>
      <c r="EB27" s="120"/>
      <c r="EC27" s="120"/>
      <c r="ED27" s="120"/>
      <c r="EE27" s="120"/>
      <c r="EF27" s="120"/>
      <c r="EG27" s="120"/>
      <c r="EH27" s="120"/>
      <c r="EI27" s="120"/>
      <c r="EJ27" s="120"/>
      <c r="EK27" s="120"/>
      <c r="EL27" s="120"/>
      <c r="EM27" s="120"/>
      <c r="EN27" s="120"/>
      <c r="EO27" s="120"/>
      <c r="EP27" s="120"/>
      <c r="EQ27" s="120"/>
      <c r="ER27" s="120"/>
      <c r="ES27" s="120"/>
      <c r="ET27" s="120"/>
      <c r="EU27" s="120"/>
      <c r="EV27" s="120"/>
      <c r="EW27" s="120"/>
      <c r="EX27" s="120"/>
      <c r="EY27" s="120"/>
      <c r="EZ27" s="120"/>
      <c r="FA27" s="120"/>
      <c r="FB27" s="120"/>
      <c r="FC27" s="120"/>
      <c r="FD27" s="120"/>
      <c r="FE27" s="120"/>
      <c r="FF27" s="120"/>
      <c r="FG27" s="120"/>
      <c r="FH27" s="120"/>
      <c r="FI27" s="120"/>
      <c r="FJ27" s="120"/>
      <c r="FK27" s="120"/>
      <c r="FL27" s="120"/>
      <c r="FM27" s="120"/>
      <c r="FN27" s="120"/>
      <c r="FO27" s="120"/>
      <c r="FP27" s="120"/>
      <c r="FQ27" s="120"/>
      <c r="FR27" s="120"/>
      <c r="FS27" s="120"/>
      <c r="FT27" s="120"/>
      <c r="FU27" s="120"/>
      <c r="FV27" s="120"/>
      <c r="FW27" s="120"/>
      <c r="FX27" s="120"/>
      <c r="FY27" s="120"/>
      <c r="FZ27" s="120"/>
      <c r="GA27" s="120"/>
      <c r="GB27" s="120"/>
      <c r="GC27" s="120"/>
      <c r="GD27" s="120"/>
      <c r="GE27" s="120"/>
      <c r="GF27" s="120"/>
      <c r="GG27" s="120"/>
      <c r="GH27" s="120"/>
      <c r="GI27" s="120"/>
      <c r="GJ27" s="120"/>
      <c r="GK27" s="120"/>
      <c r="GL27" s="120"/>
      <c r="GM27" s="120"/>
      <c r="GN27" s="120"/>
      <c r="GO27" s="120"/>
      <c r="GP27" s="120"/>
      <c r="GQ27" s="120"/>
      <c r="GR27" s="120"/>
      <c r="GS27" s="120"/>
      <c r="GT27" s="120"/>
      <c r="GU27" s="120"/>
      <c r="GV27" s="120"/>
      <c r="GW27" s="120"/>
      <c r="GX27" s="120"/>
      <c r="GY27" s="120"/>
      <c r="GZ27" s="120"/>
      <c r="HA27" s="120"/>
      <c r="HB27" s="120"/>
      <c r="HC27" s="120"/>
    </row>
    <row r="28" spans="1:211" x14ac:dyDescent="0.25">
      <c r="AC28" s="124"/>
      <c r="AD28" s="125"/>
      <c r="AE28" s="124"/>
      <c r="AF28" s="124"/>
      <c r="AG28" s="126"/>
      <c r="AH28" s="126"/>
      <c r="AI28" s="124"/>
      <c r="AJ28" s="127" t="s">
        <v>35</v>
      </c>
      <c r="EO28" s="134"/>
      <c r="EP28" s="134"/>
      <c r="EQ28" s="134"/>
      <c r="ER28" s="134"/>
      <c r="ES28" s="134"/>
      <c r="ET28" s="134"/>
      <c r="EU28" s="134"/>
      <c r="EV28" s="134"/>
      <c r="EW28" s="134"/>
      <c r="EX28" s="134"/>
      <c r="EY28" s="134"/>
      <c r="EZ28" s="134"/>
      <c r="FA28" s="134"/>
      <c r="FB28" s="134"/>
      <c r="FC28" s="134"/>
      <c r="FD28" s="134"/>
      <c r="FE28" s="134"/>
      <c r="FF28" s="134"/>
      <c r="FG28" s="134"/>
      <c r="FH28" s="134"/>
      <c r="FI28" s="134"/>
      <c r="FJ28" s="134"/>
      <c r="FK28" s="134"/>
      <c r="FL28" s="134"/>
      <c r="FM28" s="134"/>
      <c r="FN28" s="134"/>
      <c r="FO28" s="134"/>
      <c r="FP28" s="134"/>
      <c r="FQ28" s="134"/>
      <c r="FR28" s="134"/>
      <c r="FS28" s="134"/>
      <c r="FT28" s="134"/>
      <c r="FU28" s="134"/>
      <c r="FV28" s="134"/>
      <c r="FW28" s="134"/>
      <c r="FX28" s="134"/>
      <c r="FY28" s="134"/>
      <c r="FZ28" s="134"/>
      <c r="GA28" s="134"/>
      <c r="GB28" s="134"/>
      <c r="GC28" s="134"/>
      <c r="GD28" s="134"/>
      <c r="GE28" s="134"/>
      <c r="GF28" s="134"/>
      <c r="GG28" s="134"/>
      <c r="GH28" s="134"/>
      <c r="GI28" s="134"/>
      <c r="GJ28" s="134"/>
      <c r="GK28" s="134"/>
      <c r="GL28" s="134"/>
      <c r="GM28" s="134"/>
      <c r="GN28" s="134"/>
      <c r="GO28" s="134"/>
      <c r="GP28" s="134"/>
      <c r="GQ28" s="134"/>
      <c r="GR28" s="134"/>
      <c r="GS28" s="134"/>
      <c r="GT28" s="134"/>
      <c r="GU28" s="134"/>
      <c r="GV28" s="134"/>
      <c r="GW28" s="134"/>
      <c r="GX28" s="134"/>
      <c r="GY28" s="134"/>
      <c r="GZ28" s="134"/>
      <c r="HA28" s="134"/>
      <c r="HB28" s="134"/>
      <c r="HC28" s="134"/>
    </row>
    <row r="29" spans="1:211" x14ac:dyDescent="0.25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30"/>
      <c r="AD29" s="131"/>
      <c r="AE29" s="130"/>
      <c r="AF29" s="130"/>
      <c r="AG29" s="132"/>
      <c r="AH29" s="132"/>
      <c r="AI29" s="130"/>
      <c r="AJ29" s="133" t="s">
        <v>37</v>
      </c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 t="s">
        <v>226</v>
      </c>
      <c r="AV29" s="128"/>
      <c r="AW29" s="128"/>
      <c r="AX29" s="128"/>
      <c r="AY29" s="128" t="s">
        <v>226</v>
      </c>
      <c r="AZ29" s="128"/>
      <c r="BA29" s="128"/>
      <c r="BB29" s="128"/>
      <c r="BC29" s="128"/>
      <c r="BD29" s="128"/>
      <c r="BE29" s="128"/>
    </row>
    <row r="30" spans="1:211" x14ac:dyDescent="0.25">
      <c r="AC30" s="118"/>
      <c r="AI30" s="120" t="s">
        <v>245</v>
      </c>
      <c r="AJ30" s="120">
        <v>3</v>
      </c>
      <c r="AK30" s="120">
        <v>1</v>
      </c>
      <c r="AL30" s="120">
        <v>0</v>
      </c>
    </row>
    <row r="31" spans="1:211" x14ac:dyDescent="0.25">
      <c r="AC31" s="124"/>
      <c r="AD31" s="125"/>
      <c r="AE31" s="124"/>
      <c r="AF31" s="124"/>
      <c r="AG31" s="126"/>
      <c r="AH31" s="126"/>
      <c r="AI31" s="124"/>
      <c r="AJ31" s="127" t="s">
        <v>31</v>
      </c>
      <c r="AL31" s="120">
        <v>14.42</v>
      </c>
    </row>
    <row r="32" spans="1:211" s="128" customFormat="1" x14ac:dyDescent="0.25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4"/>
      <c r="AD32" s="125"/>
      <c r="AE32" s="124"/>
      <c r="AF32" s="124"/>
      <c r="AG32" s="126"/>
      <c r="AH32" s="126"/>
      <c r="AI32" s="124"/>
      <c r="AJ32" s="127" t="s">
        <v>33</v>
      </c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2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120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120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120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120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</row>
    <row r="33" spans="1:211" s="134" customFormat="1" x14ac:dyDescent="0.25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4"/>
      <c r="AD33" s="125"/>
      <c r="AE33" s="124"/>
      <c r="AF33" s="124"/>
      <c r="AG33" s="126"/>
      <c r="AH33" s="126"/>
      <c r="AI33" s="124"/>
      <c r="AJ33" s="127" t="s">
        <v>35</v>
      </c>
      <c r="AK33" s="120"/>
      <c r="AL33" s="129" t="s">
        <v>225</v>
      </c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2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0"/>
      <c r="CB33" s="120"/>
      <c r="CC33" s="120"/>
      <c r="CD33" s="120"/>
      <c r="CE33" s="120"/>
      <c r="CF33" s="120"/>
      <c r="CG33" s="120"/>
      <c r="CH33" s="120"/>
      <c r="CI33" s="120"/>
      <c r="CJ33" s="120"/>
      <c r="CK33" s="120"/>
      <c r="CL33" s="120"/>
      <c r="CM33" s="120"/>
      <c r="CN33" s="120"/>
      <c r="CO33" s="120"/>
      <c r="CP33" s="120"/>
      <c r="CQ33" s="120"/>
      <c r="CR33" s="120"/>
      <c r="CS33" s="120"/>
      <c r="CT33" s="120"/>
      <c r="CU33" s="120"/>
      <c r="CV33" s="120"/>
      <c r="CW33" s="120"/>
      <c r="CX33" s="120"/>
      <c r="CY33" s="120"/>
      <c r="CZ33" s="120"/>
      <c r="DA33" s="120"/>
      <c r="DB33" s="120"/>
      <c r="DC33" s="120"/>
      <c r="DD33" s="120"/>
      <c r="DE33" s="120"/>
      <c r="DF33" s="120"/>
      <c r="DG33" s="120"/>
      <c r="DH33" s="120"/>
      <c r="DI33" s="120"/>
      <c r="DJ33" s="120"/>
      <c r="DK33" s="120"/>
      <c r="DL33" s="120"/>
      <c r="DM33" s="120"/>
      <c r="DN33" s="120"/>
      <c r="DO33" s="120"/>
      <c r="DP33" s="120"/>
      <c r="DQ33" s="120"/>
      <c r="DR33" s="120"/>
      <c r="DS33" s="120"/>
      <c r="DT33" s="120"/>
      <c r="DU33" s="120"/>
      <c r="DV33" s="120"/>
      <c r="DW33" s="120"/>
      <c r="DX33" s="120"/>
      <c r="DY33" s="120"/>
      <c r="DZ33" s="120"/>
      <c r="EA33" s="120"/>
      <c r="EB33" s="120"/>
      <c r="EC33" s="120"/>
      <c r="ED33" s="120"/>
      <c r="EE33" s="120"/>
      <c r="EF33" s="120"/>
      <c r="EG33" s="120"/>
      <c r="EH33" s="120"/>
      <c r="EI33" s="120"/>
      <c r="EJ33" s="120"/>
      <c r="EK33" s="120"/>
      <c r="EL33" s="120"/>
      <c r="EM33" s="120"/>
      <c r="EN33" s="120"/>
      <c r="EO33" s="128"/>
      <c r="EP33" s="128"/>
      <c r="EQ33" s="128"/>
      <c r="ER33" s="128"/>
      <c r="ES33" s="128"/>
      <c r="ET33" s="128"/>
      <c r="EU33" s="128"/>
      <c r="EV33" s="128"/>
      <c r="EW33" s="128"/>
      <c r="EX33" s="128"/>
      <c r="EY33" s="128"/>
      <c r="EZ33" s="128"/>
      <c r="FA33" s="128"/>
      <c r="FB33" s="128"/>
      <c r="FC33" s="128"/>
      <c r="FD33" s="128"/>
      <c r="FE33" s="128"/>
      <c r="FF33" s="128"/>
      <c r="FG33" s="128"/>
      <c r="FH33" s="128"/>
      <c r="FI33" s="128"/>
      <c r="FJ33" s="128"/>
      <c r="FK33" s="128"/>
      <c r="FL33" s="128"/>
      <c r="FM33" s="128"/>
      <c r="FN33" s="128"/>
      <c r="FO33" s="128"/>
      <c r="FP33" s="128"/>
      <c r="FQ33" s="128"/>
      <c r="FR33" s="128"/>
      <c r="FS33" s="128"/>
      <c r="FT33" s="128"/>
      <c r="FU33" s="128"/>
      <c r="FV33" s="128"/>
      <c r="FW33" s="128"/>
      <c r="FX33" s="128"/>
      <c r="FY33" s="128"/>
      <c r="FZ33" s="128"/>
      <c r="GA33" s="128"/>
      <c r="GB33" s="128"/>
      <c r="GC33" s="128"/>
      <c r="GD33" s="128"/>
      <c r="GE33" s="128"/>
      <c r="GF33" s="128"/>
      <c r="GG33" s="128"/>
      <c r="GH33" s="128"/>
      <c r="GI33" s="128"/>
      <c r="GJ33" s="128"/>
      <c r="GK33" s="128"/>
      <c r="GL33" s="128"/>
      <c r="GM33" s="128"/>
      <c r="GN33" s="128"/>
      <c r="GO33" s="128"/>
      <c r="GP33" s="128"/>
      <c r="GQ33" s="128"/>
      <c r="GR33" s="128"/>
      <c r="GS33" s="128"/>
      <c r="GT33" s="128"/>
      <c r="GU33" s="128"/>
      <c r="GV33" s="128"/>
      <c r="GW33" s="128"/>
      <c r="GX33" s="128"/>
      <c r="GY33" s="128"/>
      <c r="GZ33" s="128"/>
      <c r="HA33" s="128"/>
      <c r="HB33" s="128"/>
      <c r="HC33" s="128"/>
    </row>
    <row r="34" spans="1:211" x14ac:dyDescent="0.25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5"/>
      <c r="AD34" s="136"/>
      <c r="AE34" s="135"/>
      <c r="AF34" s="135"/>
      <c r="AG34" s="137"/>
      <c r="AH34" s="137"/>
      <c r="AI34" s="135"/>
      <c r="AJ34" s="138" t="s">
        <v>37</v>
      </c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9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4"/>
      <c r="CJ34" s="134"/>
      <c r="CK34" s="134"/>
      <c r="CL34" s="134"/>
      <c r="CM34" s="134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4"/>
      <c r="DQ34" s="134"/>
      <c r="DR34" s="134"/>
      <c r="DS34" s="134"/>
      <c r="DT34" s="134"/>
      <c r="DU34" s="134"/>
      <c r="DV34" s="134"/>
      <c r="DW34" s="134"/>
      <c r="DX34" s="134"/>
      <c r="DY34" s="134"/>
      <c r="DZ34" s="134"/>
      <c r="EA34" s="134"/>
      <c r="EB34" s="134"/>
      <c r="EC34" s="134"/>
      <c r="ED34" s="134"/>
      <c r="EE34" s="134"/>
      <c r="EF34" s="134"/>
      <c r="EG34" s="134"/>
      <c r="EH34" s="134"/>
      <c r="EI34" s="134"/>
      <c r="EJ34" s="134"/>
      <c r="EK34" s="134"/>
      <c r="EL34" s="134"/>
      <c r="EM34" s="134"/>
      <c r="EN34" s="134"/>
      <c r="EO34" s="134"/>
      <c r="EP34" s="134"/>
      <c r="EQ34" s="134"/>
      <c r="ER34" s="134"/>
      <c r="ES34" s="134"/>
      <c r="ET34" s="134"/>
      <c r="EU34" s="134"/>
      <c r="EV34" s="134"/>
      <c r="EW34" s="134"/>
      <c r="EX34" s="134"/>
      <c r="EY34" s="134"/>
      <c r="EZ34" s="134"/>
      <c r="FA34" s="134"/>
      <c r="FB34" s="134"/>
      <c r="FC34" s="134"/>
      <c r="FD34" s="134"/>
      <c r="FE34" s="134"/>
      <c r="FF34" s="134"/>
      <c r="FG34" s="134"/>
      <c r="FH34" s="134"/>
      <c r="FI34" s="134"/>
      <c r="FJ34" s="134"/>
      <c r="FK34" s="134"/>
      <c r="FL34" s="134"/>
      <c r="FM34" s="134"/>
      <c r="FN34" s="134"/>
      <c r="FO34" s="134"/>
      <c r="FP34" s="134"/>
      <c r="FQ34" s="134"/>
      <c r="FR34" s="134"/>
      <c r="FS34" s="134"/>
      <c r="FT34" s="134"/>
      <c r="FU34" s="134"/>
      <c r="FV34" s="134"/>
      <c r="FW34" s="134"/>
      <c r="FX34" s="134"/>
      <c r="FY34" s="134"/>
      <c r="FZ34" s="134"/>
      <c r="GA34" s="134"/>
      <c r="GB34" s="134"/>
      <c r="GC34" s="134"/>
      <c r="GD34" s="134"/>
      <c r="GE34" s="134"/>
      <c r="GF34" s="134"/>
      <c r="GG34" s="134"/>
      <c r="GH34" s="134"/>
      <c r="GI34" s="134"/>
      <c r="GJ34" s="134"/>
      <c r="GK34" s="134"/>
      <c r="GL34" s="134"/>
      <c r="GM34" s="134"/>
      <c r="GN34" s="134"/>
      <c r="GO34" s="134"/>
      <c r="GP34" s="134"/>
      <c r="GQ34" s="134"/>
      <c r="GR34" s="134"/>
      <c r="GS34" s="134"/>
      <c r="GT34" s="134"/>
      <c r="GU34" s="134"/>
      <c r="GV34" s="134"/>
      <c r="GW34" s="134"/>
      <c r="GX34" s="134"/>
      <c r="GY34" s="134"/>
      <c r="GZ34" s="134"/>
      <c r="HA34" s="134"/>
      <c r="HB34" s="134"/>
      <c r="HC34" s="134"/>
    </row>
    <row r="35" spans="1:211" x14ac:dyDescent="0.25">
      <c r="B35" s="123">
        <v>46136</v>
      </c>
      <c r="C35" s="120" t="s">
        <v>222</v>
      </c>
      <c r="W35" s="120" t="s">
        <v>223</v>
      </c>
      <c r="Y35" s="120" t="s">
        <v>224</v>
      </c>
      <c r="Z35" s="120">
        <v>100</v>
      </c>
      <c r="AA35" s="120">
        <v>500</v>
      </c>
      <c r="AB35" s="120">
        <v>85</v>
      </c>
      <c r="AC35" s="118">
        <v>3</v>
      </c>
      <c r="AD35" s="121" t="s">
        <v>246</v>
      </c>
      <c r="AE35" s="120">
        <v>3</v>
      </c>
      <c r="AF35" s="120">
        <v>11.19</v>
      </c>
      <c r="AG35" s="120">
        <v>10.5</v>
      </c>
      <c r="AH35" s="120">
        <v>11.03</v>
      </c>
      <c r="AI35" s="120" t="s">
        <v>247</v>
      </c>
      <c r="AJ35" s="120">
        <v>1</v>
      </c>
      <c r="AK35" s="120">
        <v>1</v>
      </c>
      <c r="AL35" s="120">
        <v>0</v>
      </c>
    </row>
    <row r="36" spans="1:211" x14ac:dyDescent="0.25">
      <c r="AC36" s="124"/>
      <c r="AD36" s="125"/>
      <c r="AE36" s="124"/>
      <c r="AF36" s="124"/>
      <c r="AG36" s="126"/>
      <c r="AH36" s="126"/>
      <c r="AI36" s="124"/>
      <c r="AJ36" s="127" t="s">
        <v>31</v>
      </c>
      <c r="AL36" s="120">
        <v>14.42</v>
      </c>
    </row>
    <row r="37" spans="1:211" s="134" customFormat="1" x14ac:dyDescent="0.25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4"/>
      <c r="AD37" s="125"/>
      <c r="AE37" s="124"/>
      <c r="AF37" s="124"/>
      <c r="AG37" s="126"/>
      <c r="AH37" s="126"/>
      <c r="AI37" s="124"/>
      <c r="AJ37" s="127" t="s">
        <v>33</v>
      </c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2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0"/>
      <c r="CR37" s="120"/>
      <c r="CS37" s="120"/>
      <c r="CT37" s="120"/>
      <c r="CU37" s="120"/>
      <c r="CV37" s="120"/>
      <c r="CW37" s="120"/>
      <c r="CX37" s="120"/>
      <c r="CY37" s="120"/>
      <c r="CZ37" s="120"/>
      <c r="DA37" s="120"/>
      <c r="DB37" s="120"/>
      <c r="DC37" s="120"/>
      <c r="DD37" s="120"/>
      <c r="DE37" s="120"/>
      <c r="DF37" s="120"/>
      <c r="DG37" s="120"/>
      <c r="DH37" s="120"/>
      <c r="DI37" s="120"/>
      <c r="DJ37" s="120"/>
      <c r="DK37" s="120"/>
      <c r="DL37" s="120"/>
      <c r="DM37" s="120"/>
      <c r="DN37" s="120"/>
      <c r="DO37" s="120"/>
      <c r="DP37" s="120"/>
      <c r="DQ37" s="120"/>
      <c r="DR37" s="120"/>
      <c r="DS37" s="120"/>
      <c r="DT37" s="120"/>
      <c r="DU37" s="120"/>
      <c r="DV37" s="120"/>
      <c r="DW37" s="120"/>
      <c r="DX37" s="120"/>
      <c r="DY37" s="120"/>
      <c r="DZ37" s="120"/>
      <c r="EA37" s="120"/>
      <c r="EB37" s="120"/>
      <c r="EC37" s="120"/>
      <c r="ED37" s="120"/>
      <c r="EE37" s="120"/>
      <c r="EF37" s="120"/>
      <c r="EG37" s="120"/>
      <c r="EH37" s="120"/>
      <c r="EI37" s="120"/>
      <c r="EJ37" s="120"/>
      <c r="EK37" s="120"/>
      <c r="EL37" s="120"/>
      <c r="EM37" s="120"/>
      <c r="EN37" s="120"/>
      <c r="EO37" s="120"/>
      <c r="EP37" s="120"/>
      <c r="EQ37" s="120"/>
      <c r="ER37" s="120"/>
      <c r="ES37" s="120"/>
      <c r="ET37" s="120"/>
      <c r="EU37" s="120"/>
      <c r="EV37" s="120"/>
      <c r="EW37" s="120"/>
      <c r="EX37" s="120"/>
      <c r="EY37" s="120"/>
      <c r="EZ37" s="120"/>
      <c r="FA37" s="120"/>
      <c r="FB37" s="120"/>
      <c r="FC37" s="120"/>
      <c r="FD37" s="120"/>
      <c r="FE37" s="120"/>
      <c r="FF37" s="120"/>
      <c r="FG37" s="120"/>
      <c r="FH37" s="120"/>
      <c r="FI37" s="120"/>
      <c r="FJ37" s="120"/>
      <c r="FK37" s="120"/>
      <c r="FL37" s="120"/>
      <c r="FM37" s="120"/>
      <c r="FN37" s="120"/>
      <c r="FO37" s="120"/>
      <c r="FP37" s="120"/>
      <c r="FQ37" s="120"/>
      <c r="FR37" s="120"/>
      <c r="FS37" s="120"/>
      <c r="FT37" s="120"/>
      <c r="FU37" s="120"/>
      <c r="FV37" s="120"/>
      <c r="FW37" s="120"/>
      <c r="FX37" s="120"/>
      <c r="FY37" s="120"/>
      <c r="FZ37" s="120"/>
      <c r="GA37" s="120"/>
      <c r="GB37" s="120"/>
      <c r="GC37" s="120"/>
      <c r="GD37" s="120"/>
      <c r="GE37" s="120"/>
      <c r="GF37" s="120"/>
      <c r="GG37" s="120"/>
      <c r="GH37" s="120"/>
      <c r="GI37" s="120"/>
      <c r="GJ37" s="120"/>
      <c r="GK37" s="120"/>
      <c r="GL37" s="120"/>
      <c r="GM37" s="120"/>
      <c r="GN37" s="120"/>
      <c r="GO37" s="120"/>
      <c r="GP37" s="120"/>
      <c r="GQ37" s="120"/>
      <c r="GR37" s="120"/>
      <c r="GS37" s="120"/>
      <c r="GT37" s="120"/>
      <c r="GU37" s="120"/>
      <c r="GV37" s="120"/>
      <c r="GW37" s="120"/>
      <c r="GX37" s="120"/>
      <c r="GY37" s="120"/>
      <c r="GZ37" s="120"/>
      <c r="HA37" s="120"/>
      <c r="HB37" s="120"/>
      <c r="HC37" s="120"/>
    </row>
    <row r="38" spans="1:211" x14ac:dyDescent="0.25">
      <c r="AC38" s="124"/>
      <c r="AD38" s="125"/>
      <c r="AE38" s="124"/>
      <c r="AF38" s="124"/>
      <c r="AG38" s="126"/>
      <c r="AH38" s="126"/>
      <c r="AI38" s="124"/>
      <c r="AJ38" s="127" t="s">
        <v>35</v>
      </c>
      <c r="AL38" s="129" t="s">
        <v>225</v>
      </c>
      <c r="EO38" s="134"/>
      <c r="EP38" s="134"/>
      <c r="EQ38" s="134"/>
      <c r="ER38" s="134"/>
      <c r="ES38" s="134"/>
      <c r="ET38" s="134"/>
      <c r="EU38" s="134"/>
      <c r="EV38" s="134"/>
      <c r="EW38" s="134"/>
      <c r="EX38" s="134"/>
      <c r="EY38" s="134"/>
      <c r="EZ38" s="134"/>
      <c r="FA38" s="134"/>
      <c r="FB38" s="134"/>
      <c r="FC38" s="134"/>
      <c r="FD38" s="134"/>
      <c r="FE38" s="134"/>
      <c r="FF38" s="134"/>
      <c r="FG38" s="134"/>
      <c r="FH38" s="134"/>
      <c r="FI38" s="134"/>
      <c r="FJ38" s="134"/>
      <c r="FK38" s="134"/>
      <c r="FL38" s="134"/>
      <c r="FM38" s="134"/>
      <c r="FN38" s="134"/>
      <c r="FO38" s="134"/>
      <c r="FP38" s="134"/>
      <c r="FQ38" s="134"/>
      <c r="FR38" s="134"/>
      <c r="FS38" s="134"/>
      <c r="FT38" s="134"/>
      <c r="FU38" s="134"/>
      <c r="FV38" s="134"/>
      <c r="FW38" s="134"/>
      <c r="FX38" s="134"/>
      <c r="FY38" s="134"/>
      <c r="FZ38" s="134"/>
      <c r="GA38" s="134"/>
      <c r="GB38" s="134"/>
      <c r="GC38" s="134"/>
      <c r="GD38" s="134"/>
      <c r="GE38" s="134"/>
      <c r="GF38" s="134"/>
      <c r="GG38" s="134"/>
      <c r="GH38" s="134"/>
      <c r="GI38" s="134"/>
      <c r="GJ38" s="134"/>
      <c r="GK38" s="134"/>
      <c r="GL38" s="134"/>
      <c r="GM38" s="134"/>
      <c r="GN38" s="134"/>
      <c r="GO38" s="134"/>
      <c r="GP38" s="134"/>
      <c r="GQ38" s="134"/>
      <c r="GR38" s="134"/>
      <c r="GS38" s="134"/>
      <c r="GT38" s="134"/>
      <c r="GU38" s="134"/>
      <c r="GV38" s="134"/>
      <c r="GW38" s="134"/>
      <c r="GX38" s="134"/>
      <c r="GY38" s="134"/>
      <c r="GZ38" s="134"/>
      <c r="HA38" s="134"/>
      <c r="HB38" s="134"/>
      <c r="HC38" s="134"/>
    </row>
    <row r="39" spans="1:211" x14ac:dyDescent="0.25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30"/>
      <c r="AD39" s="131"/>
      <c r="AE39" s="130"/>
      <c r="AF39" s="130"/>
      <c r="AG39" s="132"/>
      <c r="AH39" s="132"/>
      <c r="AI39" s="130"/>
      <c r="AJ39" s="133" t="s">
        <v>37</v>
      </c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</row>
    <row r="40" spans="1:211" x14ac:dyDescent="0.25">
      <c r="AC40" s="118"/>
      <c r="AI40" s="120" t="s">
        <v>248</v>
      </c>
      <c r="AJ40" s="120">
        <v>2</v>
      </c>
      <c r="AK40" s="120">
        <v>1</v>
      </c>
      <c r="AT40" s="120">
        <v>1</v>
      </c>
      <c r="AX40" s="120">
        <v>1</v>
      </c>
      <c r="AZ40" s="120">
        <v>1</v>
      </c>
      <c r="BA40" s="120">
        <v>0</v>
      </c>
    </row>
    <row r="41" spans="1:211" x14ac:dyDescent="0.25">
      <c r="AC41" s="124"/>
      <c r="AD41" s="125"/>
      <c r="AE41" s="124"/>
      <c r="AF41" s="124"/>
      <c r="AG41" s="126"/>
      <c r="AH41" s="126"/>
      <c r="AI41" s="124"/>
      <c r="AJ41" s="127" t="s">
        <v>31</v>
      </c>
      <c r="AT41" s="120">
        <v>14.44</v>
      </c>
      <c r="AX41" s="120">
        <v>16.13</v>
      </c>
      <c r="AZ41" s="120">
        <v>19.07</v>
      </c>
      <c r="BA41" s="120">
        <v>20.309999999999999</v>
      </c>
    </row>
    <row r="42" spans="1:211" s="128" customFormat="1" x14ac:dyDescent="0.25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4"/>
      <c r="AD42" s="125"/>
      <c r="AE42" s="124"/>
      <c r="AF42" s="124"/>
      <c r="AG42" s="126"/>
      <c r="AH42" s="126"/>
      <c r="AI42" s="124"/>
      <c r="AJ42" s="127" t="s">
        <v>33</v>
      </c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2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0"/>
      <c r="CQ42" s="120"/>
      <c r="CR42" s="120"/>
      <c r="CS42" s="120"/>
      <c r="CT42" s="120"/>
      <c r="CU42" s="120"/>
      <c r="CV42" s="120"/>
      <c r="CW42" s="120"/>
      <c r="CX42" s="120"/>
      <c r="CY42" s="120"/>
      <c r="CZ42" s="120"/>
      <c r="DA42" s="120"/>
      <c r="DB42" s="120"/>
      <c r="DC42" s="120"/>
      <c r="DD42" s="120"/>
      <c r="DE42" s="120"/>
      <c r="DF42" s="120"/>
      <c r="DG42" s="120"/>
      <c r="DH42" s="120"/>
      <c r="DI42" s="120"/>
      <c r="DJ42" s="120"/>
      <c r="DK42" s="120"/>
      <c r="DL42" s="120"/>
      <c r="DM42" s="120"/>
      <c r="DN42" s="120"/>
      <c r="DO42" s="120"/>
      <c r="DP42" s="120"/>
      <c r="DQ42" s="120"/>
      <c r="DR42" s="120"/>
      <c r="DS42" s="120"/>
      <c r="DT42" s="120"/>
      <c r="DU42" s="120"/>
      <c r="DV42" s="120"/>
      <c r="DW42" s="120"/>
      <c r="DX42" s="120"/>
      <c r="DY42" s="120"/>
      <c r="DZ42" s="120"/>
      <c r="EA42" s="120"/>
      <c r="EB42" s="120"/>
      <c r="EC42" s="120"/>
      <c r="ED42" s="120"/>
      <c r="EE42" s="120"/>
      <c r="EF42" s="120"/>
      <c r="EG42" s="120"/>
      <c r="EH42" s="120"/>
      <c r="EI42" s="120"/>
      <c r="EJ42" s="120"/>
      <c r="EK42" s="120"/>
      <c r="EL42" s="120"/>
      <c r="EM42" s="120"/>
      <c r="EN42" s="120"/>
      <c r="EO42" s="120"/>
      <c r="EP42" s="120"/>
      <c r="EQ42" s="120"/>
      <c r="ER42" s="120"/>
      <c r="ES42" s="120"/>
      <c r="ET42" s="120"/>
      <c r="EU42" s="120"/>
      <c r="EV42" s="120"/>
      <c r="EW42" s="120"/>
      <c r="EX42" s="120"/>
      <c r="EY42" s="120"/>
      <c r="EZ42" s="120"/>
      <c r="FA42" s="120"/>
      <c r="FB42" s="120"/>
      <c r="FC42" s="120"/>
      <c r="FD42" s="120"/>
      <c r="FE42" s="120"/>
      <c r="FF42" s="120"/>
      <c r="FG42" s="120"/>
      <c r="FH42" s="120"/>
      <c r="FI42" s="120"/>
      <c r="FJ42" s="120"/>
      <c r="FK42" s="120"/>
      <c r="FL42" s="120"/>
      <c r="FM42" s="120"/>
      <c r="FN42" s="120"/>
      <c r="FO42" s="120"/>
      <c r="FP42" s="120"/>
      <c r="FQ42" s="120"/>
      <c r="FR42" s="120"/>
      <c r="FS42" s="120"/>
      <c r="FT42" s="120"/>
      <c r="FU42" s="120"/>
      <c r="FV42" s="120"/>
      <c r="FW42" s="120"/>
      <c r="FX42" s="120"/>
      <c r="FY42" s="120"/>
      <c r="FZ42" s="120"/>
      <c r="GA42" s="120"/>
      <c r="GB42" s="120"/>
      <c r="GC42" s="120"/>
      <c r="GD42" s="120"/>
      <c r="GE42" s="120"/>
      <c r="GF42" s="120"/>
      <c r="GG42" s="120"/>
      <c r="GH42" s="120"/>
      <c r="GI42" s="120"/>
      <c r="GJ42" s="120"/>
      <c r="GK42" s="120"/>
      <c r="GL42" s="120"/>
      <c r="GM42" s="120"/>
      <c r="GN42" s="120"/>
      <c r="GO42" s="120"/>
      <c r="GP42" s="120"/>
      <c r="GQ42" s="120"/>
      <c r="GR42" s="120"/>
      <c r="GS42" s="120"/>
      <c r="GT42" s="120"/>
      <c r="GU42" s="120"/>
      <c r="GV42" s="120"/>
      <c r="GW42" s="120"/>
      <c r="GX42" s="120"/>
      <c r="GY42" s="120"/>
      <c r="GZ42" s="120"/>
      <c r="HA42" s="120"/>
      <c r="HB42" s="120"/>
      <c r="HC42" s="120"/>
    </row>
    <row r="43" spans="1:211" x14ac:dyDescent="0.25">
      <c r="AC43" s="124"/>
      <c r="AD43" s="125"/>
      <c r="AE43" s="124"/>
      <c r="AF43" s="124"/>
      <c r="AG43" s="126"/>
      <c r="AH43" s="126"/>
      <c r="AI43" s="124"/>
      <c r="AJ43" s="127" t="s">
        <v>35</v>
      </c>
      <c r="BA43" s="129" t="s">
        <v>225</v>
      </c>
      <c r="EO43" s="128"/>
      <c r="EP43" s="128"/>
      <c r="EQ43" s="128"/>
      <c r="ER43" s="128"/>
      <c r="ES43" s="128"/>
      <c r="ET43" s="128"/>
      <c r="EU43" s="128"/>
      <c r="EV43" s="128"/>
      <c r="EW43" s="128"/>
      <c r="EX43" s="128"/>
      <c r="EY43" s="128"/>
      <c r="EZ43" s="128"/>
      <c r="FA43" s="128"/>
      <c r="FB43" s="128"/>
      <c r="FC43" s="128"/>
      <c r="FD43" s="128"/>
      <c r="FE43" s="128"/>
      <c r="FF43" s="128"/>
      <c r="FG43" s="128"/>
      <c r="FH43" s="128"/>
      <c r="FI43" s="128"/>
      <c r="FJ43" s="128"/>
      <c r="FK43" s="128"/>
      <c r="FL43" s="128"/>
      <c r="FM43" s="128"/>
      <c r="FN43" s="128"/>
      <c r="FO43" s="128"/>
      <c r="FP43" s="128"/>
      <c r="FQ43" s="128"/>
      <c r="FR43" s="128"/>
      <c r="FS43" s="128"/>
      <c r="FT43" s="128"/>
      <c r="FU43" s="128"/>
      <c r="FV43" s="128"/>
      <c r="FW43" s="128"/>
      <c r="FX43" s="128"/>
      <c r="FY43" s="128"/>
      <c r="FZ43" s="128"/>
      <c r="GA43" s="128"/>
      <c r="GB43" s="128"/>
      <c r="GC43" s="128"/>
      <c r="GD43" s="128"/>
      <c r="GE43" s="128"/>
      <c r="GF43" s="128"/>
      <c r="GG43" s="128"/>
      <c r="GH43" s="128"/>
      <c r="GI43" s="128"/>
      <c r="GJ43" s="128"/>
      <c r="GK43" s="128"/>
      <c r="GL43" s="128"/>
      <c r="GM43" s="128"/>
      <c r="GN43" s="128"/>
      <c r="GO43" s="128"/>
      <c r="GP43" s="128"/>
      <c r="GQ43" s="128"/>
      <c r="GR43" s="128"/>
      <c r="GS43" s="128"/>
      <c r="GT43" s="128"/>
      <c r="GU43" s="128"/>
      <c r="GV43" s="128"/>
      <c r="GW43" s="128"/>
      <c r="GX43" s="128"/>
      <c r="GY43" s="128"/>
      <c r="GZ43" s="128"/>
      <c r="HA43" s="128"/>
      <c r="HB43" s="128"/>
      <c r="HC43" s="128"/>
    </row>
    <row r="44" spans="1:211" x14ac:dyDescent="0.25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30"/>
      <c r="AD44" s="131"/>
      <c r="AE44" s="130"/>
      <c r="AF44" s="130"/>
      <c r="AG44" s="132"/>
      <c r="AH44" s="132"/>
      <c r="AI44" s="130"/>
      <c r="AJ44" s="133" t="s">
        <v>37</v>
      </c>
      <c r="AK44" s="128"/>
      <c r="AL44" s="128"/>
      <c r="AM44" s="128"/>
      <c r="AN44" s="128"/>
      <c r="AO44" s="128"/>
      <c r="AP44" s="128"/>
      <c r="AQ44" s="128"/>
      <c r="AR44" s="128"/>
      <c r="AS44" s="128"/>
      <c r="AT44" s="128" t="s">
        <v>226</v>
      </c>
      <c r="AU44" s="128"/>
      <c r="AV44" s="128"/>
      <c r="AW44" s="128"/>
      <c r="AX44" s="128" t="s">
        <v>226</v>
      </c>
      <c r="AY44" s="128"/>
      <c r="AZ44" s="128" t="s">
        <v>226</v>
      </c>
      <c r="BA44" s="128"/>
      <c r="BB44" s="128"/>
      <c r="BC44" s="128"/>
      <c r="BD44" s="128"/>
      <c r="BE44" s="128"/>
    </row>
    <row r="45" spans="1:211" x14ac:dyDescent="0.25">
      <c r="AC45" s="118"/>
      <c r="AI45" s="120" t="s">
        <v>249</v>
      </c>
      <c r="AJ45" s="120">
        <v>3</v>
      </c>
      <c r="AK45" s="120">
        <v>1</v>
      </c>
      <c r="AS45" s="120">
        <v>1</v>
      </c>
      <c r="AV45" s="120">
        <v>1</v>
      </c>
      <c r="AW45" s="120">
        <v>1</v>
      </c>
      <c r="AX45" s="120">
        <v>0</v>
      </c>
    </row>
    <row r="46" spans="1:211" x14ac:dyDescent="0.25">
      <c r="AC46" s="124"/>
      <c r="AD46" s="125"/>
      <c r="AE46" s="124"/>
      <c r="AF46" s="124"/>
      <c r="AG46" s="126"/>
      <c r="AH46" s="126"/>
      <c r="AI46" s="124"/>
      <c r="AJ46" s="127" t="s">
        <v>31</v>
      </c>
      <c r="AS46" s="120">
        <v>14.45</v>
      </c>
      <c r="AV46" s="120">
        <v>16.149999999999999</v>
      </c>
      <c r="AW46" s="120" t="s">
        <v>250</v>
      </c>
      <c r="AX46" s="120">
        <v>20.309999999999999</v>
      </c>
    </row>
    <row r="47" spans="1:211" s="128" customFormat="1" x14ac:dyDescent="0.25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4"/>
      <c r="AD47" s="125"/>
      <c r="AE47" s="124"/>
      <c r="AF47" s="124"/>
      <c r="AG47" s="126"/>
      <c r="AH47" s="126"/>
      <c r="AI47" s="124"/>
      <c r="AJ47" s="127" t="s">
        <v>33</v>
      </c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2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0"/>
      <c r="CR47" s="120"/>
      <c r="CS47" s="120"/>
      <c r="CT47" s="120"/>
      <c r="CU47" s="120"/>
      <c r="CV47" s="120"/>
      <c r="CW47" s="120"/>
      <c r="CX47" s="120"/>
      <c r="CY47" s="120"/>
      <c r="CZ47" s="120"/>
      <c r="DA47" s="120"/>
      <c r="DB47" s="120"/>
      <c r="DC47" s="120"/>
      <c r="DD47" s="120"/>
      <c r="DE47" s="120"/>
      <c r="DF47" s="120"/>
      <c r="DG47" s="120"/>
      <c r="DH47" s="120"/>
      <c r="DI47" s="120"/>
      <c r="DJ47" s="120"/>
      <c r="DK47" s="120"/>
      <c r="DL47" s="120"/>
      <c r="DM47" s="120"/>
      <c r="DN47" s="120"/>
      <c r="DO47" s="120"/>
      <c r="DP47" s="120"/>
      <c r="DQ47" s="120"/>
      <c r="DR47" s="120"/>
      <c r="DS47" s="120"/>
      <c r="DT47" s="120"/>
      <c r="DU47" s="120"/>
      <c r="DV47" s="120"/>
      <c r="DW47" s="120"/>
      <c r="DX47" s="120"/>
      <c r="DY47" s="120"/>
      <c r="DZ47" s="120"/>
      <c r="EA47" s="120"/>
      <c r="EB47" s="120"/>
      <c r="EC47" s="120"/>
      <c r="ED47" s="120"/>
      <c r="EE47" s="120"/>
      <c r="EF47" s="120"/>
      <c r="EG47" s="120"/>
      <c r="EH47" s="120"/>
      <c r="EI47" s="120"/>
      <c r="EJ47" s="120"/>
      <c r="EK47" s="120"/>
      <c r="EL47" s="120"/>
      <c r="EM47" s="120"/>
      <c r="EN47" s="120"/>
      <c r="EO47" s="120"/>
      <c r="EP47" s="120"/>
      <c r="EQ47" s="120"/>
      <c r="ER47" s="120"/>
      <c r="ES47" s="120"/>
      <c r="ET47" s="120"/>
      <c r="EU47" s="120"/>
      <c r="EV47" s="120"/>
      <c r="EW47" s="120"/>
      <c r="EX47" s="120"/>
      <c r="EY47" s="120"/>
      <c r="EZ47" s="120"/>
      <c r="FA47" s="120"/>
      <c r="FB47" s="120"/>
      <c r="FC47" s="120"/>
      <c r="FD47" s="120"/>
      <c r="FE47" s="120"/>
      <c r="FF47" s="120"/>
      <c r="FG47" s="120"/>
      <c r="FH47" s="120"/>
      <c r="FI47" s="120"/>
      <c r="FJ47" s="120"/>
      <c r="FK47" s="120"/>
      <c r="FL47" s="120"/>
      <c r="FM47" s="120"/>
      <c r="FN47" s="120"/>
      <c r="FO47" s="120"/>
      <c r="FP47" s="120"/>
      <c r="FQ47" s="120"/>
      <c r="FR47" s="120"/>
      <c r="FS47" s="120"/>
      <c r="FT47" s="120"/>
      <c r="FU47" s="120"/>
      <c r="FV47" s="120"/>
      <c r="FW47" s="120"/>
      <c r="FX47" s="120"/>
      <c r="FY47" s="120"/>
      <c r="FZ47" s="120"/>
      <c r="GA47" s="120"/>
      <c r="GB47" s="120"/>
      <c r="GC47" s="120"/>
      <c r="GD47" s="120"/>
      <c r="GE47" s="120"/>
      <c r="GF47" s="120"/>
      <c r="GG47" s="120"/>
      <c r="GH47" s="120"/>
      <c r="GI47" s="120"/>
      <c r="GJ47" s="120"/>
      <c r="GK47" s="120"/>
      <c r="GL47" s="120"/>
      <c r="GM47" s="120"/>
      <c r="GN47" s="120"/>
      <c r="GO47" s="120"/>
      <c r="GP47" s="120"/>
      <c r="GQ47" s="120"/>
      <c r="GR47" s="120"/>
      <c r="GS47" s="120"/>
      <c r="GT47" s="120"/>
      <c r="GU47" s="120"/>
      <c r="GV47" s="120"/>
      <c r="GW47" s="120"/>
      <c r="GX47" s="120"/>
      <c r="GY47" s="120"/>
      <c r="GZ47" s="120"/>
      <c r="HA47" s="120"/>
      <c r="HB47" s="120"/>
      <c r="HC47" s="120"/>
    </row>
    <row r="48" spans="1:211" s="134" customFormat="1" x14ac:dyDescent="0.25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4"/>
      <c r="AD48" s="125"/>
      <c r="AE48" s="124"/>
      <c r="AF48" s="124"/>
      <c r="AG48" s="126"/>
      <c r="AH48" s="126"/>
      <c r="AI48" s="124"/>
      <c r="AJ48" s="127" t="s">
        <v>35</v>
      </c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9" t="s">
        <v>225</v>
      </c>
      <c r="AY48" s="120"/>
      <c r="AZ48" s="120"/>
      <c r="BA48" s="120"/>
      <c r="BB48" s="120"/>
      <c r="BC48" s="120"/>
      <c r="BD48" s="120"/>
      <c r="BE48" s="120"/>
      <c r="BF48" s="122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0"/>
      <c r="CR48" s="120"/>
      <c r="CS48" s="120"/>
      <c r="CT48" s="120"/>
      <c r="CU48" s="120"/>
      <c r="CV48" s="120"/>
      <c r="CW48" s="120"/>
      <c r="CX48" s="120"/>
      <c r="CY48" s="120"/>
      <c r="CZ48" s="120"/>
      <c r="DA48" s="120"/>
      <c r="DB48" s="120"/>
      <c r="DC48" s="120"/>
      <c r="DD48" s="120"/>
      <c r="DE48" s="120"/>
      <c r="DF48" s="120"/>
      <c r="DG48" s="120"/>
      <c r="DH48" s="120"/>
      <c r="DI48" s="120"/>
      <c r="DJ48" s="120"/>
      <c r="DK48" s="120"/>
      <c r="DL48" s="120"/>
      <c r="DM48" s="120"/>
      <c r="DN48" s="120"/>
      <c r="DO48" s="120"/>
      <c r="DP48" s="120"/>
      <c r="DQ48" s="120"/>
      <c r="DR48" s="120"/>
      <c r="DS48" s="120"/>
      <c r="DT48" s="120"/>
      <c r="DU48" s="120"/>
      <c r="DV48" s="120"/>
      <c r="DW48" s="120"/>
      <c r="DX48" s="120"/>
      <c r="DY48" s="120"/>
      <c r="DZ48" s="120"/>
      <c r="EA48" s="120"/>
      <c r="EB48" s="120"/>
      <c r="EC48" s="120"/>
      <c r="ED48" s="120"/>
      <c r="EE48" s="120"/>
      <c r="EF48" s="120"/>
      <c r="EG48" s="120"/>
      <c r="EH48" s="120"/>
      <c r="EI48" s="120"/>
      <c r="EJ48" s="120"/>
      <c r="EK48" s="120"/>
      <c r="EL48" s="120"/>
      <c r="EM48" s="120"/>
      <c r="EN48" s="120"/>
      <c r="EO48" s="128"/>
      <c r="EP48" s="128"/>
      <c r="EQ48" s="128"/>
      <c r="ER48" s="128"/>
      <c r="ES48" s="128"/>
      <c r="ET48" s="128"/>
      <c r="EU48" s="128"/>
      <c r="EV48" s="128"/>
      <c r="EW48" s="128"/>
      <c r="EX48" s="128"/>
      <c r="EY48" s="128"/>
      <c r="EZ48" s="128"/>
      <c r="FA48" s="128"/>
      <c r="FB48" s="128"/>
      <c r="FC48" s="128"/>
      <c r="FD48" s="128"/>
      <c r="FE48" s="128"/>
      <c r="FF48" s="128"/>
      <c r="FG48" s="128"/>
      <c r="FH48" s="128"/>
      <c r="FI48" s="128"/>
      <c r="FJ48" s="128"/>
      <c r="FK48" s="128"/>
      <c r="FL48" s="128"/>
      <c r="FM48" s="128"/>
      <c r="FN48" s="128"/>
      <c r="FO48" s="128"/>
      <c r="FP48" s="128"/>
      <c r="FQ48" s="128"/>
      <c r="FR48" s="128"/>
      <c r="FS48" s="128"/>
      <c r="FT48" s="128"/>
      <c r="FU48" s="128"/>
      <c r="FV48" s="128"/>
      <c r="FW48" s="128"/>
      <c r="FX48" s="128"/>
      <c r="FY48" s="128"/>
      <c r="FZ48" s="128"/>
      <c r="GA48" s="128"/>
      <c r="GB48" s="128"/>
      <c r="GC48" s="128"/>
      <c r="GD48" s="128"/>
      <c r="GE48" s="128"/>
      <c r="GF48" s="128"/>
      <c r="GG48" s="128"/>
      <c r="GH48" s="128"/>
      <c r="GI48" s="128"/>
      <c r="GJ48" s="128"/>
      <c r="GK48" s="128"/>
      <c r="GL48" s="128"/>
      <c r="GM48" s="128"/>
      <c r="GN48" s="128"/>
      <c r="GO48" s="128"/>
      <c r="GP48" s="128"/>
      <c r="GQ48" s="128"/>
      <c r="GR48" s="128"/>
      <c r="GS48" s="128"/>
      <c r="GT48" s="128"/>
      <c r="GU48" s="128"/>
      <c r="GV48" s="128"/>
      <c r="GW48" s="128"/>
      <c r="GX48" s="128"/>
      <c r="GY48" s="128"/>
      <c r="GZ48" s="128"/>
      <c r="HA48" s="128"/>
      <c r="HB48" s="128"/>
      <c r="HC48" s="128"/>
    </row>
    <row r="49" spans="1:211" x14ac:dyDescent="0.25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5"/>
      <c r="AD49" s="136"/>
      <c r="AE49" s="135"/>
      <c r="AF49" s="135"/>
      <c r="AG49" s="137"/>
      <c r="AH49" s="137"/>
      <c r="AI49" s="135"/>
      <c r="AJ49" s="138" t="s">
        <v>37</v>
      </c>
      <c r="AK49" s="134"/>
      <c r="AL49" s="134"/>
      <c r="AM49" s="134"/>
      <c r="AN49" s="134"/>
      <c r="AO49" s="134"/>
      <c r="AP49" s="134"/>
      <c r="AQ49" s="134"/>
      <c r="AR49" s="134"/>
      <c r="AS49" s="134" t="s">
        <v>229</v>
      </c>
      <c r="AT49" s="134"/>
      <c r="AU49" s="134"/>
      <c r="AV49" s="134" t="s">
        <v>229</v>
      </c>
      <c r="AW49" s="134" t="s">
        <v>229</v>
      </c>
      <c r="AX49" s="134"/>
      <c r="AY49" s="134"/>
      <c r="AZ49" s="134"/>
      <c r="BA49" s="134"/>
      <c r="BB49" s="134"/>
      <c r="BC49" s="134"/>
      <c r="BD49" s="134"/>
      <c r="BE49" s="134"/>
      <c r="BF49" s="139"/>
      <c r="BG49" s="134"/>
      <c r="BH49" s="134"/>
      <c r="BI49" s="134"/>
      <c r="BJ49" s="134"/>
      <c r="BK49" s="134"/>
      <c r="BL49" s="134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  <c r="CY49" s="134"/>
      <c r="CZ49" s="134"/>
      <c r="DA49" s="134"/>
      <c r="DB49" s="134"/>
      <c r="DC49" s="134"/>
      <c r="DD49" s="134"/>
      <c r="DE49" s="134"/>
      <c r="DF49" s="134"/>
      <c r="DG49" s="134"/>
      <c r="DH49" s="134"/>
      <c r="DI49" s="134"/>
      <c r="DJ49" s="134"/>
      <c r="DK49" s="134"/>
      <c r="DL49" s="134"/>
      <c r="DM49" s="134"/>
      <c r="DN49" s="134"/>
      <c r="DO49" s="134"/>
      <c r="DP49" s="134"/>
      <c r="DQ49" s="134"/>
      <c r="DR49" s="134"/>
      <c r="DS49" s="134"/>
      <c r="DT49" s="134"/>
      <c r="DU49" s="134"/>
      <c r="DV49" s="134"/>
      <c r="DW49" s="134"/>
      <c r="DX49" s="134"/>
      <c r="DY49" s="134"/>
      <c r="DZ49" s="134"/>
      <c r="EA49" s="134"/>
      <c r="EB49" s="134"/>
      <c r="EC49" s="134"/>
      <c r="ED49" s="134"/>
      <c r="EE49" s="134"/>
      <c r="EF49" s="134"/>
      <c r="EG49" s="134"/>
      <c r="EH49" s="134"/>
      <c r="EI49" s="134"/>
      <c r="EJ49" s="134"/>
      <c r="EK49" s="134"/>
      <c r="EL49" s="134"/>
      <c r="EM49" s="134"/>
      <c r="EN49" s="134"/>
      <c r="EO49" s="134"/>
      <c r="EP49" s="134"/>
      <c r="EQ49" s="134"/>
      <c r="ER49" s="134"/>
      <c r="ES49" s="134"/>
      <c r="ET49" s="134"/>
      <c r="EU49" s="134"/>
      <c r="EV49" s="134"/>
      <c r="EW49" s="134"/>
      <c r="EX49" s="134"/>
      <c r="EY49" s="134"/>
      <c r="EZ49" s="134"/>
      <c r="FA49" s="134"/>
      <c r="FB49" s="134"/>
      <c r="FC49" s="134"/>
      <c r="FD49" s="134"/>
      <c r="FE49" s="134"/>
      <c r="FF49" s="134"/>
      <c r="FG49" s="134"/>
      <c r="FH49" s="134"/>
      <c r="FI49" s="134"/>
      <c r="FJ49" s="134"/>
      <c r="FK49" s="134"/>
      <c r="FL49" s="134"/>
      <c r="FM49" s="134"/>
      <c r="FN49" s="134"/>
      <c r="FO49" s="134"/>
      <c r="FP49" s="134"/>
      <c r="FQ49" s="134"/>
      <c r="FR49" s="134"/>
      <c r="FS49" s="134"/>
      <c r="FT49" s="134"/>
      <c r="FU49" s="134"/>
      <c r="FV49" s="134"/>
      <c r="FW49" s="134"/>
      <c r="FX49" s="134"/>
      <c r="FY49" s="134"/>
      <c r="FZ49" s="134"/>
      <c r="GA49" s="134"/>
      <c r="GB49" s="134"/>
      <c r="GC49" s="134"/>
      <c r="GD49" s="134"/>
      <c r="GE49" s="134"/>
      <c r="GF49" s="134"/>
      <c r="GG49" s="134"/>
      <c r="GH49" s="134"/>
      <c r="GI49" s="134"/>
      <c r="GJ49" s="134"/>
      <c r="GK49" s="134"/>
      <c r="GL49" s="134"/>
      <c r="GM49" s="134"/>
      <c r="GN49" s="134"/>
      <c r="GO49" s="134"/>
      <c r="GP49" s="134"/>
      <c r="GQ49" s="134"/>
      <c r="GR49" s="134"/>
      <c r="GS49" s="134"/>
      <c r="GT49" s="134"/>
      <c r="GU49" s="134"/>
      <c r="GV49" s="134"/>
      <c r="GW49" s="134"/>
      <c r="GX49" s="134"/>
      <c r="GY49" s="134"/>
      <c r="GZ49" s="134"/>
      <c r="HA49" s="134"/>
      <c r="HB49" s="134"/>
      <c r="HC49" s="134"/>
    </row>
    <row r="50" spans="1:211" x14ac:dyDescent="0.25">
      <c r="B50" s="123">
        <v>46136</v>
      </c>
      <c r="C50" s="120" t="s">
        <v>222</v>
      </c>
      <c r="W50" s="120" t="s">
        <v>223</v>
      </c>
      <c r="Y50" s="120" t="s">
        <v>224</v>
      </c>
      <c r="Z50" s="120">
        <v>100</v>
      </c>
      <c r="AA50" s="120">
        <v>500</v>
      </c>
      <c r="AB50" s="120">
        <v>85</v>
      </c>
      <c r="AC50" s="118">
        <v>4</v>
      </c>
      <c r="AD50" s="121" t="s">
        <v>251</v>
      </c>
      <c r="AE50" s="120">
        <v>2</v>
      </c>
      <c r="AF50" s="120">
        <v>11.29</v>
      </c>
      <c r="AG50" s="120">
        <v>11.05</v>
      </c>
      <c r="AH50" s="120">
        <v>11.15</v>
      </c>
      <c r="AI50" s="120" t="s">
        <v>252</v>
      </c>
      <c r="AJ50" s="120">
        <v>1</v>
      </c>
      <c r="AK50" s="120">
        <v>1</v>
      </c>
      <c r="AL50" s="120">
        <v>0</v>
      </c>
    </row>
    <row r="51" spans="1:211" x14ac:dyDescent="0.25">
      <c r="AC51" s="124"/>
      <c r="AD51" s="125"/>
      <c r="AE51" s="124"/>
      <c r="AF51" s="124"/>
      <c r="AG51" s="126"/>
      <c r="AH51" s="126"/>
      <c r="AI51" s="124"/>
      <c r="AJ51" s="127" t="s">
        <v>31</v>
      </c>
      <c r="AL51" s="120">
        <v>14.43</v>
      </c>
    </row>
    <row r="52" spans="1:211" s="134" customFormat="1" x14ac:dyDescent="0.25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4"/>
      <c r="AD52" s="125"/>
      <c r="AE52" s="124"/>
      <c r="AF52" s="124"/>
      <c r="AG52" s="126"/>
      <c r="AH52" s="126"/>
      <c r="AI52" s="124"/>
      <c r="AJ52" s="127" t="s">
        <v>33</v>
      </c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2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0"/>
      <c r="CR52" s="120"/>
      <c r="CS52" s="120"/>
      <c r="CT52" s="120"/>
      <c r="CU52" s="120"/>
      <c r="CV52" s="120"/>
      <c r="CW52" s="120"/>
      <c r="CX52" s="120"/>
      <c r="CY52" s="120"/>
      <c r="CZ52" s="120"/>
      <c r="DA52" s="120"/>
      <c r="DB52" s="120"/>
      <c r="DC52" s="120"/>
      <c r="DD52" s="120"/>
      <c r="DE52" s="120"/>
      <c r="DF52" s="120"/>
      <c r="DG52" s="120"/>
      <c r="DH52" s="120"/>
      <c r="DI52" s="120"/>
      <c r="DJ52" s="120"/>
      <c r="DK52" s="120"/>
      <c r="DL52" s="120"/>
      <c r="DM52" s="120"/>
      <c r="DN52" s="120"/>
      <c r="DO52" s="120"/>
      <c r="DP52" s="120"/>
      <c r="DQ52" s="120"/>
      <c r="DR52" s="120"/>
      <c r="DS52" s="120"/>
      <c r="DT52" s="120"/>
      <c r="DU52" s="120"/>
      <c r="DV52" s="120"/>
      <c r="DW52" s="120"/>
      <c r="DX52" s="120"/>
      <c r="DY52" s="120"/>
      <c r="DZ52" s="120"/>
      <c r="EA52" s="120"/>
      <c r="EB52" s="120"/>
      <c r="EC52" s="120"/>
      <c r="ED52" s="120"/>
      <c r="EE52" s="120"/>
      <c r="EF52" s="120"/>
      <c r="EG52" s="120"/>
      <c r="EH52" s="120"/>
      <c r="EI52" s="120"/>
      <c r="EJ52" s="120"/>
      <c r="EK52" s="120"/>
      <c r="EL52" s="120"/>
      <c r="EM52" s="120"/>
      <c r="EN52" s="120"/>
      <c r="EO52" s="120"/>
      <c r="EP52" s="120"/>
      <c r="EQ52" s="120"/>
      <c r="ER52" s="120"/>
      <c r="ES52" s="120"/>
      <c r="ET52" s="120"/>
      <c r="EU52" s="120"/>
      <c r="EV52" s="120"/>
      <c r="EW52" s="120"/>
      <c r="EX52" s="120"/>
      <c r="EY52" s="120"/>
      <c r="EZ52" s="120"/>
      <c r="FA52" s="120"/>
      <c r="FB52" s="120"/>
      <c r="FC52" s="120"/>
      <c r="FD52" s="120"/>
      <c r="FE52" s="120"/>
      <c r="FF52" s="120"/>
      <c r="FG52" s="120"/>
      <c r="FH52" s="120"/>
      <c r="FI52" s="120"/>
      <c r="FJ52" s="120"/>
      <c r="FK52" s="120"/>
      <c r="FL52" s="120"/>
      <c r="FM52" s="120"/>
      <c r="FN52" s="120"/>
      <c r="FO52" s="120"/>
      <c r="FP52" s="120"/>
      <c r="FQ52" s="120"/>
      <c r="FR52" s="120"/>
      <c r="FS52" s="120"/>
      <c r="FT52" s="120"/>
      <c r="FU52" s="120"/>
      <c r="FV52" s="120"/>
      <c r="FW52" s="120"/>
      <c r="FX52" s="120"/>
      <c r="FY52" s="120"/>
      <c r="FZ52" s="120"/>
      <c r="GA52" s="120"/>
      <c r="GB52" s="120"/>
      <c r="GC52" s="120"/>
      <c r="GD52" s="120"/>
      <c r="GE52" s="120"/>
      <c r="GF52" s="120"/>
      <c r="GG52" s="120"/>
      <c r="GH52" s="120"/>
      <c r="GI52" s="120"/>
      <c r="GJ52" s="120"/>
      <c r="GK52" s="120"/>
      <c r="GL52" s="120"/>
      <c r="GM52" s="120"/>
      <c r="GN52" s="120"/>
      <c r="GO52" s="120"/>
      <c r="GP52" s="120"/>
      <c r="GQ52" s="120"/>
      <c r="GR52" s="120"/>
      <c r="GS52" s="120"/>
      <c r="GT52" s="120"/>
      <c r="GU52" s="120"/>
      <c r="GV52" s="120"/>
      <c r="GW52" s="120"/>
      <c r="GX52" s="120"/>
      <c r="GY52" s="120"/>
      <c r="GZ52" s="120"/>
      <c r="HA52" s="120"/>
      <c r="HB52" s="120"/>
      <c r="HC52" s="120"/>
    </row>
    <row r="53" spans="1:211" x14ac:dyDescent="0.25">
      <c r="AC53" s="124"/>
      <c r="AD53" s="125"/>
      <c r="AE53" s="124"/>
      <c r="AF53" s="124"/>
      <c r="AG53" s="126"/>
      <c r="AH53" s="126"/>
      <c r="AI53" s="124"/>
      <c r="AJ53" s="127" t="s">
        <v>35</v>
      </c>
      <c r="AL53" s="129" t="s">
        <v>225</v>
      </c>
      <c r="EO53" s="134"/>
      <c r="EP53" s="134"/>
      <c r="EQ53" s="134"/>
      <c r="ER53" s="134"/>
      <c r="ES53" s="134"/>
      <c r="ET53" s="134"/>
      <c r="EU53" s="134"/>
      <c r="EV53" s="134"/>
      <c r="EW53" s="134"/>
      <c r="EX53" s="134"/>
      <c r="EY53" s="134"/>
      <c r="EZ53" s="134"/>
      <c r="FA53" s="134"/>
      <c r="FB53" s="134"/>
      <c r="FC53" s="134"/>
      <c r="FD53" s="134"/>
      <c r="FE53" s="134"/>
      <c r="FF53" s="134"/>
      <c r="FG53" s="134"/>
      <c r="FH53" s="134"/>
      <c r="FI53" s="134"/>
      <c r="FJ53" s="134"/>
      <c r="FK53" s="134"/>
      <c r="FL53" s="134"/>
      <c r="FM53" s="134"/>
      <c r="FN53" s="134"/>
      <c r="FO53" s="134"/>
      <c r="FP53" s="134"/>
      <c r="FQ53" s="134"/>
      <c r="FR53" s="134"/>
      <c r="FS53" s="134"/>
      <c r="FT53" s="134"/>
      <c r="FU53" s="134"/>
      <c r="FV53" s="134"/>
      <c r="FW53" s="134"/>
      <c r="FX53" s="134"/>
      <c r="FY53" s="134"/>
      <c r="FZ53" s="134"/>
      <c r="GA53" s="134"/>
      <c r="GB53" s="134"/>
      <c r="GC53" s="134"/>
      <c r="GD53" s="134"/>
      <c r="GE53" s="134"/>
      <c r="GF53" s="134"/>
      <c r="GG53" s="134"/>
      <c r="GH53" s="134"/>
      <c r="GI53" s="134"/>
      <c r="GJ53" s="134"/>
      <c r="GK53" s="134"/>
      <c r="GL53" s="134"/>
      <c r="GM53" s="134"/>
      <c r="GN53" s="134"/>
      <c r="GO53" s="134"/>
      <c r="GP53" s="134"/>
      <c r="GQ53" s="134"/>
      <c r="GR53" s="134"/>
      <c r="GS53" s="134"/>
      <c r="GT53" s="134"/>
      <c r="GU53" s="134"/>
      <c r="GV53" s="134"/>
      <c r="GW53" s="134"/>
      <c r="GX53" s="134"/>
      <c r="GY53" s="134"/>
      <c r="GZ53" s="134"/>
      <c r="HA53" s="134"/>
      <c r="HB53" s="134"/>
      <c r="HC53" s="134"/>
    </row>
    <row r="54" spans="1:211" x14ac:dyDescent="0.25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30"/>
      <c r="AD54" s="131"/>
      <c r="AE54" s="130"/>
      <c r="AF54" s="130"/>
      <c r="AG54" s="132"/>
      <c r="AH54" s="132"/>
      <c r="AI54" s="130"/>
      <c r="AJ54" s="133" t="s">
        <v>37</v>
      </c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</row>
    <row r="55" spans="1:211" x14ac:dyDescent="0.25">
      <c r="AC55" s="118"/>
      <c r="AI55" s="120" t="s">
        <v>253</v>
      </c>
      <c r="AJ55" s="120">
        <v>2</v>
      </c>
      <c r="AK55" s="120">
        <v>1</v>
      </c>
      <c r="AS55" s="120">
        <v>1</v>
      </c>
      <c r="AX55" s="120">
        <v>1</v>
      </c>
      <c r="BA55" s="120">
        <v>1</v>
      </c>
      <c r="BB55" s="120">
        <v>0</v>
      </c>
    </row>
    <row r="56" spans="1:211" x14ac:dyDescent="0.25">
      <c r="AC56" s="124"/>
      <c r="AD56" s="125"/>
      <c r="AE56" s="124"/>
      <c r="AF56" s="124"/>
      <c r="AG56" s="126"/>
      <c r="AH56" s="126"/>
      <c r="AI56" s="124"/>
      <c r="AJ56" s="127" t="s">
        <v>31</v>
      </c>
      <c r="AS56" s="120">
        <v>14.47</v>
      </c>
      <c r="AX56" s="120">
        <v>16.16</v>
      </c>
      <c r="BA56" s="120">
        <v>19.09</v>
      </c>
      <c r="BB56" s="120">
        <v>20</v>
      </c>
    </row>
    <row r="57" spans="1:211" s="128" customFormat="1" x14ac:dyDescent="0.25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4"/>
      <c r="AD57" s="125"/>
      <c r="AE57" s="124"/>
      <c r="AF57" s="124"/>
      <c r="AG57" s="126"/>
      <c r="AH57" s="126"/>
      <c r="AI57" s="124"/>
      <c r="AJ57" s="127" t="s">
        <v>33</v>
      </c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9" t="s">
        <v>225</v>
      </c>
      <c r="BC57" s="120"/>
      <c r="BD57" s="120"/>
      <c r="BE57" s="120"/>
      <c r="BF57" s="122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  <c r="CE57" s="120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0"/>
      <c r="CQ57" s="120"/>
      <c r="CR57" s="120"/>
      <c r="CS57" s="120"/>
      <c r="CT57" s="120"/>
      <c r="CU57" s="120"/>
      <c r="CV57" s="120"/>
      <c r="CW57" s="120"/>
      <c r="CX57" s="120"/>
      <c r="CY57" s="120"/>
      <c r="CZ57" s="120"/>
      <c r="DA57" s="120"/>
      <c r="DB57" s="120"/>
      <c r="DC57" s="120"/>
      <c r="DD57" s="120"/>
      <c r="DE57" s="120"/>
      <c r="DF57" s="120"/>
      <c r="DG57" s="120"/>
      <c r="DH57" s="120"/>
      <c r="DI57" s="120"/>
      <c r="DJ57" s="120"/>
      <c r="DK57" s="120"/>
      <c r="DL57" s="120"/>
      <c r="DM57" s="120"/>
      <c r="DN57" s="120"/>
      <c r="DO57" s="120"/>
      <c r="DP57" s="120"/>
      <c r="DQ57" s="120"/>
      <c r="DR57" s="120"/>
      <c r="DS57" s="120"/>
      <c r="DT57" s="120"/>
      <c r="DU57" s="120"/>
      <c r="DV57" s="120"/>
      <c r="DW57" s="120"/>
      <c r="DX57" s="120"/>
      <c r="DY57" s="120"/>
      <c r="DZ57" s="120"/>
      <c r="EA57" s="120"/>
      <c r="EB57" s="120"/>
      <c r="EC57" s="120"/>
      <c r="ED57" s="120"/>
      <c r="EE57" s="120"/>
      <c r="EF57" s="120"/>
      <c r="EG57" s="120"/>
      <c r="EH57" s="120"/>
      <c r="EI57" s="120"/>
      <c r="EJ57" s="120"/>
      <c r="EK57" s="120"/>
      <c r="EL57" s="120"/>
      <c r="EM57" s="120"/>
      <c r="EN57" s="120"/>
      <c r="EO57" s="120"/>
      <c r="EP57" s="120"/>
      <c r="EQ57" s="120"/>
      <c r="ER57" s="120"/>
      <c r="ES57" s="120"/>
      <c r="ET57" s="120"/>
      <c r="EU57" s="120"/>
      <c r="EV57" s="120"/>
      <c r="EW57" s="120"/>
      <c r="EX57" s="120"/>
      <c r="EY57" s="120"/>
      <c r="EZ57" s="120"/>
      <c r="FA57" s="120"/>
      <c r="FB57" s="120"/>
      <c r="FC57" s="120"/>
      <c r="FD57" s="120"/>
      <c r="FE57" s="120"/>
      <c r="FF57" s="120"/>
      <c r="FG57" s="120"/>
      <c r="FH57" s="120"/>
      <c r="FI57" s="120"/>
      <c r="FJ57" s="120"/>
      <c r="FK57" s="120"/>
      <c r="FL57" s="120"/>
      <c r="FM57" s="120"/>
      <c r="FN57" s="120"/>
      <c r="FO57" s="120"/>
      <c r="FP57" s="120"/>
      <c r="FQ57" s="120"/>
      <c r="FR57" s="120"/>
      <c r="FS57" s="120"/>
      <c r="FT57" s="120"/>
      <c r="FU57" s="120"/>
      <c r="FV57" s="120"/>
      <c r="FW57" s="120"/>
      <c r="FX57" s="120"/>
      <c r="FY57" s="120"/>
      <c r="FZ57" s="120"/>
      <c r="GA57" s="120"/>
      <c r="GB57" s="120"/>
      <c r="GC57" s="120"/>
      <c r="GD57" s="120"/>
      <c r="GE57" s="120"/>
      <c r="GF57" s="120"/>
      <c r="GG57" s="120"/>
      <c r="GH57" s="120"/>
      <c r="GI57" s="120"/>
      <c r="GJ57" s="120"/>
      <c r="GK57" s="120"/>
      <c r="GL57" s="120"/>
      <c r="GM57" s="120"/>
      <c r="GN57" s="120"/>
      <c r="GO57" s="120"/>
      <c r="GP57" s="120"/>
      <c r="GQ57" s="120"/>
      <c r="GR57" s="120"/>
      <c r="GS57" s="120"/>
      <c r="GT57" s="120"/>
      <c r="GU57" s="120"/>
      <c r="GV57" s="120"/>
      <c r="GW57" s="120"/>
      <c r="GX57" s="120"/>
      <c r="GY57" s="120"/>
      <c r="GZ57" s="120"/>
      <c r="HA57" s="120"/>
      <c r="HB57" s="120"/>
      <c r="HC57" s="120"/>
    </row>
    <row r="58" spans="1:211" s="134" customFormat="1" x14ac:dyDescent="0.25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4"/>
      <c r="AD58" s="125"/>
      <c r="AE58" s="124"/>
      <c r="AF58" s="124"/>
      <c r="AG58" s="126"/>
      <c r="AH58" s="126"/>
      <c r="AI58" s="124"/>
      <c r="AJ58" s="127" t="s">
        <v>35</v>
      </c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2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0"/>
      <c r="CQ58" s="120"/>
      <c r="CR58" s="120"/>
      <c r="CS58" s="120"/>
      <c r="CT58" s="120"/>
      <c r="CU58" s="120"/>
      <c r="CV58" s="120"/>
      <c r="CW58" s="120"/>
      <c r="CX58" s="120"/>
      <c r="CY58" s="120"/>
      <c r="CZ58" s="120"/>
      <c r="DA58" s="120"/>
      <c r="DB58" s="120"/>
      <c r="DC58" s="120"/>
      <c r="DD58" s="120"/>
      <c r="DE58" s="120"/>
      <c r="DF58" s="120"/>
      <c r="DG58" s="120"/>
      <c r="DH58" s="120"/>
      <c r="DI58" s="120"/>
      <c r="DJ58" s="120"/>
      <c r="DK58" s="120"/>
      <c r="DL58" s="120"/>
      <c r="DM58" s="120"/>
      <c r="DN58" s="120"/>
      <c r="DO58" s="120"/>
      <c r="DP58" s="120"/>
      <c r="DQ58" s="120"/>
      <c r="DR58" s="120"/>
      <c r="DS58" s="120"/>
      <c r="DT58" s="120"/>
      <c r="DU58" s="120"/>
      <c r="DV58" s="120"/>
      <c r="DW58" s="120"/>
      <c r="DX58" s="120"/>
      <c r="DY58" s="120"/>
      <c r="DZ58" s="120"/>
      <c r="EA58" s="120"/>
      <c r="EB58" s="120"/>
      <c r="EC58" s="120"/>
      <c r="ED58" s="120"/>
      <c r="EE58" s="120"/>
      <c r="EF58" s="120"/>
      <c r="EG58" s="120"/>
      <c r="EH58" s="120"/>
      <c r="EI58" s="120"/>
      <c r="EJ58" s="120"/>
      <c r="EK58" s="120"/>
      <c r="EL58" s="120"/>
      <c r="EM58" s="120"/>
      <c r="EN58" s="120"/>
      <c r="EO58" s="128"/>
      <c r="EP58" s="128"/>
      <c r="EQ58" s="128"/>
      <c r="ER58" s="128"/>
      <c r="ES58" s="128"/>
      <c r="ET58" s="128"/>
      <c r="EU58" s="128"/>
      <c r="EV58" s="128"/>
      <c r="EW58" s="128"/>
      <c r="EX58" s="128"/>
      <c r="EY58" s="128"/>
      <c r="EZ58" s="128"/>
      <c r="FA58" s="128"/>
      <c r="FB58" s="128"/>
      <c r="FC58" s="128"/>
      <c r="FD58" s="128"/>
      <c r="FE58" s="128"/>
      <c r="FF58" s="128"/>
      <c r="FG58" s="128"/>
      <c r="FH58" s="128"/>
      <c r="FI58" s="128"/>
      <c r="FJ58" s="128"/>
      <c r="FK58" s="128"/>
      <c r="FL58" s="128"/>
      <c r="FM58" s="128"/>
      <c r="FN58" s="128"/>
      <c r="FO58" s="128"/>
      <c r="FP58" s="128"/>
      <c r="FQ58" s="128"/>
      <c r="FR58" s="128"/>
      <c r="FS58" s="128"/>
      <c r="FT58" s="128"/>
      <c r="FU58" s="128"/>
      <c r="FV58" s="128"/>
      <c r="FW58" s="128"/>
      <c r="FX58" s="128"/>
      <c r="FY58" s="128"/>
      <c r="FZ58" s="128"/>
      <c r="GA58" s="128"/>
      <c r="GB58" s="128"/>
      <c r="GC58" s="128"/>
      <c r="GD58" s="128"/>
      <c r="GE58" s="128"/>
      <c r="GF58" s="128"/>
      <c r="GG58" s="128"/>
      <c r="GH58" s="128"/>
      <c r="GI58" s="128"/>
      <c r="GJ58" s="128"/>
      <c r="GK58" s="128"/>
      <c r="GL58" s="128"/>
      <c r="GM58" s="128"/>
      <c r="GN58" s="128"/>
      <c r="GO58" s="128"/>
      <c r="GP58" s="128"/>
      <c r="GQ58" s="128"/>
      <c r="GR58" s="128"/>
      <c r="GS58" s="128"/>
      <c r="GT58" s="128"/>
      <c r="GU58" s="128"/>
      <c r="GV58" s="128"/>
      <c r="GW58" s="128"/>
      <c r="GX58" s="128"/>
      <c r="GY58" s="128"/>
      <c r="GZ58" s="128"/>
      <c r="HA58" s="128"/>
      <c r="HB58" s="128"/>
      <c r="HC58" s="128"/>
    </row>
    <row r="59" spans="1:211" x14ac:dyDescent="0.25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5"/>
      <c r="AD59" s="136"/>
      <c r="AE59" s="135"/>
      <c r="AF59" s="135"/>
      <c r="AG59" s="137"/>
      <c r="AH59" s="137"/>
      <c r="AI59" s="135"/>
      <c r="AJ59" s="138" t="s">
        <v>37</v>
      </c>
      <c r="AK59" s="134"/>
      <c r="AL59" s="134"/>
      <c r="AM59" s="134"/>
      <c r="AN59" s="134"/>
      <c r="AO59" s="134"/>
      <c r="AP59" s="134"/>
      <c r="AQ59" s="134"/>
      <c r="AR59" s="134"/>
      <c r="AS59" s="134" t="s">
        <v>229</v>
      </c>
      <c r="AT59" s="134"/>
      <c r="AU59" s="134"/>
      <c r="AV59" s="134"/>
      <c r="AW59" s="134"/>
      <c r="AX59" s="134" t="s">
        <v>229</v>
      </c>
      <c r="AY59" s="134"/>
      <c r="AZ59" s="134"/>
      <c r="BA59" s="134" t="s">
        <v>226</v>
      </c>
      <c r="BB59" s="134"/>
      <c r="BC59" s="134"/>
      <c r="BD59" s="134"/>
      <c r="BE59" s="134"/>
      <c r="BF59" s="139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  <c r="CY59" s="134"/>
      <c r="CZ59" s="134"/>
      <c r="DA59" s="134"/>
      <c r="DB59" s="134"/>
      <c r="DC59" s="134"/>
      <c r="DD59" s="134"/>
      <c r="DE59" s="134"/>
      <c r="DF59" s="134"/>
      <c r="DG59" s="134"/>
      <c r="DH59" s="134"/>
      <c r="DI59" s="134"/>
      <c r="DJ59" s="134"/>
      <c r="DK59" s="134"/>
      <c r="DL59" s="134"/>
      <c r="DM59" s="134"/>
      <c r="DN59" s="134"/>
      <c r="DO59" s="134"/>
      <c r="DP59" s="134"/>
      <c r="DQ59" s="134"/>
      <c r="DR59" s="134"/>
      <c r="DS59" s="134"/>
      <c r="DT59" s="134"/>
      <c r="DU59" s="134"/>
      <c r="DV59" s="134"/>
      <c r="DW59" s="134"/>
      <c r="DX59" s="134"/>
      <c r="DY59" s="134"/>
      <c r="DZ59" s="134"/>
      <c r="EA59" s="134"/>
      <c r="EB59" s="134"/>
      <c r="EC59" s="134"/>
      <c r="ED59" s="134"/>
      <c r="EE59" s="134"/>
      <c r="EF59" s="134"/>
      <c r="EG59" s="134"/>
      <c r="EH59" s="134"/>
      <c r="EI59" s="134"/>
      <c r="EJ59" s="134"/>
      <c r="EK59" s="134"/>
      <c r="EL59" s="134"/>
      <c r="EM59" s="134"/>
      <c r="EN59" s="134"/>
      <c r="EO59" s="134"/>
      <c r="EP59" s="134"/>
      <c r="EQ59" s="134"/>
      <c r="ER59" s="134"/>
      <c r="ES59" s="134"/>
      <c r="ET59" s="134"/>
      <c r="EU59" s="134"/>
      <c r="EV59" s="134"/>
      <c r="EW59" s="134"/>
      <c r="EX59" s="134"/>
      <c r="EY59" s="134"/>
      <c r="EZ59" s="134"/>
      <c r="FA59" s="134"/>
      <c r="FB59" s="134"/>
      <c r="FC59" s="134"/>
      <c r="FD59" s="134"/>
      <c r="FE59" s="134"/>
      <c r="FF59" s="134"/>
      <c r="FG59" s="134"/>
      <c r="FH59" s="134"/>
      <c r="FI59" s="134"/>
      <c r="FJ59" s="134"/>
      <c r="FK59" s="134"/>
      <c r="FL59" s="134"/>
      <c r="FM59" s="134"/>
      <c r="FN59" s="134"/>
      <c r="FO59" s="134"/>
      <c r="FP59" s="134"/>
      <c r="FQ59" s="134"/>
      <c r="FR59" s="134"/>
      <c r="FS59" s="134"/>
      <c r="FT59" s="134"/>
      <c r="FU59" s="134"/>
      <c r="FV59" s="134"/>
      <c r="FW59" s="134"/>
      <c r="FX59" s="134"/>
      <c r="FY59" s="134"/>
      <c r="FZ59" s="134"/>
      <c r="GA59" s="134"/>
      <c r="GB59" s="134"/>
      <c r="GC59" s="134"/>
      <c r="GD59" s="134"/>
      <c r="GE59" s="134"/>
      <c r="GF59" s="134"/>
      <c r="GG59" s="134"/>
      <c r="GH59" s="134"/>
      <c r="GI59" s="134"/>
      <c r="GJ59" s="134"/>
      <c r="GK59" s="134"/>
      <c r="GL59" s="134"/>
      <c r="GM59" s="134"/>
      <c r="GN59" s="134"/>
      <c r="GO59" s="134"/>
      <c r="GP59" s="134"/>
      <c r="GQ59" s="134"/>
      <c r="GR59" s="134"/>
      <c r="GS59" s="134"/>
      <c r="GT59" s="134"/>
      <c r="GU59" s="134"/>
      <c r="GV59" s="134"/>
      <c r="GW59" s="134"/>
      <c r="GX59" s="134"/>
      <c r="GY59" s="134"/>
      <c r="GZ59" s="134"/>
      <c r="HA59" s="134"/>
      <c r="HB59" s="134"/>
      <c r="HC59" s="134"/>
    </row>
    <row r="60" spans="1:211" x14ac:dyDescent="0.25">
      <c r="B60" s="123">
        <v>46136</v>
      </c>
      <c r="C60" s="120" t="s">
        <v>222</v>
      </c>
      <c r="W60" s="120" t="s">
        <v>223</v>
      </c>
      <c r="Y60" s="120" t="s">
        <v>224</v>
      </c>
      <c r="Z60" s="120">
        <v>100</v>
      </c>
      <c r="AA60" s="120">
        <v>500</v>
      </c>
      <c r="AB60" s="120">
        <v>85</v>
      </c>
      <c r="AC60" s="118">
        <v>5</v>
      </c>
      <c r="AD60" s="121" t="s">
        <v>254</v>
      </c>
      <c r="AE60" s="120">
        <v>3</v>
      </c>
      <c r="AF60" s="120">
        <v>11.43</v>
      </c>
      <c r="AG60" s="120">
        <v>11.17</v>
      </c>
      <c r="AH60" s="120">
        <v>11.27</v>
      </c>
      <c r="AI60" s="120" t="s">
        <v>255</v>
      </c>
      <c r="AJ60" s="120">
        <v>1</v>
      </c>
      <c r="AK60" s="120">
        <v>1</v>
      </c>
      <c r="AL60" s="120">
        <v>0</v>
      </c>
    </row>
    <row r="61" spans="1:211" x14ac:dyDescent="0.25">
      <c r="AC61" s="124"/>
      <c r="AD61" s="125"/>
      <c r="AE61" s="124"/>
      <c r="AF61" s="124"/>
      <c r="AG61" s="126"/>
      <c r="AH61" s="126"/>
      <c r="AI61" s="124"/>
      <c r="AJ61" s="127" t="s">
        <v>31</v>
      </c>
      <c r="AL61" s="120">
        <v>14.5</v>
      </c>
    </row>
    <row r="62" spans="1:211" s="128" customFormat="1" x14ac:dyDescent="0.25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4"/>
      <c r="AD62" s="125"/>
      <c r="AE62" s="124"/>
      <c r="AF62" s="124"/>
      <c r="AG62" s="126"/>
      <c r="AH62" s="126"/>
      <c r="AI62" s="124"/>
      <c r="AJ62" s="127" t="s">
        <v>33</v>
      </c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  <c r="AY62" s="120"/>
      <c r="AZ62" s="120"/>
      <c r="BA62" s="120"/>
      <c r="BB62" s="120"/>
      <c r="BC62" s="120"/>
      <c r="BD62" s="120"/>
      <c r="BE62" s="120"/>
      <c r="BF62" s="122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0"/>
      <c r="CF62" s="120"/>
      <c r="CG62" s="120"/>
      <c r="CH62" s="120"/>
      <c r="CI62" s="120"/>
      <c r="CJ62" s="120"/>
      <c r="CK62" s="120"/>
      <c r="CL62" s="120"/>
      <c r="CM62" s="120"/>
      <c r="CN62" s="120"/>
      <c r="CO62" s="120"/>
      <c r="CP62" s="120"/>
      <c r="CQ62" s="120"/>
      <c r="CR62" s="120"/>
      <c r="CS62" s="120"/>
      <c r="CT62" s="120"/>
      <c r="CU62" s="120"/>
      <c r="CV62" s="120"/>
      <c r="CW62" s="120"/>
      <c r="CX62" s="120"/>
      <c r="CY62" s="120"/>
      <c r="CZ62" s="120"/>
      <c r="DA62" s="120"/>
      <c r="DB62" s="120"/>
      <c r="DC62" s="120"/>
      <c r="DD62" s="120"/>
      <c r="DE62" s="120"/>
      <c r="DF62" s="120"/>
      <c r="DG62" s="120"/>
      <c r="DH62" s="120"/>
      <c r="DI62" s="120"/>
      <c r="DJ62" s="120"/>
      <c r="DK62" s="120"/>
      <c r="DL62" s="120"/>
      <c r="DM62" s="120"/>
      <c r="DN62" s="120"/>
      <c r="DO62" s="120"/>
      <c r="DP62" s="120"/>
      <c r="DQ62" s="120"/>
      <c r="DR62" s="120"/>
      <c r="DS62" s="120"/>
      <c r="DT62" s="120"/>
      <c r="DU62" s="120"/>
      <c r="DV62" s="120"/>
      <c r="DW62" s="120"/>
      <c r="DX62" s="120"/>
      <c r="DY62" s="120"/>
      <c r="DZ62" s="120"/>
      <c r="EA62" s="120"/>
      <c r="EB62" s="120"/>
      <c r="EC62" s="120"/>
      <c r="ED62" s="120"/>
      <c r="EE62" s="120"/>
      <c r="EF62" s="120"/>
      <c r="EG62" s="120"/>
      <c r="EH62" s="120"/>
      <c r="EI62" s="120"/>
      <c r="EJ62" s="120"/>
      <c r="EK62" s="120"/>
      <c r="EL62" s="120"/>
      <c r="EM62" s="120"/>
      <c r="EN62" s="120"/>
      <c r="EO62" s="120"/>
      <c r="EP62" s="120"/>
      <c r="EQ62" s="120"/>
      <c r="ER62" s="120"/>
      <c r="ES62" s="120"/>
      <c r="ET62" s="120"/>
      <c r="EU62" s="120"/>
      <c r="EV62" s="120"/>
      <c r="EW62" s="120"/>
      <c r="EX62" s="120"/>
      <c r="EY62" s="120"/>
      <c r="EZ62" s="120"/>
      <c r="FA62" s="120"/>
      <c r="FB62" s="120"/>
      <c r="FC62" s="120"/>
      <c r="FD62" s="120"/>
      <c r="FE62" s="120"/>
      <c r="FF62" s="120"/>
      <c r="FG62" s="120"/>
      <c r="FH62" s="120"/>
      <c r="FI62" s="120"/>
      <c r="FJ62" s="120"/>
      <c r="FK62" s="120"/>
      <c r="FL62" s="120"/>
      <c r="FM62" s="120"/>
      <c r="FN62" s="120"/>
      <c r="FO62" s="120"/>
      <c r="FP62" s="120"/>
      <c r="FQ62" s="120"/>
      <c r="FR62" s="120"/>
      <c r="FS62" s="120"/>
      <c r="FT62" s="120"/>
      <c r="FU62" s="120"/>
      <c r="FV62" s="120"/>
      <c r="FW62" s="120"/>
      <c r="FX62" s="120"/>
      <c r="FY62" s="120"/>
      <c r="FZ62" s="120"/>
      <c r="GA62" s="120"/>
      <c r="GB62" s="120"/>
      <c r="GC62" s="120"/>
      <c r="GD62" s="120"/>
      <c r="GE62" s="120"/>
      <c r="GF62" s="120"/>
      <c r="GG62" s="120"/>
      <c r="GH62" s="120"/>
      <c r="GI62" s="120"/>
      <c r="GJ62" s="120"/>
      <c r="GK62" s="120"/>
      <c r="GL62" s="120"/>
      <c r="GM62" s="120"/>
      <c r="GN62" s="120"/>
      <c r="GO62" s="120"/>
      <c r="GP62" s="120"/>
      <c r="GQ62" s="120"/>
      <c r="GR62" s="120"/>
      <c r="GS62" s="120"/>
      <c r="GT62" s="120"/>
      <c r="GU62" s="120"/>
      <c r="GV62" s="120"/>
      <c r="GW62" s="120"/>
      <c r="GX62" s="120"/>
      <c r="GY62" s="120"/>
      <c r="GZ62" s="120"/>
      <c r="HA62" s="120"/>
      <c r="HB62" s="120"/>
      <c r="HC62" s="120"/>
    </row>
    <row r="63" spans="1:211" x14ac:dyDescent="0.25">
      <c r="AC63" s="124"/>
      <c r="AD63" s="125"/>
      <c r="AE63" s="124"/>
      <c r="AF63" s="124"/>
      <c r="AG63" s="126"/>
      <c r="AH63" s="126"/>
      <c r="AI63" s="124"/>
      <c r="AJ63" s="127" t="s">
        <v>35</v>
      </c>
      <c r="AL63" s="129" t="s">
        <v>225</v>
      </c>
      <c r="EO63" s="128"/>
      <c r="EP63" s="128"/>
      <c r="EQ63" s="128"/>
      <c r="ER63" s="128"/>
      <c r="ES63" s="128"/>
      <c r="ET63" s="128"/>
      <c r="EU63" s="128"/>
      <c r="EV63" s="128"/>
      <c r="EW63" s="128"/>
      <c r="EX63" s="128"/>
      <c r="EY63" s="128"/>
      <c r="EZ63" s="128"/>
      <c r="FA63" s="128"/>
      <c r="FB63" s="128"/>
      <c r="FC63" s="128"/>
      <c r="FD63" s="128"/>
      <c r="FE63" s="128"/>
      <c r="FF63" s="128"/>
      <c r="FG63" s="128"/>
      <c r="FH63" s="128"/>
      <c r="FI63" s="128"/>
      <c r="FJ63" s="128"/>
      <c r="FK63" s="128"/>
      <c r="FL63" s="128"/>
      <c r="FM63" s="128"/>
      <c r="FN63" s="128"/>
      <c r="FO63" s="128"/>
      <c r="FP63" s="128"/>
      <c r="FQ63" s="128"/>
      <c r="FR63" s="128"/>
      <c r="FS63" s="128"/>
      <c r="FT63" s="128"/>
      <c r="FU63" s="128"/>
      <c r="FV63" s="128"/>
      <c r="FW63" s="128"/>
      <c r="FX63" s="128"/>
      <c r="FY63" s="128"/>
      <c r="FZ63" s="128"/>
      <c r="GA63" s="128"/>
      <c r="GB63" s="128"/>
      <c r="GC63" s="128"/>
      <c r="GD63" s="128"/>
      <c r="GE63" s="128"/>
      <c r="GF63" s="128"/>
      <c r="GG63" s="128"/>
      <c r="GH63" s="128"/>
      <c r="GI63" s="128"/>
      <c r="GJ63" s="128"/>
      <c r="GK63" s="128"/>
      <c r="GL63" s="128"/>
      <c r="GM63" s="128"/>
      <c r="GN63" s="128"/>
      <c r="GO63" s="128"/>
      <c r="GP63" s="128"/>
      <c r="GQ63" s="128"/>
      <c r="GR63" s="128"/>
      <c r="GS63" s="128"/>
      <c r="GT63" s="128"/>
      <c r="GU63" s="128"/>
      <c r="GV63" s="128"/>
      <c r="GW63" s="128"/>
      <c r="GX63" s="128"/>
      <c r="GY63" s="128"/>
      <c r="GZ63" s="128"/>
      <c r="HA63" s="128"/>
      <c r="HB63" s="128"/>
      <c r="HC63" s="128"/>
    </row>
    <row r="64" spans="1:211" x14ac:dyDescent="0.25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30"/>
      <c r="AD64" s="131"/>
      <c r="AE64" s="130"/>
      <c r="AF64" s="130"/>
      <c r="AG64" s="132"/>
      <c r="AH64" s="132"/>
      <c r="AI64" s="130"/>
      <c r="AJ64" s="133" t="s">
        <v>37</v>
      </c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</row>
    <row r="65" spans="1:211" x14ac:dyDescent="0.25">
      <c r="AC65" s="118"/>
      <c r="AI65" s="120" t="s">
        <v>256</v>
      </c>
      <c r="AJ65" s="120">
        <v>2</v>
      </c>
      <c r="AK65" s="120">
        <v>1</v>
      </c>
      <c r="AS65" s="120">
        <v>1</v>
      </c>
      <c r="AV65" s="120">
        <v>1</v>
      </c>
      <c r="AW65" s="120">
        <v>0</v>
      </c>
    </row>
    <row r="66" spans="1:211" x14ac:dyDescent="0.25">
      <c r="AC66" s="124"/>
      <c r="AD66" s="125"/>
      <c r="AE66" s="124"/>
      <c r="AF66" s="124"/>
      <c r="AG66" s="126"/>
      <c r="AH66" s="126"/>
      <c r="AI66" s="124"/>
      <c r="AJ66" s="127" t="s">
        <v>31</v>
      </c>
      <c r="AS66" s="120">
        <v>14.5</v>
      </c>
      <c r="AV66" s="120">
        <v>16.18</v>
      </c>
      <c r="AW66" s="120">
        <v>19.12</v>
      </c>
    </row>
    <row r="67" spans="1:211" s="134" customFormat="1" x14ac:dyDescent="0.25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4"/>
      <c r="AD67" s="125"/>
      <c r="AE67" s="124"/>
      <c r="AF67" s="124"/>
      <c r="AG67" s="126"/>
      <c r="AH67" s="126"/>
      <c r="AI67" s="124"/>
      <c r="AJ67" s="127" t="s">
        <v>33</v>
      </c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9" t="s">
        <v>225</v>
      </c>
      <c r="AX67" s="120"/>
      <c r="AY67" s="120"/>
      <c r="AZ67" s="120"/>
      <c r="BA67" s="120"/>
      <c r="BB67" s="120"/>
      <c r="BC67" s="120"/>
      <c r="BD67" s="120"/>
      <c r="BE67" s="120"/>
      <c r="BF67" s="122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  <c r="CE67" s="120"/>
      <c r="CF67" s="120"/>
      <c r="CG67" s="120"/>
      <c r="CH67" s="120"/>
      <c r="CI67" s="120"/>
      <c r="CJ67" s="120"/>
      <c r="CK67" s="120"/>
      <c r="CL67" s="120"/>
      <c r="CM67" s="120"/>
      <c r="CN67" s="120"/>
      <c r="CO67" s="120"/>
      <c r="CP67" s="120"/>
      <c r="CQ67" s="120"/>
      <c r="CR67" s="120"/>
      <c r="CS67" s="120"/>
      <c r="CT67" s="120"/>
      <c r="CU67" s="120"/>
      <c r="CV67" s="120"/>
      <c r="CW67" s="120"/>
      <c r="CX67" s="120"/>
      <c r="CY67" s="120"/>
      <c r="CZ67" s="120"/>
      <c r="DA67" s="120"/>
      <c r="DB67" s="120"/>
      <c r="DC67" s="120"/>
      <c r="DD67" s="120"/>
      <c r="DE67" s="120"/>
      <c r="DF67" s="120"/>
      <c r="DG67" s="120"/>
      <c r="DH67" s="120"/>
      <c r="DI67" s="120"/>
      <c r="DJ67" s="120"/>
      <c r="DK67" s="120"/>
      <c r="DL67" s="120"/>
      <c r="DM67" s="120"/>
      <c r="DN67" s="120"/>
      <c r="DO67" s="120"/>
      <c r="DP67" s="120"/>
      <c r="DQ67" s="120"/>
      <c r="DR67" s="120"/>
      <c r="DS67" s="120"/>
      <c r="DT67" s="120"/>
      <c r="DU67" s="120"/>
      <c r="DV67" s="120"/>
      <c r="DW67" s="120"/>
      <c r="DX67" s="120"/>
      <c r="DY67" s="120"/>
      <c r="DZ67" s="120"/>
      <c r="EA67" s="120"/>
      <c r="EB67" s="120"/>
      <c r="EC67" s="120"/>
      <c r="ED67" s="120"/>
      <c r="EE67" s="120"/>
      <c r="EF67" s="120"/>
      <c r="EG67" s="120"/>
      <c r="EH67" s="120"/>
      <c r="EI67" s="120"/>
      <c r="EJ67" s="120"/>
      <c r="EK67" s="120"/>
      <c r="EL67" s="120"/>
      <c r="EM67" s="120"/>
      <c r="EN67" s="120"/>
      <c r="EO67" s="120"/>
      <c r="EP67" s="120"/>
      <c r="EQ67" s="120"/>
      <c r="ER67" s="120"/>
      <c r="ES67" s="120"/>
      <c r="ET67" s="120"/>
      <c r="EU67" s="120"/>
      <c r="EV67" s="120"/>
      <c r="EW67" s="120"/>
      <c r="EX67" s="120"/>
      <c r="EY67" s="120"/>
      <c r="EZ67" s="120"/>
      <c r="FA67" s="120"/>
      <c r="FB67" s="120"/>
      <c r="FC67" s="120"/>
      <c r="FD67" s="120"/>
      <c r="FE67" s="120"/>
      <c r="FF67" s="120"/>
      <c r="FG67" s="120"/>
      <c r="FH67" s="120"/>
      <c r="FI67" s="120"/>
      <c r="FJ67" s="120"/>
      <c r="FK67" s="120"/>
      <c r="FL67" s="120"/>
      <c r="FM67" s="120"/>
      <c r="FN67" s="120"/>
      <c r="FO67" s="120"/>
      <c r="FP67" s="120"/>
      <c r="FQ67" s="120"/>
      <c r="FR67" s="120"/>
      <c r="FS67" s="120"/>
      <c r="FT67" s="120"/>
      <c r="FU67" s="120"/>
      <c r="FV67" s="120"/>
      <c r="FW67" s="120"/>
      <c r="FX67" s="120"/>
      <c r="FY67" s="120"/>
      <c r="FZ67" s="120"/>
      <c r="GA67" s="120"/>
      <c r="GB67" s="120"/>
      <c r="GC67" s="120"/>
      <c r="GD67" s="120"/>
      <c r="GE67" s="120"/>
      <c r="GF67" s="120"/>
      <c r="GG67" s="120"/>
      <c r="GH67" s="120"/>
      <c r="GI67" s="120"/>
      <c r="GJ67" s="120"/>
      <c r="GK67" s="120"/>
      <c r="GL67" s="120"/>
      <c r="GM67" s="120"/>
      <c r="GN67" s="120"/>
      <c r="GO67" s="120"/>
      <c r="GP67" s="120"/>
      <c r="GQ67" s="120"/>
      <c r="GR67" s="120"/>
      <c r="GS67" s="120"/>
      <c r="GT67" s="120"/>
      <c r="GU67" s="120"/>
      <c r="GV67" s="120"/>
      <c r="GW67" s="120"/>
      <c r="GX67" s="120"/>
      <c r="GY67" s="120"/>
      <c r="GZ67" s="120"/>
      <c r="HA67" s="120"/>
      <c r="HB67" s="120"/>
      <c r="HC67" s="120"/>
    </row>
    <row r="68" spans="1:211" x14ac:dyDescent="0.25">
      <c r="AC68" s="124"/>
      <c r="AD68" s="125"/>
      <c r="AE68" s="124"/>
      <c r="AF68" s="124"/>
      <c r="AG68" s="126"/>
      <c r="AH68" s="126"/>
      <c r="AI68" s="124"/>
      <c r="AJ68" s="127" t="s">
        <v>35</v>
      </c>
      <c r="EO68" s="134"/>
      <c r="EP68" s="134"/>
      <c r="EQ68" s="134"/>
      <c r="ER68" s="134"/>
      <c r="ES68" s="134"/>
      <c r="ET68" s="134"/>
      <c r="EU68" s="134"/>
      <c r="EV68" s="134"/>
      <c r="EW68" s="134"/>
      <c r="EX68" s="134"/>
      <c r="EY68" s="134"/>
      <c r="EZ68" s="134"/>
      <c r="FA68" s="134"/>
      <c r="FB68" s="134"/>
      <c r="FC68" s="134"/>
      <c r="FD68" s="134"/>
      <c r="FE68" s="134"/>
      <c r="FF68" s="134"/>
      <c r="FG68" s="134"/>
      <c r="FH68" s="134"/>
      <c r="FI68" s="134"/>
      <c r="FJ68" s="134"/>
      <c r="FK68" s="134"/>
      <c r="FL68" s="134"/>
      <c r="FM68" s="134"/>
      <c r="FN68" s="134"/>
      <c r="FO68" s="134"/>
      <c r="FP68" s="134"/>
      <c r="FQ68" s="134"/>
      <c r="FR68" s="134"/>
      <c r="FS68" s="134"/>
      <c r="FT68" s="134"/>
      <c r="FU68" s="134"/>
      <c r="FV68" s="134"/>
      <c r="FW68" s="134"/>
      <c r="FX68" s="134"/>
      <c r="FY68" s="134"/>
      <c r="FZ68" s="134"/>
      <c r="GA68" s="134"/>
      <c r="GB68" s="134"/>
      <c r="GC68" s="134"/>
      <c r="GD68" s="134"/>
      <c r="GE68" s="134"/>
      <c r="GF68" s="134"/>
      <c r="GG68" s="134"/>
      <c r="GH68" s="134"/>
      <c r="GI68" s="134"/>
      <c r="GJ68" s="134"/>
      <c r="GK68" s="134"/>
      <c r="GL68" s="134"/>
      <c r="GM68" s="134"/>
      <c r="GN68" s="134"/>
      <c r="GO68" s="134"/>
      <c r="GP68" s="134"/>
      <c r="GQ68" s="134"/>
      <c r="GR68" s="134"/>
      <c r="GS68" s="134"/>
      <c r="GT68" s="134"/>
      <c r="GU68" s="134"/>
      <c r="GV68" s="134"/>
      <c r="GW68" s="134"/>
      <c r="GX68" s="134"/>
      <c r="GY68" s="134"/>
      <c r="GZ68" s="134"/>
      <c r="HA68" s="134"/>
      <c r="HB68" s="134"/>
      <c r="HC68" s="134"/>
    </row>
    <row r="69" spans="1:211" x14ac:dyDescent="0.25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30"/>
      <c r="AD69" s="131"/>
      <c r="AE69" s="130"/>
      <c r="AF69" s="130"/>
      <c r="AG69" s="132"/>
      <c r="AH69" s="132"/>
      <c r="AI69" s="130"/>
      <c r="AJ69" s="133" t="s">
        <v>37</v>
      </c>
      <c r="AK69" s="128"/>
      <c r="AL69" s="128"/>
      <c r="AM69" s="128"/>
      <c r="AN69" s="128"/>
      <c r="AO69" s="128"/>
      <c r="AP69" s="128"/>
      <c r="AQ69" s="128"/>
      <c r="AR69" s="128"/>
      <c r="AS69" s="128" t="s">
        <v>229</v>
      </c>
      <c r="AT69" s="128"/>
      <c r="AU69" s="128"/>
      <c r="AV69" s="128" t="s">
        <v>229</v>
      </c>
      <c r="AW69" s="128"/>
      <c r="AX69" s="128"/>
      <c r="AY69" s="128"/>
      <c r="AZ69" s="128"/>
      <c r="BA69" s="128"/>
      <c r="BB69" s="128"/>
      <c r="BC69" s="128"/>
      <c r="BD69" s="128"/>
      <c r="BE69" s="128"/>
    </row>
    <row r="70" spans="1:211" x14ac:dyDescent="0.25">
      <c r="AC70" s="118"/>
      <c r="AI70" s="120" t="s">
        <v>257</v>
      </c>
      <c r="AJ70" s="120">
        <v>3</v>
      </c>
      <c r="AK70" s="120">
        <v>1</v>
      </c>
      <c r="AL70" s="120">
        <v>0</v>
      </c>
    </row>
    <row r="71" spans="1:211" x14ac:dyDescent="0.25">
      <c r="AC71" s="124"/>
      <c r="AD71" s="125"/>
      <c r="AE71" s="124"/>
      <c r="AF71" s="124"/>
      <c r="AG71" s="126"/>
      <c r="AH71" s="126"/>
      <c r="AI71" s="124"/>
      <c r="AJ71" s="127" t="s">
        <v>31</v>
      </c>
      <c r="AL71" s="120">
        <v>14.5</v>
      </c>
    </row>
    <row r="72" spans="1:211" s="128" customFormat="1" x14ac:dyDescent="0.25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4"/>
      <c r="AD72" s="125"/>
      <c r="AE72" s="124"/>
      <c r="AF72" s="124"/>
      <c r="AG72" s="126"/>
      <c r="AH72" s="126"/>
      <c r="AI72" s="124"/>
      <c r="AJ72" s="127" t="s">
        <v>33</v>
      </c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20"/>
      <c r="BC72" s="120"/>
      <c r="BD72" s="120"/>
      <c r="BE72" s="120"/>
      <c r="BF72" s="122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0"/>
      <c r="CR72" s="120"/>
      <c r="CS72" s="120"/>
      <c r="CT72" s="120"/>
      <c r="CU72" s="120"/>
      <c r="CV72" s="120"/>
      <c r="CW72" s="120"/>
      <c r="CX72" s="120"/>
      <c r="CY72" s="120"/>
      <c r="CZ72" s="120"/>
      <c r="DA72" s="120"/>
      <c r="DB72" s="120"/>
      <c r="DC72" s="120"/>
      <c r="DD72" s="120"/>
      <c r="DE72" s="120"/>
      <c r="DF72" s="120"/>
      <c r="DG72" s="120"/>
      <c r="DH72" s="120"/>
      <c r="DI72" s="120"/>
      <c r="DJ72" s="120"/>
      <c r="DK72" s="120"/>
      <c r="DL72" s="120"/>
      <c r="DM72" s="120"/>
      <c r="DN72" s="120"/>
      <c r="DO72" s="120"/>
      <c r="DP72" s="120"/>
      <c r="DQ72" s="120"/>
      <c r="DR72" s="120"/>
      <c r="DS72" s="120"/>
      <c r="DT72" s="120"/>
      <c r="DU72" s="120"/>
      <c r="DV72" s="120"/>
      <c r="DW72" s="120"/>
      <c r="DX72" s="120"/>
      <c r="DY72" s="120"/>
      <c r="DZ72" s="120"/>
      <c r="EA72" s="120"/>
      <c r="EB72" s="120"/>
      <c r="EC72" s="120"/>
      <c r="ED72" s="120"/>
      <c r="EE72" s="120"/>
      <c r="EF72" s="120"/>
      <c r="EG72" s="120"/>
      <c r="EH72" s="120"/>
      <c r="EI72" s="120"/>
      <c r="EJ72" s="120"/>
      <c r="EK72" s="120"/>
      <c r="EL72" s="120"/>
      <c r="EM72" s="120"/>
      <c r="EN72" s="120"/>
      <c r="EO72" s="120"/>
      <c r="EP72" s="120"/>
      <c r="EQ72" s="120"/>
      <c r="ER72" s="120"/>
      <c r="ES72" s="120"/>
      <c r="ET72" s="120"/>
      <c r="EU72" s="120"/>
      <c r="EV72" s="120"/>
      <c r="EW72" s="120"/>
      <c r="EX72" s="120"/>
      <c r="EY72" s="120"/>
      <c r="EZ72" s="120"/>
      <c r="FA72" s="120"/>
      <c r="FB72" s="120"/>
      <c r="FC72" s="120"/>
      <c r="FD72" s="120"/>
      <c r="FE72" s="120"/>
      <c r="FF72" s="120"/>
      <c r="FG72" s="120"/>
      <c r="FH72" s="120"/>
      <c r="FI72" s="120"/>
      <c r="FJ72" s="120"/>
      <c r="FK72" s="120"/>
      <c r="FL72" s="120"/>
      <c r="FM72" s="120"/>
      <c r="FN72" s="120"/>
      <c r="FO72" s="120"/>
      <c r="FP72" s="120"/>
      <c r="FQ72" s="120"/>
      <c r="FR72" s="120"/>
      <c r="FS72" s="120"/>
      <c r="FT72" s="120"/>
      <c r="FU72" s="120"/>
      <c r="FV72" s="120"/>
      <c r="FW72" s="120"/>
      <c r="FX72" s="120"/>
      <c r="FY72" s="120"/>
      <c r="FZ72" s="120"/>
      <c r="GA72" s="120"/>
      <c r="GB72" s="120"/>
      <c r="GC72" s="120"/>
      <c r="GD72" s="120"/>
      <c r="GE72" s="120"/>
      <c r="GF72" s="120"/>
      <c r="GG72" s="120"/>
      <c r="GH72" s="120"/>
      <c r="GI72" s="120"/>
      <c r="GJ72" s="120"/>
      <c r="GK72" s="120"/>
      <c r="GL72" s="120"/>
      <c r="GM72" s="120"/>
      <c r="GN72" s="120"/>
      <c r="GO72" s="120"/>
      <c r="GP72" s="120"/>
      <c r="GQ72" s="120"/>
      <c r="GR72" s="120"/>
      <c r="GS72" s="120"/>
      <c r="GT72" s="120"/>
      <c r="GU72" s="120"/>
      <c r="GV72" s="120"/>
      <c r="GW72" s="120"/>
      <c r="GX72" s="120"/>
      <c r="GY72" s="120"/>
      <c r="GZ72" s="120"/>
      <c r="HA72" s="120"/>
      <c r="HB72" s="120"/>
      <c r="HC72" s="120"/>
    </row>
    <row r="73" spans="1:211" x14ac:dyDescent="0.25">
      <c r="AC73" s="124"/>
      <c r="AD73" s="125"/>
      <c r="AE73" s="124"/>
      <c r="AF73" s="124"/>
      <c r="AG73" s="126"/>
      <c r="AH73" s="126"/>
      <c r="AI73" s="124"/>
      <c r="AJ73" s="127" t="s">
        <v>35</v>
      </c>
      <c r="AL73" s="129" t="s">
        <v>225</v>
      </c>
      <c r="EO73" s="128"/>
      <c r="EP73" s="128"/>
      <c r="EQ73" s="128"/>
      <c r="ER73" s="128"/>
      <c r="ES73" s="128"/>
      <c r="ET73" s="128"/>
      <c r="EU73" s="128"/>
      <c r="EV73" s="128"/>
      <c r="EW73" s="128"/>
      <c r="EX73" s="128"/>
      <c r="EY73" s="128"/>
      <c r="EZ73" s="128"/>
      <c r="FA73" s="128"/>
      <c r="FB73" s="128"/>
      <c r="FC73" s="128"/>
      <c r="FD73" s="128"/>
      <c r="FE73" s="128"/>
      <c r="FF73" s="128"/>
      <c r="FG73" s="128"/>
      <c r="FH73" s="128"/>
      <c r="FI73" s="128"/>
      <c r="FJ73" s="128"/>
      <c r="FK73" s="128"/>
      <c r="FL73" s="128"/>
      <c r="FM73" s="128"/>
      <c r="FN73" s="128"/>
      <c r="FO73" s="128"/>
      <c r="FP73" s="128"/>
      <c r="FQ73" s="128"/>
      <c r="FR73" s="128"/>
      <c r="FS73" s="128"/>
      <c r="FT73" s="128"/>
      <c r="FU73" s="128"/>
      <c r="FV73" s="128"/>
      <c r="FW73" s="128"/>
      <c r="FX73" s="128"/>
      <c r="FY73" s="128"/>
      <c r="FZ73" s="128"/>
      <c r="GA73" s="128"/>
      <c r="GB73" s="128"/>
      <c r="GC73" s="128"/>
      <c r="GD73" s="128"/>
      <c r="GE73" s="128"/>
      <c r="GF73" s="128"/>
      <c r="GG73" s="128"/>
      <c r="GH73" s="128"/>
      <c r="GI73" s="128"/>
      <c r="GJ73" s="128"/>
      <c r="GK73" s="128"/>
      <c r="GL73" s="128"/>
      <c r="GM73" s="128"/>
      <c r="GN73" s="128"/>
      <c r="GO73" s="128"/>
      <c r="GP73" s="128"/>
      <c r="GQ73" s="128"/>
      <c r="GR73" s="128"/>
      <c r="GS73" s="128"/>
      <c r="GT73" s="128"/>
      <c r="GU73" s="128"/>
      <c r="GV73" s="128"/>
      <c r="GW73" s="128"/>
      <c r="GX73" s="128"/>
      <c r="GY73" s="128"/>
      <c r="GZ73" s="128"/>
      <c r="HA73" s="128"/>
      <c r="HB73" s="128"/>
      <c r="HC73" s="128"/>
    </row>
    <row r="74" spans="1:21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30"/>
      <c r="AD74" s="131"/>
      <c r="AE74" s="130"/>
      <c r="AF74" s="130"/>
      <c r="AG74" s="132"/>
      <c r="AH74" s="132"/>
      <c r="AI74" s="130"/>
      <c r="AJ74" s="133" t="s">
        <v>37</v>
      </c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</row>
    <row r="75" spans="1:211" x14ac:dyDescent="0.25">
      <c r="B75" s="123">
        <v>46136</v>
      </c>
      <c r="C75" s="120" t="s">
        <v>222</v>
      </c>
      <c r="W75" s="120" t="s">
        <v>223</v>
      </c>
      <c r="Y75" s="120" t="s">
        <v>224</v>
      </c>
      <c r="Z75" s="120">
        <v>100</v>
      </c>
      <c r="AA75" s="120">
        <v>500</v>
      </c>
      <c r="AB75" s="120">
        <v>85</v>
      </c>
      <c r="AC75" s="118">
        <v>6</v>
      </c>
      <c r="AD75" s="121" t="s">
        <v>258</v>
      </c>
      <c r="AE75" s="120">
        <v>3</v>
      </c>
      <c r="AF75" s="120">
        <v>11.57</v>
      </c>
      <c r="AG75" s="120">
        <v>11.28</v>
      </c>
      <c r="AH75" s="120">
        <v>11.41</v>
      </c>
      <c r="AI75" s="120" t="s">
        <v>259</v>
      </c>
      <c r="AJ75" s="120">
        <v>1</v>
      </c>
      <c r="AK75" s="120">
        <v>1</v>
      </c>
      <c r="AL75" s="120">
        <v>0</v>
      </c>
    </row>
    <row r="76" spans="1:211" x14ac:dyDescent="0.25">
      <c r="AC76" s="124"/>
      <c r="AD76" s="125"/>
      <c r="AE76" s="124"/>
      <c r="AF76" s="124"/>
      <c r="AG76" s="126"/>
      <c r="AH76" s="126"/>
      <c r="AI76" s="124"/>
      <c r="AJ76" s="127" t="s">
        <v>31</v>
      </c>
      <c r="AL76" s="120">
        <v>19.190000000000001</v>
      </c>
    </row>
    <row r="77" spans="1:211" s="128" customFormat="1" x14ac:dyDescent="0.25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4"/>
      <c r="AD77" s="125"/>
      <c r="AE77" s="124"/>
      <c r="AF77" s="124"/>
      <c r="AG77" s="126"/>
      <c r="AH77" s="126"/>
      <c r="AI77" s="124"/>
      <c r="AJ77" s="127" t="s">
        <v>33</v>
      </c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2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 s="120"/>
      <c r="CH77" s="120"/>
      <c r="CI77" s="120"/>
      <c r="CJ77" s="120"/>
      <c r="CK77" s="120"/>
      <c r="CL77" s="120"/>
      <c r="CM77" s="120"/>
      <c r="CN77" s="120"/>
      <c r="CO77" s="120"/>
      <c r="CP77" s="120"/>
      <c r="CQ77" s="120"/>
      <c r="CR77" s="120"/>
      <c r="CS77" s="120"/>
      <c r="CT77" s="120"/>
      <c r="CU77" s="120"/>
      <c r="CV77" s="120"/>
      <c r="CW77" s="120"/>
      <c r="CX77" s="120"/>
      <c r="CY77" s="120"/>
      <c r="CZ77" s="120"/>
      <c r="DA77" s="120"/>
      <c r="DB77" s="120"/>
      <c r="DC77" s="120"/>
      <c r="DD77" s="120"/>
      <c r="DE77" s="120"/>
      <c r="DF77" s="120"/>
      <c r="DG77" s="120"/>
      <c r="DH77" s="120"/>
      <c r="DI77" s="120"/>
      <c r="DJ77" s="120"/>
      <c r="DK77" s="120"/>
      <c r="DL77" s="120"/>
      <c r="DM77" s="120"/>
      <c r="DN77" s="120"/>
      <c r="DO77" s="120"/>
      <c r="DP77" s="120"/>
      <c r="DQ77" s="120"/>
      <c r="DR77" s="120"/>
      <c r="DS77" s="120"/>
      <c r="DT77" s="120"/>
      <c r="DU77" s="120"/>
      <c r="DV77" s="120"/>
      <c r="DW77" s="120"/>
      <c r="DX77" s="120"/>
      <c r="DY77" s="120"/>
      <c r="DZ77" s="120"/>
      <c r="EA77" s="120"/>
      <c r="EB77" s="120"/>
      <c r="EC77" s="120"/>
      <c r="ED77" s="120"/>
      <c r="EE77" s="120"/>
      <c r="EF77" s="120"/>
      <c r="EG77" s="120"/>
      <c r="EH77" s="120"/>
      <c r="EI77" s="120"/>
      <c r="EJ77" s="120"/>
      <c r="EK77" s="120"/>
      <c r="EL77" s="120"/>
      <c r="EM77" s="120"/>
      <c r="EN77" s="120"/>
      <c r="EO77" s="120"/>
      <c r="EP77" s="120"/>
      <c r="EQ77" s="120"/>
      <c r="ER77" s="120"/>
      <c r="ES77" s="120"/>
      <c r="ET77" s="120"/>
      <c r="EU77" s="120"/>
      <c r="EV77" s="120"/>
      <c r="EW77" s="120"/>
      <c r="EX77" s="120"/>
      <c r="EY77" s="120"/>
      <c r="EZ77" s="120"/>
      <c r="FA77" s="120"/>
      <c r="FB77" s="120"/>
      <c r="FC77" s="120"/>
      <c r="FD77" s="120"/>
      <c r="FE77" s="120"/>
      <c r="FF77" s="120"/>
      <c r="FG77" s="120"/>
      <c r="FH77" s="120"/>
      <c r="FI77" s="120"/>
      <c r="FJ77" s="120"/>
      <c r="FK77" s="120"/>
      <c r="FL77" s="120"/>
      <c r="FM77" s="120"/>
      <c r="FN77" s="120"/>
      <c r="FO77" s="120"/>
      <c r="FP77" s="120"/>
      <c r="FQ77" s="120"/>
      <c r="FR77" s="120"/>
      <c r="FS77" s="120"/>
      <c r="FT77" s="120"/>
      <c r="FU77" s="120"/>
      <c r="FV77" s="120"/>
      <c r="FW77" s="120"/>
      <c r="FX77" s="120"/>
      <c r="FY77" s="120"/>
      <c r="FZ77" s="120"/>
      <c r="GA77" s="120"/>
      <c r="GB77" s="120"/>
      <c r="GC77" s="120"/>
      <c r="GD77" s="120"/>
      <c r="GE77" s="120"/>
      <c r="GF77" s="120"/>
      <c r="GG77" s="120"/>
      <c r="GH77" s="120"/>
      <c r="GI77" s="120"/>
      <c r="GJ77" s="120"/>
      <c r="GK77" s="120"/>
      <c r="GL77" s="120"/>
      <c r="GM77" s="120"/>
      <c r="GN77" s="120"/>
      <c r="GO77" s="120"/>
      <c r="GP77" s="120"/>
      <c r="GQ77" s="120"/>
      <c r="GR77" s="120"/>
      <c r="GS77" s="120"/>
      <c r="GT77" s="120"/>
      <c r="GU77" s="120"/>
      <c r="GV77" s="120"/>
      <c r="GW77" s="120"/>
      <c r="GX77" s="120"/>
      <c r="GY77" s="120"/>
      <c r="GZ77" s="120"/>
      <c r="HA77" s="120"/>
      <c r="HB77" s="120"/>
      <c r="HC77" s="120"/>
    </row>
    <row r="78" spans="1:211" x14ac:dyDescent="0.25">
      <c r="AC78" s="124"/>
      <c r="AD78" s="125"/>
      <c r="AE78" s="124"/>
      <c r="AF78" s="124"/>
      <c r="AG78" s="126"/>
      <c r="AH78" s="126"/>
      <c r="AI78" s="124"/>
      <c r="AJ78" s="127" t="s">
        <v>35</v>
      </c>
      <c r="AL78" s="129" t="s">
        <v>225</v>
      </c>
      <c r="EO78" s="128"/>
      <c r="EP78" s="128"/>
      <c r="EQ78" s="128"/>
      <c r="ER78" s="128"/>
      <c r="ES78" s="128"/>
      <c r="ET78" s="128"/>
      <c r="EU78" s="128"/>
      <c r="EV78" s="128"/>
      <c r="EW78" s="128"/>
      <c r="EX78" s="128"/>
      <c r="EY78" s="128"/>
      <c r="EZ78" s="128"/>
      <c r="FA78" s="128"/>
      <c r="FB78" s="128"/>
      <c r="FC78" s="128"/>
      <c r="FD78" s="128"/>
      <c r="FE78" s="128"/>
      <c r="FF78" s="128"/>
      <c r="FG78" s="128"/>
      <c r="FH78" s="128"/>
      <c r="FI78" s="128"/>
      <c r="FJ78" s="128"/>
      <c r="FK78" s="128"/>
      <c r="FL78" s="128"/>
      <c r="FM78" s="128"/>
      <c r="FN78" s="128"/>
      <c r="FO78" s="128"/>
      <c r="FP78" s="128"/>
      <c r="FQ78" s="128"/>
      <c r="FR78" s="128"/>
      <c r="FS78" s="128"/>
      <c r="FT78" s="128"/>
      <c r="FU78" s="128"/>
      <c r="FV78" s="128"/>
      <c r="FW78" s="128"/>
      <c r="FX78" s="128"/>
      <c r="FY78" s="128"/>
      <c r="FZ78" s="128"/>
      <c r="GA78" s="128"/>
      <c r="GB78" s="128"/>
      <c r="GC78" s="128"/>
      <c r="GD78" s="128"/>
      <c r="GE78" s="128"/>
      <c r="GF78" s="128"/>
      <c r="GG78" s="128"/>
      <c r="GH78" s="128"/>
      <c r="GI78" s="128"/>
      <c r="GJ78" s="128"/>
      <c r="GK78" s="128"/>
      <c r="GL78" s="128"/>
      <c r="GM78" s="128"/>
      <c r="GN78" s="128"/>
      <c r="GO78" s="128"/>
      <c r="GP78" s="128"/>
      <c r="GQ78" s="128"/>
      <c r="GR78" s="128"/>
      <c r="GS78" s="128"/>
      <c r="GT78" s="128"/>
      <c r="GU78" s="128"/>
      <c r="GV78" s="128"/>
      <c r="GW78" s="128"/>
      <c r="GX78" s="128"/>
      <c r="GY78" s="128"/>
      <c r="GZ78" s="128"/>
      <c r="HA78" s="128"/>
      <c r="HB78" s="128"/>
      <c r="HC78" s="128"/>
    </row>
    <row r="79" spans="1:211" x14ac:dyDescent="0.25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30"/>
      <c r="AD79" s="131"/>
      <c r="AE79" s="130"/>
      <c r="AF79" s="130"/>
      <c r="AG79" s="132"/>
      <c r="AH79" s="132"/>
      <c r="AI79" s="130"/>
      <c r="AJ79" s="133" t="s">
        <v>37</v>
      </c>
      <c r="AK79" s="128"/>
      <c r="AL79" s="128"/>
      <c r="AM79" s="134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</row>
    <row r="80" spans="1:211" x14ac:dyDescent="0.25">
      <c r="AC80" s="118"/>
      <c r="AI80" s="120" t="s">
        <v>260</v>
      </c>
      <c r="AJ80" s="120">
        <v>2</v>
      </c>
      <c r="AK80" s="120">
        <v>1</v>
      </c>
      <c r="AL80" s="120">
        <v>0</v>
      </c>
    </row>
    <row r="81" spans="1:211" x14ac:dyDescent="0.25">
      <c r="AC81" s="124"/>
      <c r="AD81" s="125"/>
      <c r="AE81" s="124"/>
      <c r="AF81" s="124"/>
      <c r="AG81" s="126"/>
      <c r="AH81" s="126"/>
      <c r="AI81" s="124"/>
      <c r="AJ81" s="127" t="s">
        <v>31</v>
      </c>
      <c r="AL81" s="120">
        <v>14.56</v>
      </c>
    </row>
    <row r="82" spans="1:211" s="134" customFormat="1" x14ac:dyDescent="0.25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4"/>
      <c r="AD82" s="125"/>
      <c r="AE82" s="124"/>
      <c r="AF82" s="124"/>
      <c r="AG82" s="126"/>
      <c r="AH82" s="126"/>
      <c r="AI82" s="124"/>
      <c r="AJ82" s="127" t="s">
        <v>33</v>
      </c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0"/>
      <c r="AY82" s="120"/>
      <c r="AZ82" s="120"/>
      <c r="BA82" s="120"/>
      <c r="BB82" s="120"/>
      <c r="BC82" s="120"/>
      <c r="BD82" s="120"/>
      <c r="BE82" s="120"/>
      <c r="BF82" s="122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  <c r="CE82" s="120"/>
      <c r="CF82" s="120"/>
      <c r="CG82" s="120"/>
      <c r="CH82" s="120"/>
      <c r="CI82" s="120"/>
      <c r="CJ82" s="120"/>
      <c r="CK82" s="120"/>
      <c r="CL82" s="120"/>
      <c r="CM82" s="120"/>
      <c r="CN82" s="120"/>
      <c r="CO82" s="120"/>
      <c r="CP82" s="120"/>
      <c r="CQ82" s="120"/>
      <c r="CR82" s="120"/>
      <c r="CS82" s="120"/>
      <c r="CT82" s="120"/>
      <c r="CU82" s="120"/>
      <c r="CV82" s="120"/>
      <c r="CW82" s="120"/>
      <c r="CX82" s="120"/>
      <c r="CY82" s="120"/>
      <c r="CZ82" s="120"/>
      <c r="DA82" s="120"/>
      <c r="DB82" s="120"/>
      <c r="DC82" s="120"/>
      <c r="DD82" s="120"/>
      <c r="DE82" s="120"/>
      <c r="DF82" s="120"/>
      <c r="DG82" s="120"/>
      <c r="DH82" s="120"/>
      <c r="DI82" s="120"/>
      <c r="DJ82" s="120"/>
      <c r="DK82" s="120"/>
      <c r="DL82" s="120"/>
      <c r="DM82" s="120"/>
      <c r="DN82" s="120"/>
      <c r="DO82" s="120"/>
      <c r="DP82" s="120"/>
      <c r="DQ82" s="120"/>
      <c r="DR82" s="120"/>
      <c r="DS82" s="120"/>
      <c r="DT82" s="120"/>
      <c r="DU82" s="120"/>
      <c r="DV82" s="120"/>
      <c r="DW82" s="120"/>
      <c r="DX82" s="120"/>
      <c r="DY82" s="120"/>
      <c r="DZ82" s="120"/>
      <c r="EA82" s="120"/>
      <c r="EB82" s="120"/>
      <c r="EC82" s="120"/>
      <c r="ED82" s="120"/>
      <c r="EE82" s="120"/>
      <c r="EF82" s="120"/>
      <c r="EG82" s="120"/>
      <c r="EH82" s="120"/>
      <c r="EI82" s="120"/>
      <c r="EJ82" s="120"/>
      <c r="EK82" s="120"/>
      <c r="EL82" s="120"/>
      <c r="EM82" s="120"/>
      <c r="EN82" s="120"/>
      <c r="EO82" s="120"/>
      <c r="EP82" s="120"/>
      <c r="EQ82" s="120"/>
      <c r="ER82" s="120"/>
      <c r="ES82" s="120"/>
      <c r="ET82" s="120"/>
      <c r="EU82" s="120"/>
      <c r="EV82" s="120"/>
      <c r="EW82" s="120"/>
      <c r="EX82" s="120"/>
      <c r="EY82" s="120"/>
      <c r="EZ82" s="120"/>
      <c r="FA82" s="120"/>
      <c r="FB82" s="120"/>
      <c r="FC82" s="120"/>
      <c r="FD82" s="120"/>
      <c r="FE82" s="120"/>
      <c r="FF82" s="120"/>
      <c r="FG82" s="120"/>
      <c r="FH82" s="120"/>
      <c r="FI82" s="120"/>
      <c r="FJ82" s="120"/>
      <c r="FK82" s="120"/>
      <c r="FL82" s="120"/>
      <c r="FM82" s="120"/>
      <c r="FN82" s="120"/>
      <c r="FO82" s="120"/>
      <c r="FP82" s="120"/>
      <c r="FQ82" s="120"/>
      <c r="FR82" s="120"/>
      <c r="FS82" s="120"/>
      <c r="FT82" s="120"/>
      <c r="FU82" s="120"/>
      <c r="FV82" s="120"/>
      <c r="FW82" s="120"/>
      <c r="FX82" s="120"/>
      <c r="FY82" s="120"/>
      <c r="FZ82" s="120"/>
      <c r="GA82" s="120"/>
      <c r="GB82" s="120"/>
      <c r="GC82" s="120"/>
      <c r="GD82" s="120"/>
      <c r="GE82" s="120"/>
      <c r="GF82" s="120"/>
      <c r="GG82" s="120"/>
      <c r="GH82" s="120"/>
      <c r="GI82" s="120"/>
      <c r="GJ82" s="120"/>
      <c r="GK82" s="120"/>
      <c r="GL82" s="120"/>
      <c r="GM82" s="120"/>
      <c r="GN82" s="120"/>
      <c r="GO82" s="120"/>
      <c r="GP82" s="120"/>
      <c r="GQ82" s="120"/>
      <c r="GR82" s="120"/>
      <c r="GS82" s="120"/>
      <c r="GT82" s="120"/>
      <c r="GU82" s="120"/>
      <c r="GV82" s="120"/>
      <c r="GW82" s="120"/>
      <c r="GX82" s="120"/>
      <c r="GY82" s="120"/>
      <c r="GZ82" s="120"/>
      <c r="HA82" s="120"/>
      <c r="HB82" s="120"/>
      <c r="HC82" s="120"/>
    </row>
    <row r="83" spans="1:211" x14ac:dyDescent="0.25">
      <c r="AC83" s="124"/>
      <c r="AD83" s="125"/>
      <c r="AE83" s="124"/>
      <c r="AF83" s="124"/>
      <c r="AG83" s="126"/>
      <c r="AH83" s="126"/>
      <c r="AI83" s="124"/>
      <c r="AJ83" s="127" t="s">
        <v>35</v>
      </c>
      <c r="AL83" s="129" t="s">
        <v>225</v>
      </c>
      <c r="EO83" s="134"/>
      <c r="EP83" s="134"/>
      <c r="EQ83" s="134"/>
      <c r="ER83" s="134"/>
      <c r="ES83" s="134"/>
      <c r="ET83" s="134"/>
      <c r="EU83" s="134"/>
      <c r="EV83" s="134"/>
      <c r="EW83" s="134"/>
      <c r="EX83" s="134"/>
      <c r="EY83" s="134"/>
      <c r="EZ83" s="134"/>
      <c r="FA83" s="134"/>
      <c r="FB83" s="134"/>
      <c r="FC83" s="134"/>
      <c r="FD83" s="134"/>
      <c r="FE83" s="134"/>
      <c r="FF83" s="134"/>
      <c r="FG83" s="134"/>
      <c r="FH83" s="134"/>
      <c r="FI83" s="134"/>
      <c r="FJ83" s="134"/>
      <c r="FK83" s="134"/>
      <c r="FL83" s="134"/>
      <c r="FM83" s="134"/>
      <c r="FN83" s="134"/>
      <c r="FO83" s="134"/>
      <c r="FP83" s="134"/>
      <c r="FQ83" s="134"/>
      <c r="FR83" s="134"/>
      <c r="FS83" s="134"/>
      <c r="FT83" s="134"/>
      <c r="FU83" s="134"/>
      <c r="FV83" s="134"/>
      <c r="FW83" s="134"/>
      <c r="FX83" s="134"/>
      <c r="FY83" s="134"/>
      <c r="FZ83" s="134"/>
      <c r="GA83" s="134"/>
      <c r="GB83" s="134"/>
      <c r="GC83" s="134"/>
      <c r="GD83" s="134"/>
      <c r="GE83" s="134"/>
      <c r="GF83" s="134"/>
      <c r="GG83" s="134"/>
      <c r="GH83" s="134"/>
      <c r="GI83" s="134"/>
      <c r="GJ83" s="134"/>
      <c r="GK83" s="134"/>
      <c r="GL83" s="134"/>
      <c r="GM83" s="134"/>
      <c r="GN83" s="134"/>
      <c r="GO83" s="134"/>
      <c r="GP83" s="134"/>
      <c r="GQ83" s="134"/>
      <c r="GR83" s="134"/>
      <c r="GS83" s="134"/>
      <c r="GT83" s="134"/>
      <c r="GU83" s="134"/>
      <c r="GV83" s="134"/>
      <c r="GW83" s="134"/>
      <c r="GX83" s="134"/>
      <c r="GY83" s="134"/>
      <c r="GZ83" s="134"/>
      <c r="HA83" s="134"/>
      <c r="HB83" s="134"/>
      <c r="HC83" s="134"/>
    </row>
    <row r="84" spans="1:211" x14ac:dyDescent="0.25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30"/>
      <c r="AD84" s="131"/>
      <c r="AE84" s="130"/>
      <c r="AF84" s="130"/>
      <c r="AG84" s="132"/>
      <c r="AH84" s="132"/>
      <c r="AI84" s="130"/>
      <c r="AJ84" s="133" t="s">
        <v>37</v>
      </c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</row>
    <row r="85" spans="1:211" x14ac:dyDescent="0.25">
      <c r="AC85" s="118"/>
      <c r="AI85" s="120" t="s">
        <v>261</v>
      </c>
      <c r="AJ85" s="120">
        <v>3</v>
      </c>
      <c r="AK85" s="120">
        <v>1</v>
      </c>
      <c r="AL85" s="120">
        <v>0</v>
      </c>
    </row>
    <row r="86" spans="1:211" x14ac:dyDescent="0.25">
      <c r="AC86" s="124"/>
      <c r="AD86" s="125"/>
      <c r="AE86" s="124"/>
      <c r="AF86" s="124"/>
      <c r="AG86" s="126"/>
      <c r="AH86" s="126"/>
      <c r="AI86" s="124"/>
      <c r="AJ86" s="127" t="s">
        <v>31</v>
      </c>
      <c r="AL86" s="120">
        <v>14.57</v>
      </c>
    </row>
    <row r="87" spans="1:211" s="128" customFormat="1" x14ac:dyDescent="0.25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4"/>
      <c r="AD87" s="125"/>
      <c r="AE87" s="124"/>
      <c r="AF87" s="124"/>
      <c r="AG87" s="126"/>
      <c r="AH87" s="126"/>
      <c r="AI87" s="124"/>
      <c r="AJ87" s="127" t="s">
        <v>33</v>
      </c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20"/>
      <c r="BC87" s="120"/>
      <c r="BD87" s="120"/>
      <c r="BE87" s="120"/>
      <c r="BF87" s="122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 s="120"/>
      <c r="CH87" s="120"/>
      <c r="CI87" s="120"/>
      <c r="CJ87" s="120"/>
      <c r="CK87" s="120"/>
      <c r="CL87" s="120"/>
      <c r="CM87" s="120"/>
      <c r="CN87" s="120"/>
      <c r="CO87" s="120"/>
      <c r="CP87" s="120"/>
      <c r="CQ87" s="120"/>
      <c r="CR87" s="120"/>
      <c r="CS87" s="120"/>
      <c r="CT87" s="120"/>
      <c r="CU87" s="120"/>
      <c r="CV87" s="120"/>
      <c r="CW87" s="120"/>
      <c r="CX87" s="120"/>
      <c r="CY87" s="120"/>
      <c r="CZ87" s="120"/>
      <c r="DA87" s="120"/>
      <c r="DB87" s="120"/>
      <c r="DC87" s="120"/>
      <c r="DD87" s="120"/>
      <c r="DE87" s="120"/>
      <c r="DF87" s="120"/>
      <c r="DG87" s="120"/>
      <c r="DH87" s="120"/>
      <c r="DI87" s="120"/>
      <c r="DJ87" s="120"/>
      <c r="DK87" s="120"/>
      <c r="DL87" s="120"/>
      <c r="DM87" s="120"/>
      <c r="DN87" s="120"/>
      <c r="DO87" s="120"/>
      <c r="DP87" s="120"/>
      <c r="DQ87" s="120"/>
      <c r="DR87" s="120"/>
      <c r="DS87" s="120"/>
      <c r="DT87" s="120"/>
      <c r="DU87" s="120"/>
      <c r="DV87" s="120"/>
      <c r="DW87" s="120"/>
      <c r="DX87" s="120"/>
      <c r="DY87" s="120"/>
      <c r="DZ87" s="120"/>
      <c r="EA87" s="120"/>
      <c r="EB87" s="120"/>
      <c r="EC87" s="120"/>
      <c r="ED87" s="120"/>
      <c r="EE87" s="120"/>
      <c r="EF87" s="120"/>
      <c r="EG87" s="120"/>
      <c r="EH87" s="120"/>
      <c r="EI87" s="120"/>
      <c r="EJ87" s="120"/>
      <c r="EK87" s="120"/>
      <c r="EL87" s="120"/>
      <c r="EM87" s="120"/>
      <c r="EN87" s="120"/>
      <c r="EO87" s="120"/>
      <c r="EP87" s="120"/>
      <c r="EQ87" s="120"/>
      <c r="ER87" s="120"/>
      <c r="ES87" s="120"/>
      <c r="ET87" s="120"/>
      <c r="EU87" s="120"/>
      <c r="EV87" s="120"/>
      <c r="EW87" s="120"/>
      <c r="EX87" s="120"/>
      <c r="EY87" s="120"/>
      <c r="EZ87" s="120"/>
      <c r="FA87" s="120"/>
      <c r="FB87" s="120"/>
      <c r="FC87" s="120"/>
      <c r="FD87" s="120"/>
      <c r="FE87" s="120"/>
      <c r="FF87" s="120"/>
      <c r="FG87" s="120"/>
      <c r="FH87" s="120"/>
      <c r="FI87" s="120"/>
      <c r="FJ87" s="120"/>
      <c r="FK87" s="120"/>
      <c r="FL87" s="120"/>
      <c r="FM87" s="120"/>
      <c r="FN87" s="120"/>
      <c r="FO87" s="120"/>
      <c r="FP87" s="120"/>
      <c r="FQ87" s="120"/>
      <c r="FR87" s="120"/>
      <c r="FS87" s="120"/>
      <c r="FT87" s="120"/>
      <c r="FU87" s="120"/>
      <c r="FV87" s="120"/>
      <c r="FW87" s="120"/>
      <c r="FX87" s="120"/>
      <c r="FY87" s="120"/>
      <c r="FZ87" s="120"/>
      <c r="GA87" s="120"/>
      <c r="GB87" s="120"/>
      <c r="GC87" s="120"/>
      <c r="GD87" s="120"/>
      <c r="GE87" s="120"/>
      <c r="GF87" s="120"/>
      <c r="GG87" s="120"/>
      <c r="GH87" s="120"/>
      <c r="GI87" s="120"/>
      <c r="GJ87" s="120"/>
      <c r="GK87" s="120"/>
      <c r="GL87" s="120"/>
      <c r="GM87" s="120"/>
      <c r="GN87" s="120"/>
      <c r="GO87" s="120"/>
      <c r="GP87" s="120"/>
      <c r="GQ87" s="120"/>
      <c r="GR87" s="120"/>
      <c r="GS87" s="120"/>
      <c r="GT87" s="120"/>
      <c r="GU87" s="120"/>
      <c r="GV87" s="120"/>
      <c r="GW87" s="120"/>
      <c r="GX87" s="120"/>
      <c r="GY87" s="120"/>
      <c r="GZ87" s="120"/>
      <c r="HA87" s="120"/>
      <c r="HB87" s="120"/>
      <c r="HC87" s="120"/>
    </row>
    <row r="88" spans="1:211" x14ac:dyDescent="0.25">
      <c r="AC88" s="124"/>
      <c r="AD88" s="125"/>
      <c r="AE88" s="124"/>
      <c r="AF88" s="124"/>
      <c r="AG88" s="126"/>
      <c r="AH88" s="126"/>
      <c r="AI88" s="124"/>
      <c r="AJ88" s="127" t="s">
        <v>35</v>
      </c>
      <c r="AL88" s="129" t="s">
        <v>225</v>
      </c>
      <c r="EO88" s="128"/>
      <c r="EP88" s="128"/>
      <c r="EQ88" s="128"/>
      <c r="ER88" s="128"/>
      <c r="ES88" s="128"/>
      <c r="ET88" s="128"/>
      <c r="EU88" s="128"/>
      <c r="EV88" s="128"/>
      <c r="EW88" s="128"/>
      <c r="EX88" s="128"/>
      <c r="EY88" s="128"/>
      <c r="EZ88" s="128"/>
      <c r="FA88" s="128"/>
      <c r="FB88" s="128"/>
      <c r="FC88" s="128"/>
      <c r="FD88" s="128"/>
      <c r="FE88" s="128"/>
      <c r="FF88" s="128"/>
      <c r="FG88" s="128"/>
      <c r="FH88" s="128"/>
      <c r="FI88" s="128"/>
      <c r="FJ88" s="128"/>
      <c r="FK88" s="128"/>
      <c r="FL88" s="128"/>
      <c r="FM88" s="128"/>
      <c r="FN88" s="128"/>
      <c r="FO88" s="128"/>
      <c r="FP88" s="128"/>
      <c r="FQ88" s="128"/>
      <c r="FR88" s="128"/>
      <c r="FS88" s="128"/>
      <c r="FT88" s="128"/>
      <c r="FU88" s="128"/>
      <c r="FV88" s="128"/>
      <c r="FW88" s="128"/>
      <c r="FX88" s="128"/>
      <c r="FY88" s="128"/>
      <c r="FZ88" s="128"/>
      <c r="GA88" s="128"/>
      <c r="GB88" s="128"/>
      <c r="GC88" s="128"/>
      <c r="GD88" s="128"/>
      <c r="GE88" s="128"/>
      <c r="GF88" s="128"/>
      <c r="GG88" s="128"/>
      <c r="GH88" s="128"/>
      <c r="GI88" s="128"/>
      <c r="GJ88" s="128"/>
      <c r="GK88" s="128"/>
      <c r="GL88" s="128"/>
      <c r="GM88" s="128"/>
      <c r="GN88" s="128"/>
      <c r="GO88" s="128"/>
      <c r="GP88" s="128"/>
      <c r="GQ88" s="128"/>
      <c r="GR88" s="128"/>
      <c r="GS88" s="128"/>
      <c r="GT88" s="128"/>
      <c r="GU88" s="128"/>
      <c r="GV88" s="128"/>
      <c r="GW88" s="128"/>
      <c r="GX88" s="128"/>
      <c r="GY88" s="128"/>
      <c r="GZ88" s="128"/>
      <c r="HA88" s="128"/>
      <c r="HB88" s="128"/>
      <c r="HC88" s="128"/>
    </row>
    <row r="89" spans="1:211" x14ac:dyDescent="0.25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30"/>
      <c r="AD89" s="131"/>
      <c r="AE89" s="130"/>
      <c r="AF89" s="130"/>
      <c r="AG89" s="132"/>
      <c r="AH89" s="132"/>
      <c r="AI89" s="130"/>
      <c r="AJ89" s="133" t="s">
        <v>37</v>
      </c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</row>
    <row r="90" spans="1:211" x14ac:dyDescent="0.25">
      <c r="B90" s="123">
        <v>46136</v>
      </c>
      <c r="C90" s="120" t="s">
        <v>222</v>
      </c>
      <c r="W90" s="120" t="s">
        <v>223</v>
      </c>
      <c r="Y90" s="120" t="s">
        <v>224</v>
      </c>
      <c r="Z90" s="120">
        <v>100</v>
      </c>
      <c r="AA90" s="120">
        <v>500</v>
      </c>
      <c r="AB90" s="120">
        <v>85</v>
      </c>
      <c r="AC90" s="118">
        <v>7</v>
      </c>
      <c r="AD90" s="121" t="s">
        <v>262</v>
      </c>
      <c r="AE90" s="120">
        <v>3</v>
      </c>
      <c r="AF90" s="120">
        <v>12.11</v>
      </c>
      <c r="AG90" s="120">
        <v>11.44</v>
      </c>
      <c r="AH90" s="120">
        <v>11.55</v>
      </c>
      <c r="AI90" s="120" t="s">
        <v>263</v>
      </c>
      <c r="AJ90" s="120">
        <v>1</v>
      </c>
      <c r="AK90" s="120">
        <v>1</v>
      </c>
      <c r="AL90" s="120">
        <v>0</v>
      </c>
    </row>
    <row r="91" spans="1:211" x14ac:dyDescent="0.25">
      <c r="AC91" s="124"/>
      <c r="AD91" s="125"/>
      <c r="AE91" s="124"/>
      <c r="AF91" s="124"/>
      <c r="AG91" s="126"/>
      <c r="AH91" s="126"/>
      <c r="AI91" s="124"/>
      <c r="AJ91" s="127" t="s">
        <v>31</v>
      </c>
      <c r="AL91" s="120">
        <v>15.01</v>
      </c>
    </row>
    <row r="92" spans="1:211" s="128" customFormat="1" x14ac:dyDescent="0.25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4"/>
      <c r="AD92" s="125"/>
      <c r="AE92" s="124"/>
      <c r="AF92" s="124"/>
      <c r="AG92" s="126"/>
      <c r="AH92" s="126"/>
      <c r="AI92" s="124"/>
      <c r="AJ92" s="127" t="s">
        <v>33</v>
      </c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20"/>
      <c r="BC92" s="120"/>
      <c r="BD92" s="120"/>
      <c r="BE92" s="120"/>
      <c r="BF92" s="122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  <c r="CE92" s="120"/>
      <c r="CF92" s="120"/>
      <c r="CG92" s="120"/>
      <c r="CH92" s="120"/>
      <c r="CI92" s="120"/>
      <c r="CJ92" s="120"/>
      <c r="CK92" s="120"/>
      <c r="CL92" s="120"/>
      <c r="CM92" s="120"/>
      <c r="CN92" s="120"/>
      <c r="CO92" s="120"/>
      <c r="CP92" s="120"/>
      <c r="CQ92" s="120"/>
      <c r="CR92" s="120"/>
      <c r="CS92" s="120"/>
      <c r="CT92" s="120"/>
      <c r="CU92" s="120"/>
      <c r="CV92" s="120"/>
      <c r="CW92" s="120"/>
      <c r="CX92" s="120"/>
      <c r="CY92" s="120"/>
      <c r="CZ92" s="120"/>
      <c r="DA92" s="120"/>
      <c r="DB92" s="120"/>
      <c r="DC92" s="120"/>
      <c r="DD92" s="120"/>
      <c r="DE92" s="120"/>
      <c r="DF92" s="120"/>
      <c r="DG92" s="120"/>
      <c r="DH92" s="120"/>
      <c r="DI92" s="120"/>
      <c r="DJ92" s="120"/>
      <c r="DK92" s="120"/>
      <c r="DL92" s="120"/>
      <c r="DM92" s="120"/>
      <c r="DN92" s="120"/>
      <c r="DO92" s="120"/>
      <c r="DP92" s="120"/>
      <c r="DQ92" s="120"/>
      <c r="DR92" s="120"/>
      <c r="DS92" s="120"/>
      <c r="DT92" s="120"/>
      <c r="DU92" s="120"/>
      <c r="DV92" s="120"/>
      <c r="DW92" s="120"/>
      <c r="DX92" s="120"/>
      <c r="DY92" s="120"/>
      <c r="DZ92" s="120"/>
      <c r="EA92" s="120"/>
      <c r="EB92" s="120"/>
      <c r="EC92" s="120"/>
      <c r="ED92" s="120"/>
      <c r="EE92" s="120"/>
      <c r="EF92" s="120"/>
      <c r="EG92" s="120"/>
      <c r="EH92" s="120"/>
      <c r="EI92" s="120"/>
      <c r="EJ92" s="120"/>
      <c r="EK92" s="120"/>
      <c r="EL92" s="120"/>
      <c r="EM92" s="120"/>
      <c r="EN92" s="120"/>
      <c r="EO92" s="120"/>
      <c r="EP92" s="120"/>
      <c r="EQ92" s="120"/>
      <c r="ER92" s="120"/>
      <c r="ES92" s="120"/>
      <c r="ET92" s="120"/>
      <c r="EU92" s="120"/>
      <c r="EV92" s="120"/>
      <c r="EW92" s="120"/>
      <c r="EX92" s="120"/>
      <c r="EY92" s="120"/>
      <c r="EZ92" s="120"/>
      <c r="FA92" s="120"/>
      <c r="FB92" s="120"/>
      <c r="FC92" s="120"/>
      <c r="FD92" s="120"/>
      <c r="FE92" s="120"/>
      <c r="FF92" s="120"/>
      <c r="FG92" s="120"/>
      <c r="FH92" s="120"/>
      <c r="FI92" s="120"/>
      <c r="FJ92" s="120"/>
      <c r="FK92" s="120"/>
      <c r="FL92" s="120"/>
      <c r="FM92" s="120"/>
      <c r="FN92" s="120"/>
      <c r="FO92" s="120"/>
      <c r="FP92" s="120"/>
      <c r="FQ92" s="120"/>
      <c r="FR92" s="120"/>
      <c r="FS92" s="120"/>
      <c r="FT92" s="120"/>
      <c r="FU92" s="120"/>
      <c r="FV92" s="120"/>
      <c r="FW92" s="120"/>
      <c r="FX92" s="120"/>
      <c r="FY92" s="120"/>
      <c r="FZ92" s="120"/>
      <c r="GA92" s="120"/>
      <c r="GB92" s="120"/>
      <c r="GC92" s="120"/>
      <c r="GD92" s="120"/>
      <c r="GE92" s="120"/>
      <c r="GF92" s="120"/>
      <c r="GG92" s="120"/>
      <c r="GH92" s="120"/>
      <c r="GI92" s="120"/>
      <c r="GJ92" s="120"/>
      <c r="GK92" s="120"/>
      <c r="GL92" s="120"/>
      <c r="GM92" s="120"/>
      <c r="GN92" s="120"/>
      <c r="GO92" s="120"/>
      <c r="GP92" s="120"/>
      <c r="GQ92" s="120"/>
      <c r="GR92" s="120"/>
      <c r="GS92" s="120"/>
      <c r="GT92" s="120"/>
      <c r="GU92" s="120"/>
      <c r="GV92" s="120"/>
      <c r="GW92" s="120"/>
      <c r="GX92" s="120"/>
      <c r="GY92" s="120"/>
      <c r="GZ92" s="120"/>
      <c r="HA92" s="120"/>
      <c r="HB92" s="120"/>
      <c r="HC92" s="120"/>
    </row>
    <row r="93" spans="1:211" x14ac:dyDescent="0.25">
      <c r="AC93" s="124"/>
      <c r="AD93" s="125"/>
      <c r="AE93" s="124"/>
      <c r="AF93" s="124"/>
      <c r="AG93" s="126"/>
      <c r="AH93" s="126"/>
      <c r="AI93" s="124"/>
      <c r="AJ93" s="127" t="s">
        <v>35</v>
      </c>
      <c r="AL93" s="129" t="s">
        <v>225</v>
      </c>
      <c r="EO93" s="128"/>
      <c r="EP93" s="128"/>
      <c r="EQ93" s="128"/>
      <c r="ER93" s="128"/>
      <c r="ES93" s="128"/>
      <c r="ET93" s="128"/>
      <c r="EU93" s="128"/>
      <c r="EV93" s="128"/>
      <c r="EW93" s="128"/>
      <c r="EX93" s="128"/>
      <c r="EY93" s="128"/>
      <c r="EZ93" s="128"/>
      <c r="FA93" s="128"/>
      <c r="FB93" s="128"/>
      <c r="FC93" s="128"/>
      <c r="FD93" s="128"/>
      <c r="FE93" s="128"/>
      <c r="FF93" s="128"/>
      <c r="FG93" s="128"/>
      <c r="FH93" s="128"/>
      <c r="FI93" s="128"/>
      <c r="FJ93" s="128"/>
      <c r="FK93" s="128"/>
      <c r="FL93" s="128"/>
      <c r="FM93" s="128"/>
      <c r="FN93" s="128"/>
      <c r="FO93" s="128"/>
      <c r="FP93" s="128"/>
      <c r="FQ93" s="128"/>
      <c r="FR93" s="128"/>
      <c r="FS93" s="128"/>
      <c r="FT93" s="128"/>
      <c r="FU93" s="128"/>
      <c r="FV93" s="128"/>
      <c r="FW93" s="128"/>
      <c r="FX93" s="128"/>
      <c r="FY93" s="128"/>
      <c r="FZ93" s="128"/>
      <c r="GA93" s="128"/>
      <c r="GB93" s="128"/>
      <c r="GC93" s="128"/>
      <c r="GD93" s="128"/>
      <c r="GE93" s="128"/>
      <c r="GF93" s="128"/>
      <c r="GG93" s="128"/>
      <c r="GH93" s="128"/>
      <c r="GI93" s="128"/>
      <c r="GJ93" s="128"/>
      <c r="GK93" s="128"/>
      <c r="GL93" s="128"/>
      <c r="GM93" s="128"/>
      <c r="GN93" s="128"/>
      <c r="GO93" s="128"/>
      <c r="GP93" s="128"/>
      <c r="GQ93" s="128"/>
      <c r="GR93" s="128"/>
      <c r="GS93" s="128"/>
      <c r="GT93" s="128"/>
      <c r="GU93" s="128"/>
      <c r="GV93" s="128"/>
      <c r="GW93" s="128"/>
      <c r="GX93" s="128"/>
      <c r="GY93" s="128"/>
      <c r="GZ93" s="128"/>
      <c r="HA93" s="128"/>
      <c r="HB93" s="128"/>
      <c r="HC93" s="128"/>
    </row>
    <row r="94" spans="1:211" x14ac:dyDescent="0.25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30"/>
      <c r="AD94" s="131"/>
      <c r="AE94" s="130"/>
      <c r="AF94" s="130"/>
      <c r="AG94" s="132"/>
      <c r="AH94" s="132"/>
      <c r="AI94" s="130"/>
      <c r="AJ94" s="133" t="s">
        <v>37</v>
      </c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</row>
    <row r="95" spans="1:211" x14ac:dyDescent="0.25">
      <c r="AC95" s="118"/>
      <c r="AI95" s="120" t="s">
        <v>264</v>
      </c>
      <c r="AJ95" s="120">
        <v>2</v>
      </c>
      <c r="AK95" s="120">
        <v>1</v>
      </c>
      <c r="AL95" s="120">
        <v>0</v>
      </c>
    </row>
    <row r="96" spans="1:211" x14ac:dyDescent="0.25">
      <c r="AC96" s="124"/>
      <c r="AD96" s="125"/>
      <c r="AE96" s="124"/>
      <c r="AF96" s="124"/>
      <c r="AG96" s="126"/>
      <c r="AH96" s="126"/>
      <c r="AI96" s="124"/>
      <c r="AJ96" s="127" t="s">
        <v>31</v>
      </c>
      <c r="AL96" s="120">
        <v>15.01</v>
      </c>
    </row>
    <row r="97" spans="1:211" s="134" customFormat="1" x14ac:dyDescent="0.25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4"/>
      <c r="AD97" s="125"/>
      <c r="AE97" s="124"/>
      <c r="AF97" s="124"/>
      <c r="AG97" s="126"/>
      <c r="AH97" s="126"/>
      <c r="AI97" s="124"/>
      <c r="AJ97" s="127" t="s">
        <v>33</v>
      </c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20"/>
      <c r="AY97" s="120"/>
      <c r="AZ97" s="120"/>
      <c r="BA97" s="120"/>
      <c r="BB97" s="120"/>
      <c r="BC97" s="120"/>
      <c r="BD97" s="120"/>
      <c r="BE97" s="120"/>
      <c r="BF97" s="122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20"/>
      <c r="CG97" s="120"/>
      <c r="CH97" s="120"/>
      <c r="CI97" s="120"/>
      <c r="CJ97" s="120"/>
      <c r="CK97" s="120"/>
      <c r="CL97" s="120"/>
      <c r="CM97" s="120"/>
      <c r="CN97" s="120"/>
      <c r="CO97" s="120"/>
      <c r="CP97" s="120"/>
      <c r="CQ97" s="120"/>
      <c r="CR97" s="120"/>
      <c r="CS97" s="120"/>
      <c r="CT97" s="120"/>
      <c r="CU97" s="120"/>
      <c r="CV97" s="120"/>
      <c r="CW97" s="120"/>
      <c r="CX97" s="120"/>
      <c r="CY97" s="120"/>
      <c r="CZ97" s="120"/>
      <c r="DA97" s="120"/>
      <c r="DB97" s="120"/>
      <c r="DC97" s="120"/>
      <c r="DD97" s="120"/>
      <c r="DE97" s="120"/>
      <c r="DF97" s="120"/>
      <c r="DG97" s="120"/>
      <c r="DH97" s="120"/>
      <c r="DI97" s="120"/>
      <c r="DJ97" s="120"/>
      <c r="DK97" s="120"/>
      <c r="DL97" s="120"/>
      <c r="DM97" s="120"/>
      <c r="DN97" s="120"/>
      <c r="DO97" s="120"/>
      <c r="DP97" s="120"/>
      <c r="DQ97" s="120"/>
      <c r="DR97" s="120"/>
      <c r="DS97" s="120"/>
      <c r="DT97" s="120"/>
      <c r="DU97" s="120"/>
      <c r="DV97" s="120"/>
      <c r="DW97" s="120"/>
      <c r="DX97" s="120"/>
      <c r="DY97" s="120"/>
      <c r="DZ97" s="120"/>
      <c r="EA97" s="120"/>
      <c r="EB97" s="120"/>
      <c r="EC97" s="120"/>
      <c r="ED97" s="120"/>
      <c r="EE97" s="120"/>
      <c r="EF97" s="120"/>
      <c r="EG97" s="120"/>
      <c r="EH97" s="120"/>
      <c r="EI97" s="120"/>
      <c r="EJ97" s="120"/>
      <c r="EK97" s="120"/>
      <c r="EL97" s="120"/>
      <c r="EM97" s="120"/>
      <c r="EN97" s="120"/>
      <c r="EO97" s="120"/>
      <c r="EP97" s="120"/>
      <c r="EQ97" s="120"/>
      <c r="ER97" s="120"/>
      <c r="ES97" s="120"/>
      <c r="ET97" s="120"/>
      <c r="EU97" s="120"/>
      <c r="EV97" s="120"/>
      <c r="EW97" s="120"/>
      <c r="EX97" s="120"/>
      <c r="EY97" s="120"/>
      <c r="EZ97" s="120"/>
      <c r="FA97" s="120"/>
      <c r="FB97" s="120"/>
      <c r="FC97" s="120"/>
      <c r="FD97" s="120"/>
      <c r="FE97" s="120"/>
      <c r="FF97" s="120"/>
      <c r="FG97" s="120"/>
      <c r="FH97" s="120"/>
      <c r="FI97" s="120"/>
      <c r="FJ97" s="120"/>
      <c r="FK97" s="120"/>
      <c r="FL97" s="120"/>
      <c r="FM97" s="120"/>
      <c r="FN97" s="120"/>
      <c r="FO97" s="120"/>
      <c r="FP97" s="120"/>
      <c r="FQ97" s="120"/>
      <c r="FR97" s="120"/>
      <c r="FS97" s="120"/>
      <c r="FT97" s="120"/>
      <c r="FU97" s="120"/>
      <c r="FV97" s="120"/>
      <c r="FW97" s="120"/>
      <c r="FX97" s="120"/>
      <c r="FY97" s="120"/>
      <c r="FZ97" s="120"/>
      <c r="GA97" s="120"/>
      <c r="GB97" s="120"/>
      <c r="GC97" s="120"/>
      <c r="GD97" s="120"/>
      <c r="GE97" s="120"/>
      <c r="GF97" s="120"/>
      <c r="GG97" s="120"/>
      <c r="GH97" s="120"/>
      <c r="GI97" s="120"/>
      <c r="GJ97" s="120"/>
      <c r="GK97" s="120"/>
      <c r="GL97" s="120"/>
      <c r="GM97" s="120"/>
      <c r="GN97" s="120"/>
      <c r="GO97" s="120"/>
      <c r="GP97" s="120"/>
      <c r="GQ97" s="120"/>
      <c r="GR97" s="120"/>
      <c r="GS97" s="120"/>
      <c r="GT97" s="120"/>
      <c r="GU97" s="120"/>
      <c r="GV97" s="120"/>
      <c r="GW97" s="120"/>
      <c r="GX97" s="120"/>
      <c r="GY97" s="120"/>
      <c r="GZ97" s="120"/>
      <c r="HA97" s="120"/>
      <c r="HB97" s="120"/>
      <c r="HC97" s="120"/>
    </row>
    <row r="98" spans="1:211" x14ac:dyDescent="0.25">
      <c r="AC98" s="124"/>
      <c r="AD98" s="125"/>
      <c r="AE98" s="124"/>
      <c r="AF98" s="124"/>
      <c r="AG98" s="126"/>
      <c r="AH98" s="126"/>
      <c r="AI98" s="124"/>
      <c r="AJ98" s="127" t="s">
        <v>35</v>
      </c>
      <c r="AL98" s="129" t="s">
        <v>225</v>
      </c>
      <c r="EO98" s="134"/>
      <c r="EP98" s="134"/>
      <c r="EQ98" s="134"/>
      <c r="ER98" s="134"/>
      <c r="ES98" s="134"/>
      <c r="ET98" s="134"/>
      <c r="EU98" s="134"/>
      <c r="EV98" s="134"/>
      <c r="EW98" s="134"/>
      <c r="EX98" s="134"/>
      <c r="EY98" s="134"/>
      <c r="EZ98" s="134"/>
      <c r="FA98" s="134"/>
      <c r="FB98" s="134"/>
      <c r="FC98" s="134"/>
      <c r="FD98" s="134"/>
      <c r="FE98" s="134"/>
      <c r="FF98" s="134"/>
      <c r="FG98" s="134"/>
      <c r="FH98" s="134"/>
      <c r="FI98" s="134"/>
      <c r="FJ98" s="134"/>
      <c r="FK98" s="134"/>
      <c r="FL98" s="134"/>
      <c r="FM98" s="134"/>
      <c r="FN98" s="134"/>
      <c r="FO98" s="134"/>
      <c r="FP98" s="134"/>
      <c r="FQ98" s="134"/>
      <c r="FR98" s="134"/>
      <c r="FS98" s="134"/>
      <c r="FT98" s="134"/>
      <c r="FU98" s="134"/>
      <c r="FV98" s="134"/>
      <c r="FW98" s="134"/>
      <c r="FX98" s="134"/>
      <c r="FY98" s="134"/>
      <c r="FZ98" s="134"/>
      <c r="GA98" s="134"/>
      <c r="GB98" s="134"/>
      <c r="GC98" s="134"/>
      <c r="GD98" s="134"/>
      <c r="GE98" s="134"/>
      <c r="GF98" s="134"/>
      <c r="GG98" s="134"/>
      <c r="GH98" s="134"/>
      <c r="GI98" s="134"/>
      <c r="GJ98" s="134"/>
      <c r="GK98" s="134"/>
      <c r="GL98" s="134"/>
      <c r="GM98" s="134"/>
      <c r="GN98" s="134"/>
      <c r="GO98" s="134"/>
      <c r="GP98" s="134"/>
      <c r="GQ98" s="134"/>
      <c r="GR98" s="134"/>
      <c r="GS98" s="134"/>
      <c r="GT98" s="134"/>
      <c r="GU98" s="134"/>
      <c r="GV98" s="134"/>
      <c r="GW98" s="134"/>
      <c r="GX98" s="134"/>
      <c r="GY98" s="134"/>
      <c r="GZ98" s="134"/>
      <c r="HA98" s="134"/>
      <c r="HB98" s="134"/>
      <c r="HC98" s="134"/>
    </row>
    <row r="99" spans="1:211" x14ac:dyDescent="0.25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30"/>
      <c r="AD99" s="131"/>
      <c r="AE99" s="130"/>
      <c r="AF99" s="130"/>
      <c r="AG99" s="132"/>
      <c r="AH99" s="132"/>
      <c r="AI99" s="130"/>
      <c r="AJ99" s="133" t="s">
        <v>37</v>
      </c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</row>
    <row r="100" spans="1:211" x14ac:dyDescent="0.25">
      <c r="AC100" s="118"/>
      <c r="AI100" s="120" t="s">
        <v>265</v>
      </c>
      <c r="AJ100" s="120">
        <v>3</v>
      </c>
      <c r="AK100" s="120">
        <v>1</v>
      </c>
      <c r="AL100" s="120">
        <v>0</v>
      </c>
    </row>
    <row r="101" spans="1:211" x14ac:dyDescent="0.25">
      <c r="AC101" s="124"/>
      <c r="AD101" s="125"/>
      <c r="AE101" s="124"/>
      <c r="AF101" s="124"/>
      <c r="AG101" s="126"/>
      <c r="AH101" s="126"/>
      <c r="AI101" s="124"/>
      <c r="AJ101" s="127" t="s">
        <v>31</v>
      </c>
      <c r="AL101" s="120">
        <v>15.01</v>
      </c>
    </row>
    <row r="102" spans="1:211" s="128" customFormat="1" x14ac:dyDescent="0.25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4"/>
      <c r="AD102" s="125"/>
      <c r="AE102" s="124"/>
      <c r="AF102" s="124"/>
      <c r="AG102" s="126"/>
      <c r="AH102" s="126"/>
      <c r="AI102" s="124"/>
      <c r="AJ102" s="127" t="s">
        <v>33</v>
      </c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2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 s="120"/>
      <c r="CH102" s="120"/>
      <c r="CI102" s="120"/>
      <c r="CJ102" s="120"/>
      <c r="CK102" s="120"/>
      <c r="CL102" s="120"/>
      <c r="CM102" s="120"/>
      <c r="CN102" s="120"/>
      <c r="CO102" s="120"/>
      <c r="CP102" s="120"/>
      <c r="CQ102" s="120"/>
      <c r="CR102" s="120"/>
      <c r="CS102" s="120"/>
      <c r="CT102" s="120"/>
      <c r="CU102" s="120"/>
      <c r="CV102" s="120"/>
      <c r="CW102" s="120"/>
      <c r="CX102" s="120"/>
      <c r="CY102" s="120"/>
      <c r="CZ102" s="120"/>
      <c r="DA102" s="120"/>
      <c r="DB102" s="120"/>
      <c r="DC102" s="120"/>
      <c r="DD102" s="120"/>
      <c r="DE102" s="120"/>
      <c r="DF102" s="120"/>
      <c r="DG102" s="120"/>
      <c r="DH102" s="120"/>
      <c r="DI102" s="120"/>
      <c r="DJ102" s="120"/>
      <c r="DK102" s="120"/>
      <c r="DL102" s="120"/>
      <c r="DM102" s="120"/>
      <c r="DN102" s="120"/>
      <c r="DO102" s="120"/>
      <c r="DP102" s="120"/>
      <c r="DQ102" s="120"/>
      <c r="DR102" s="120"/>
      <c r="DS102" s="120"/>
      <c r="DT102" s="120"/>
      <c r="DU102" s="120"/>
      <c r="DV102" s="120"/>
      <c r="DW102" s="120"/>
      <c r="DX102" s="120"/>
      <c r="DY102" s="120"/>
      <c r="DZ102" s="120"/>
      <c r="EA102" s="120"/>
      <c r="EB102" s="120"/>
      <c r="EC102" s="120"/>
      <c r="ED102" s="120"/>
      <c r="EE102" s="120"/>
      <c r="EF102" s="120"/>
      <c r="EG102" s="120"/>
      <c r="EH102" s="120"/>
      <c r="EI102" s="120"/>
      <c r="EJ102" s="120"/>
      <c r="EK102" s="120"/>
      <c r="EL102" s="120"/>
      <c r="EM102" s="120"/>
      <c r="EN102" s="120"/>
      <c r="EO102" s="120"/>
      <c r="EP102" s="120"/>
      <c r="EQ102" s="120"/>
      <c r="ER102" s="120"/>
      <c r="ES102" s="120"/>
      <c r="ET102" s="120"/>
      <c r="EU102" s="120"/>
      <c r="EV102" s="120"/>
      <c r="EW102" s="120"/>
      <c r="EX102" s="120"/>
      <c r="EY102" s="120"/>
      <c r="EZ102" s="120"/>
      <c r="FA102" s="120"/>
      <c r="FB102" s="120"/>
      <c r="FC102" s="120"/>
      <c r="FD102" s="120"/>
      <c r="FE102" s="120"/>
      <c r="FF102" s="120"/>
      <c r="FG102" s="120"/>
      <c r="FH102" s="120"/>
      <c r="FI102" s="120"/>
      <c r="FJ102" s="120"/>
      <c r="FK102" s="120"/>
      <c r="FL102" s="120"/>
      <c r="FM102" s="120"/>
      <c r="FN102" s="120"/>
      <c r="FO102" s="120"/>
      <c r="FP102" s="120"/>
      <c r="FQ102" s="120"/>
      <c r="FR102" s="120"/>
      <c r="FS102" s="120"/>
      <c r="FT102" s="120"/>
      <c r="FU102" s="120"/>
      <c r="FV102" s="120"/>
      <c r="FW102" s="120"/>
      <c r="FX102" s="120"/>
      <c r="FY102" s="120"/>
      <c r="FZ102" s="120"/>
      <c r="GA102" s="120"/>
      <c r="GB102" s="120"/>
      <c r="GC102" s="120"/>
      <c r="GD102" s="120"/>
      <c r="GE102" s="120"/>
      <c r="GF102" s="120"/>
      <c r="GG102" s="120"/>
      <c r="GH102" s="120"/>
      <c r="GI102" s="120"/>
      <c r="GJ102" s="120"/>
      <c r="GK102" s="120"/>
      <c r="GL102" s="120"/>
      <c r="GM102" s="120"/>
      <c r="GN102" s="120"/>
      <c r="GO102" s="120"/>
      <c r="GP102" s="120"/>
      <c r="GQ102" s="120"/>
      <c r="GR102" s="120"/>
      <c r="GS102" s="120"/>
      <c r="GT102" s="120"/>
      <c r="GU102" s="120"/>
      <c r="GV102" s="120"/>
      <c r="GW102" s="120"/>
      <c r="GX102" s="120"/>
      <c r="GY102" s="120"/>
      <c r="GZ102" s="120"/>
      <c r="HA102" s="120"/>
      <c r="HB102" s="120"/>
      <c r="HC102" s="120"/>
    </row>
    <row r="103" spans="1:211" x14ac:dyDescent="0.25">
      <c r="AC103" s="124"/>
      <c r="AD103" s="125"/>
      <c r="AE103" s="124"/>
      <c r="AF103" s="124"/>
      <c r="AG103" s="126"/>
      <c r="AH103" s="126"/>
      <c r="AI103" s="124"/>
      <c r="AJ103" s="127" t="s">
        <v>35</v>
      </c>
      <c r="AL103" s="129" t="s">
        <v>225</v>
      </c>
      <c r="EO103" s="128"/>
      <c r="EP103" s="128"/>
      <c r="EQ103" s="128"/>
      <c r="ER103" s="128"/>
      <c r="ES103" s="128"/>
      <c r="ET103" s="128"/>
      <c r="EU103" s="128"/>
      <c r="EV103" s="128"/>
      <c r="EW103" s="128"/>
      <c r="EX103" s="128"/>
      <c r="EY103" s="128"/>
      <c r="EZ103" s="128"/>
      <c r="FA103" s="128"/>
      <c r="FB103" s="128"/>
      <c r="FC103" s="128"/>
      <c r="FD103" s="128"/>
      <c r="FE103" s="128"/>
      <c r="FF103" s="128"/>
      <c r="FG103" s="128"/>
      <c r="FH103" s="128"/>
      <c r="FI103" s="128"/>
      <c r="FJ103" s="128"/>
      <c r="FK103" s="128"/>
      <c r="FL103" s="128"/>
      <c r="FM103" s="128"/>
      <c r="FN103" s="128"/>
      <c r="FO103" s="128"/>
      <c r="FP103" s="128"/>
      <c r="FQ103" s="128"/>
      <c r="FR103" s="128"/>
      <c r="FS103" s="128"/>
      <c r="FT103" s="128"/>
      <c r="FU103" s="128"/>
      <c r="FV103" s="128"/>
      <c r="FW103" s="128"/>
      <c r="FX103" s="128"/>
      <c r="FY103" s="128"/>
      <c r="FZ103" s="128"/>
      <c r="GA103" s="128"/>
      <c r="GB103" s="128"/>
      <c r="GC103" s="128"/>
      <c r="GD103" s="128"/>
      <c r="GE103" s="128"/>
      <c r="GF103" s="128"/>
      <c r="GG103" s="128"/>
      <c r="GH103" s="128"/>
      <c r="GI103" s="128"/>
      <c r="GJ103" s="128"/>
      <c r="GK103" s="128"/>
      <c r="GL103" s="128"/>
      <c r="GM103" s="128"/>
      <c r="GN103" s="128"/>
      <c r="GO103" s="128"/>
      <c r="GP103" s="128"/>
      <c r="GQ103" s="128"/>
      <c r="GR103" s="128"/>
      <c r="GS103" s="128"/>
      <c r="GT103" s="128"/>
      <c r="GU103" s="128"/>
      <c r="GV103" s="128"/>
      <c r="GW103" s="128"/>
      <c r="GX103" s="128"/>
      <c r="GY103" s="128"/>
      <c r="GZ103" s="128"/>
      <c r="HA103" s="128"/>
      <c r="HB103" s="128"/>
      <c r="HC103" s="128"/>
    </row>
    <row r="104" spans="1:211" x14ac:dyDescent="0.25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30"/>
      <c r="AD104" s="131"/>
      <c r="AE104" s="130"/>
      <c r="AF104" s="130"/>
      <c r="AG104" s="132"/>
      <c r="AH104" s="132"/>
      <c r="AI104" s="130"/>
      <c r="AJ104" s="133" t="s">
        <v>37</v>
      </c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</row>
    <row r="105" spans="1:211" x14ac:dyDescent="0.25">
      <c r="B105" s="123">
        <v>46136</v>
      </c>
      <c r="C105" s="120" t="s">
        <v>222</v>
      </c>
      <c r="W105" s="120" t="s">
        <v>223</v>
      </c>
      <c r="Y105" s="120" t="s">
        <v>224</v>
      </c>
      <c r="Z105" s="120">
        <v>100</v>
      </c>
      <c r="AA105" s="120">
        <v>500</v>
      </c>
      <c r="AB105" s="120">
        <v>85</v>
      </c>
      <c r="AC105" s="118">
        <v>8</v>
      </c>
      <c r="AD105" s="121" t="s">
        <v>266</v>
      </c>
      <c r="AE105" s="120">
        <v>2</v>
      </c>
      <c r="AF105" s="120">
        <v>12.2</v>
      </c>
      <c r="AG105" s="120">
        <v>11.56</v>
      </c>
      <c r="AH105" s="120">
        <v>12.05</v>
      </c>
      <c r="AI105" s="120" t="s">
        <v>267</v>
      </c>
      <c r="AJ105" s="120">
        <v>1</v>
      </c>
      <c r="AK105" s="120">
        <v>1</v>
      </c>
      <c r="AS105" s="120">
        <v>1</v>
      </c>
      <c r="AV105" s="120">
        <v>1</v>
      </c>
      <c r="BA105" s="120">
        <v>1</v>
      </c>
      <c r="BD105" s="120">
        <v>1</v>
      </c>
      <c r="BE105" s="120">
        <v>0</v>
      </c>
    </row>
    <row r="106" spans="1:211" x14ac:dyDescent="0.25">
      <c r="AC106" s="124"/>
      <c r="AD106" s="125"/>
      <c r="AE106" s="124"/>
      <c r="AF106" s="124"/>
      <c r="AG106" s="126"/>
      <c r="AH106" s="126"/>
      <c r="AI106" s="124"/>
      <c r="AJ106" s="127" t="s">
        <v>31</v>
      </c>
      <c r="AS106" s="120">
        <v>15.02</v>
      </c>
      <c r="AV106" s="120">
        <v>16.25</v>
      </c>
      <c r="BA106" s="120">
        <v>19.13</v>
      </c>
      <c r="BD106" s="120">
        <v>20.51</v>
      </c>
      <c r="BE106" s="120">
        <v>21</v>
      </c>
    </row>
    <row r="107" spans="1:211" s="128" customFormat="1" x14ac:dyDescent="0.2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4"/>
      <c r="AD107" s="125"/>
      <c r="AE107" s="124"/>
      <c r="AF107" s="124"/>
      <c r="AG107" s="126"/>
      <c r="AH107" s="126"/>
      <c r="AI107" s="124"/>
      <c r="AJ107" s="127" t="s">
        <v>33</v>
      </c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9" t="s">
        <v>225</v>
      </c>
      <c r="BF107" s="122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20"/>
      <c r="CG107" s="120"/>
      <c r="CH107" s="120"/>
      <c r="CI107" s="120"/>
      <c r="CJ107" s="120"/>
      <c r="CK107" s="120"/>
      <c r="CL107" s="120"/>
      <c r="CM107" s="120"/>
      <c r="CN107" s="120"/>
      <c r="CO107" s="120"/>
      <c r="CP107" s="120"/>
      <c r="CQ107" s="120"/>
      <c r="CR107" s="120"/>
      <c r="CS107" s="120"/>
      <c r="CT107" s="120"/>
      <c r="CU107" s="120"/>
      <c r="CV107" s="120"/>
      <c r="CW107" s="120"/>
      <c r="CX107" s="120"/>
      <c r="CY107" s="120"/>
      <c r="CZ107" s="120"/>
      <c r="DA107" s="120"/>
      <c r="DB107" s="120"/>
      <c r="DC107" s="120"/>
      <c r="DD107" s="120"/>
      <c r="DE107" s="120"/>
      <c r="DF107" s="120"/>
      <c r="DG107" s="120"/>
      <c r="DH107" s="120"/>
      <c r="DI107" s="120"/>
      <c r="DJ107" s="120"/>
      <c r="DK107" s="120"/>
      <c r="DL107" s="120"/>
      <c r="DM107" s="120"/>
      <c r="DN107" s="120"/>
      <c r="DO107" s="120"/>
      <c r="DP107" s="120"/>
      <c r="DQ107" s="120"/>
      <c r="DR107" s="120"/>
      <c r="DS107" s="120"/>
      <c r="DT107" s="120"/>
      <c r="DU107" s="120"/>
      <c r="DV107" s="120"/>
      <c r="DW107" s="120"/>
      <c r="DX107" s="120"/>
      <c r="DY107" s="120"/>
      <c r="DZ107" s="120"/>
      <c r="EA107" s="120"/>
      <c r="EB107" s="120"/>
      <c r="EC107" s="120"/>
      <c r="ED107" s="120"/>
      <c r="EE107" s="120"/>
      <c r="EF107" s="120"/>
      <c r="EG107" s="120"/>
      <c r="EH107" s="120"/>
      <c r="EI107" s="120"/>
      <c r="EJ107" s="120"/>
      <c r="EK107" s="120"/>
      <c r="EL107" s="120"/>
      <c r="EM107" s="120"/>
      <c r="EN107" s="120"/>
      <c r="EO107" s="120"/>
      <c r="EP107" s="120"/>
      <c r="EQ107" s="120"/>
      <c r="ER107" s="120"/>
      <c r="ES107" s="120"/>
      <c r="ET107" s="120"/>
      <c r="EU107" s="120"/>
      <c r="EV107" s="120"/>
      <c r="EW107" s="120"/>
      <c r="EX107" s="120"/>
      <c r="EY107" s="120"/>
      <c r="EZ107" s="120"/>
      <c r="FA107" s="120"/>
      <c r="FB107" s="120"/>
      <c r="FC107" s="120"/>
      <c r="FD107" s="120"/>
      <c r="FE107" s="120"/>
      <c r="FF107" s="120"/>
      <c r="FG107" s="120"/>
      <c r="FH107" s="120"/>
      <c r="FI107" s="120"/>
      <c r="FJ107" s="120"/>
      <c r="FK107" s="120"/>
      <c r="FL107" s="120"/>
      <c r="FM107" s="120"/>
      <c r="FN107" s="120"/>
      <c r="FO107" s="120"/>
      <c r="FP107" s="120"/>
      <c r="FQ107" s="120"/>
      <c r="FR107" s="120"/>
      <c r="FS107" s="120"/>
      <c r="FT107" s="120"/>
      <c r="FU107" s="120"/>
      <c r="FV107" s="120"/>
      <c r="FW107" s="120"/>
      <c r="FX107" s="120"/>
      <c r="FY107" s="120"/>
      <c r="FZ107" s="120"/>
      <c r="GA107" s="120"/>
      <c r="GB107" s="120"/>
      <c r="GC107" s="120"/>
      <c r="GD107" s="120"/>
      <c r="GE107" s="120"/>
      <c r="GF107" s="120"/>
      <c r="GG107" s="120"/>
      <c r="GH107" s="120"/>
      <c r="GI107" s="120"/>
      <c r="GJ107" s="120"/>
      <c r="GK107" s="120"/>
      <c r="GL107" s="120"/>
      <c r="GM107" s="120"/>
      <c r="GN107" s="120"/>
      <c r="GO107" s="120"/>
      <c r="GP107" s="120"/>
      <c r="GQ107" s="120"/>
      <c r="GR107" s="120"/>
      <c r="GS107" s="120"/>
      <c r="GT107" s="120"/>
      <c r="GU107" s="120"/>
      <c r="GV107" s="120"/>
      <c r="GW107" s="120"/>
      <c r="GX107" s="120"/>
      <c r="GY107" s="120"/>
      <c r="GZ107" s="120"/>
      <c r="HA107" s="120"/>
      <c r="HB107" s="120"/>
      <c r="HC107" s="120"/>
    </row>
    <row r="108" spans="1:211" x14ac:dyDescent="0.25">
      <c r="AC108" s="124"/>
      <c r="AD108" s="125"/>
      <c r="AE108" s="124"/>
      <c r="AF108" s="124"/>
      <c r="AG108" s="126"/>
      <c r="AH108" s="126"/>
      <c r="AI108" s="124"/>
      <c r="AJ108" s="127" t="s">
        <v>35</v>
      </c>
      <c r="EO108" s="128"/>
      <c r="EP108" s="128"/>
      <c r="EQ108" s="128"/>
      <c r="ER108" s="128"/>
      <c r="ES108" s="128"/>
      <c r="ET108" s="128"/>
      <c r="EU108" s="128"/>
      <c r="EV108" s="128"/>
      <c r="EW108" s="128"/>
      <c r="EX108" s="128"/>
      <c r="EY108" s="128"/>
      <c r="EZ108" s="128"/>
      <c r="FA108" s="128"/>
      <c r="FB108" s="128"/>
      <c r="FC108" s="128"/>
      <c r="FD108" s="128"/>
      <c r="FE108" s="128"/>
      <c r="FF108" s="128"/>
      <c r="FG108" s="128"/>
      <c r="FH108" s="128"/>
      <c r="FI108" s="128"/>
      <c r="FJ108" s="128"/>
      <c r="FK108" s="128"/>
      <c r="FL108" s="128"/>
      <c r="FM108" s="128"/>
      <c r="FN108" s="128"/>
      <c r="FO108" s="128"/>
      <c r="FP108" s="128"/>
      <c r="FQ108" s="128"/>
      <c r="FR108" s="128"/>
      <c r="FS108" s="128"/>
      <c r="FT108" s="128"/>
      <c r="FU108" s="128"/>
      <c r="FV108" s="128"/>
      <c r="FW108" s="128"/>
      <c r="FX108" s="128"/>
      <c r="FY108" s="128"/>
      <c r="FZ108" s="128"/>
      <c r="GA108" s="128"/>
      <c r="GB108" s="128"/>
      <c r="GC108" s="128"/>
      <c r="GD108" s="128"/>
      <c r="GE108" s="128"/>
      <c r="GF108" s="128"/>
      <c r="GG108" s="128"/>
      <c r="GH108" s="128"/>
      <c r="GI108" s="128"/>
      <c r="GJ108" s="128"/>
      <c r="GK108" s="128"/>
      <c r="GL108" s="128"/>
      <c r="GM108" s="128"/>
      <c r="GN108" s="128"/>
      <c r="GO108" s="128"/>
      <c r="GP108" s="128"/>
      <c r="GQ108" s="128"/>
      <c r="GR108" s="128"/>
      <c r="GS108" s="128"/>
      <c r="GT108" s="128"/>
      <c r="GU108" s="128"/>
      <c r="GV108" s="128"/>
      <c r="GW108" s="128"/>
      <c r="GX108" s="128"/>
      <c r="GY108" s="128"/>
      <c r="GZ108" s="128"/>
      <c r="HA108" s="128"/>
      <c r="HB108" s="128"/>
      <c r="HC108" s="128"/>
    </row>
    <row r="109" spans="1:211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30"/>
      <c r="AD109" s="131"/>
      <c r="AE109" s="130"/>
      <c r="AF109" s="130"/>
      <c r="AG109" s="132"/>
      <c r="AH109" s="132"/>
      <c r="AI109" s="130"/>
      <c r="AJ109" s="133" t="s">
        <v>37</v>
      </c>
      <c r="AK109" s="128"/>
      <c r="AL109" s="128"/>
      <c r="AM109" s="128"/>
      <c r="AN109" s="128"/>
      <c r="AO109" s="128"/>
      <c r="AP109" s="128"/>
      <c r="AQ109" s="128"/>
      <c r="AR109" s="128"/>
      <c r="AS109" s="128" t="s">
        <v>226</v>
      </c>
      <c r="AT109" s="128"/>
      <c r="AU109" s="128"/>
      <c r="AV109" s="128" t="s">
        <v>226</v>
      </c>
      <c r="AW109" s="128"/>
      <c r="AX109" s="128"/>
      <c r="AY109" s="128"/>
      <c r="AZ109" s="128"/>
      <c r="BA109" s="128" t="s">
        <v>226</v>
      </c>
      <c r="BB109" s="128"/>
      <c r="BC109" s="128"/>
      <c r="BD109" s="128" t="s">
        <v>226</v>
      </c>
      <c r="BE109" s="128"/>
    </row>
    <row r="110" spans="1:211" x14ac:dyDescent="0.25">
      <c r="AC110" s="118"/>
      <c r="AI110" s="120" t="s">
        <v>268</v>
      </c>
      <c r="AJ110" s="120">
        <v>2</v>
      </c>
      <c r="AK110" s="120">
        <v>1</v>
      </c>
      <c r="AL110" s="120">
        <v>0</v>
      </c>
    </row>
    <row r="111" spans="1:211" x14ac:dyDescent="0.25">
      <c r="AC111" s="124"/>
      <c r="AD111" s="125"/>
      <c r="AE111" s="124"/>
      <c r="AF111" s="124"/>
      <c r="AG111" s="126"/>
      <c r="AH111" s="126"/>
      <c r="AI111" s="124"/>
      <c r="AJ111" s="127" t="s">
        <v>31</v>
      </c>
      <c r="AL111" s="120">
        <v>15.03</v>
      </c>
    </row>
    <row r="112" spans="1:211" s="134" customFormat="1" x14ac:dyDescent="0.25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4"/>
      <c r="AD112" s="125"/>
      <c r="AE112" s="124"/>
      <c r="AF112" s="124"/>
      <c r="AG112" s="126"/>
      <c r="AH112" s="126"/>
      <c r="AI112" s="124"/>
      <c r="AJ112" s="127" t="s">
        <v>33</v>
      </c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2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20"/>
      <c r="CG112" s="120"/>
      <c r="CH112" s="120"/>
      <c r="CI112" s="120"/>
      <c r="CJ112" s="120"/>
      <c r="CK112" s="120"/>
      <c r="CL112" s="120"/>
      <c r="CM112" s="120"/>
      <c r="CN112" s="120"/>
      <c r="CO112" s="120"/>
      <c r="CP112" s="120"/>
      <c r="CQ112" s="120"/>
      <c r="CR112" s="120"/>
      <c r="CS112" s="120"/>
      <c r="CT112" s="120"/>
      <c r="CU112" s="120"/>
      <c r="CV112" s="120"/>
      <c r="CW112" s="120"/>
      <c r="CX112" s="120"/>
      <c r="CY112" s="120"/>
      <c r="CZ112" s="120"/>
      <c r="DA112" s="120"/>
      <c r="DB112" s="120"/>
      <c r="DC112" s="120"/>
      <c r="DD112" s="120"/>
      <c r="DE112" s="120"/>
      <c r="DF112" s="120"/>
      <c r="DG112" s="120"/>
      <c r="DH112" s="120"/>
      <c r="DI112" s="120"/>
      <c r="DJ112" s="120"/>
      <c r="DK112" s="120"/>
      <c r="DL112" s="120"/>
      <c r="DM112" s="120"/>
      <c r="DN112" s="120"/>
      <c r="DO112" s="120"/>
      <c r="DP112" s="120"/>
      <c r="DQ112" s="120"/>
      <c r="DR112" s="120"/>
      <c r="DS112" s="120"/>
      <c r="DT112" s="120"/>
      <c r="DU112" s="120"/>
      <c r="DV112" s="120"/>
      <c r="DW112" s="120"/>
      <c r="DX112" s="120"/>
      <c r="DY112" s="120"/>
      <c r="DZ112" s="120"/>
      <c r="EA112" s="120"/>
      <c r="EB112" s="120"/>
      <c r="EC112" s="120"/>
      <c r="ED112" s="120"/>
      <c r="EE112" s="120"/>
      <c r="EF112" s="120"/>
      <c r="EG112" s="120"/>
      <c r="EH112" s="120"/>
      <c r="EI112" s="120"/>
      <c r="EJ112" s="120"/>
      <c r="EK112" s="120"/>
      <c r="EL112" s="120"/>
      <c r="EM112" s="120"/>
      <c r="EN112" s="120"/>
      <c r="EO112" s="120"/>
      <c r="EP112" s="120"/>
      <c r="EQ112" s="120"/>
      <c r="ER112" s="120"/>
      <c r="ES112" s="120"/>
      <c r="ET112" s="120"/>
      <c r="EU112" s="120"/>
      <c r="EV112" s="120"/>
      <c r="EW112" s="120"/>
      <c r="EX112" s="120"/>
      <c r="EY112" s="120"/>
      <c r="EZ112" s="120"/>
      <c r="FA112" s="120"/>
      <c r="FB112" s="120"/>
      <c r="FC112" s="120"/>
      <c r="FD112" s="120"/>
      <c r="FE112" s="120"/>
      <c r="FF112" s="120"/>
      <c r="FG112" s="120"/>
      <c r="FH112" s="120"/>
      <c r="FI112" s="120"/>
      <c r="FJ112" s="120"/>
      <c r="FK112" s="120"/>
      <c r="FL112" s="120"/>
      <c r="FM112" s="120"/>
      <c r="FN112" s="120"/>
      <c r="FO112" s="120"/>
      <c r="FP112" s="120"/>
      <c r="FQ112" s="120"/>
      <c r="FR112" s="120"/>
      <c r="FS112" s="120"/>
      <c r="FT112" s="120"/>
      <c r="FU112" s="120"/>
      <c r="FV112" s="120"/>
      <c r="FW112" s="120"/>
      <c r="FX112" s="120"/>
      <c r="FY112" s="120"/>
      <c r="FZ112" s="120"/>
      <c r="GA112" s="120"/>
      <c r="GB112" s="120"/>
      <c r="GC112" s="120"/>
      <c r="GD112" s="120"/>
      <c r="GE112" s="120"/>
      <c r="GF112" s="120"/>
      <c r="GG112" s="120"/>
      <c r="GH112" s="120"/>
      <c r="GI112" s="120"/>
      <c r="GJ112" s="120"/>
      <c r="GK112" s="120"/>
      <c r="GL112" s="120"/>
      <c r="GM112" s="120"/>
      <c r="GN112" s="120"/>
      <c r="GO112" s="120"/>
      <c r="GP112" s="120"/>
      <c r="GQ112" s="120"/>
      <c r="GR112" s="120"/>
      <c r="GS112" s="120"/>
      <c r="GT112" s="120"/>
      <c r="GU112" s="120"/>
      <c r="GV112" s="120"/>
      <c r="GW112" s="120"/>
      <c r="GX112" s="120"/>
      <c r="GY112" s="120"/>
      <c r="GZ112" s="120"/>
      <c r="HA112" s="120"/>
      <c r="HB112" s="120"/>
      <c r="HC112" s="120"/>
    </row>
    <row r="113" spans="1:211" s="134" customFormat="1" x14ac:dyDescent="0.25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4"/>
      <c r="AD113" s="125"/>
      <c r="AE113" s="124"/>
      <c r="AF113" s="124"/>
      <c r="AG113" s="126"/>
      <c r="AH113" s="126"/>
      <c r="AI113" s="124"/>
      <c r="AJ113" s="127" t="s">
        <v>35</v>
      </c>
      <c r="AK113" s="120"/>
      <c r="AL113" s="129" t="s">
        <v>225</v>
      </c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2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20"/>
      <c r="CG113" s="120"/>
      <c r="CH113" s="120"/>
      <c r="CI113" s="120"/>
      <c r="CJ113" s="120"/>
      <c r="CK113" s="120"/>
      <c r="CL113" s="120"/>
      <c r="CM113" s="120"/>
      <c r="CN113" s="120"/>
      <c r="CO113" s="120"/>
      <c r="CP113" s="120"/>
      <c r="CQ113" s="120"/>
      <c r="CR113" s="120"/>
      <c r="CS113" s="120"/>
      <c r="CT113" s="120"/>
      <c r="CU113" s="120"/>
      <c r="CV113" s="120"/>
      <c r="CW113" s="120"/>
      <c r="CX113" s="120"/>
      <c r="CY113" s="120"/>
      <c r="CZ113" s="120"/>
      <c r="DA113" s="120"/>
      <c r="DB113" s="120"/>
      <c r="DC113" s="120"/>
      <c r="DD113" s="120"/>
      <c r="DE113" s="120"/>
      <c r="DF113" s="120"/>
      <c r="DG113" s="120"/>
      <c r="DH113" s="120"/>
      <c r="DI113" s="120"/>
      <c r="DJ113" s="120"/>
      <c r="DK113" s="120"/>
      <c r="DL113" s="120"/>
      <c r="DM113" s="120"/>
      <c r="DN113" s="120"/>
      <c r="DO113" s="120"/>
      <c r="DP113" s="120"/>
      <c r="DQ113" s="120"/>
      <c r="DR113" s="120"/>
      <c r="DS113" s="120"/>
      <c r="DT113" s="120"/>
      <c r="DU113" s="120"/>
      <c r="DV113" s="120"/>
      <c r="DW113" s="120"/>
      <c r="DX113" s="120"/>
      <c r="DY113" s="120"/>
      <c r="DZ113" s="120"/>
      <c r="EA113" s="120"/>
      <c r="EB113" s="120"/>
      <c r="EC113" s="120"/>
      <c r="ED113" s="120"/>
      <c r="EE113" s="120"/>
      <c r="EF113" s="120"/>
      <c r="EG113" s="120"/>
      <c r="EH113" s="120"/>
      <c r="EI113" s="120"/>
      <c r="EJ113" s="120"/>
      <c r="EK113" s="120"/>
      <c r="EL113" s="120"/>
      <c r="EM113" s="120"/>
      <c r="EN113" s="120"/>
    </row>
    <row r="114" spans="1:211" x14ac:dyDescent="0.25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5"/>
      <c r="AD114" s="136"/>
      <c r="AE114" s="135"/>
      <c r="AF114" s="135"/>
      <c r="AG114" s="137"/>
      <c r="AH114" s="137"/>
      <c r="AI114" s="135"/>
      <c r="AJ114" s="138" t="s">
        <v>37</v>
      </c>
      <c r="AK114" s="134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4"/>
      <c r="BD114" s="134"/>
      <c r="BE114" s="134"/>
      <c r="BF114" s="139"/>
      <c r="BG114" s="134"/>
      <c r="BH114" s="134"/>
      <c r="BI114" s="134"/>
      <c r="BJ114" s="134"/>
      <c r="BK114" s="134"/>
      <c r="BL114" s="134"/>
      <c r="BM114" s="134"/>
      <c r="BN114" s="134"/>
      <c r="BO114" s="134"/>
      <c r="BP114" s="134"/>
      <c r="BQ114" s="134"/>
      <c r="BR114" s="134"/>
      <c r="BS114" s="134"/>
      <c r="BT114" s="134"/>
      <c r="BU114" s="134"/>
      <c r="BV114" s="134"/>
      <c r="BW114" s="134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  <c r="CL114" s="134"/>
      <c r="CM114" s="134"/>
      <c r="CN114" s="134"/>
      <c r="CO114" s="134"/>
      <c r="CP114" s="134"/>
      <c r="CQ114" s="134"/>
      <c r="CR114" s="134"/>
      <c r="CS114" s="134"/>
      <c r="CT114" s="134"/>
      <c r="CU114" s="134"/>
      <c r="CV114" s="134"/>
      <c r="CW114" s="134"/>
      <c r="CX114" s="134"/>
      <c r="CY114" s="134"/>
      <c r="CZ114" s="134"/>
      <c r="DA114" s="134"/>
      <c r="DB114" s="134"/>
      <c r="DC114" s="134"/>
      <c r="DD114" s="134"/>
      <c r="DE114" s="134"/>
      <c r="DF114" s="134"/>
      <c r="DG114" s="134"/>
      <c r="DH114" s="134"/>
      <c r="DI114" s="134"/>
      <c r="DJ114" s="134"/>
      <c r="DK114" s="134"/>
      <c r="DL114" s="134"/>
      <c r="DM114" s="134"/>
      <c r="DN114" s="134"/>
      <c r="DO114" s="134"/>
      <c r="DP114" s="134"/>
      <c r="DQ114" s="134"/>
      <c r="DR114" s="134"/>
      <c r="DS114" s="134"/>
      <c r="DT114" s="134"/>
      <c r="DU114" s="134"/>
      <c r="DV114" s="134"/>
      <c r="DW114" s="134"/>
      <c r="DX114" s="134"/>
      <c r="DY114" s="134"/>
      <c r="DZ114" s="134"/>
      <c r="EA114" s="134"/>
      <c r="EB114" s="134"/>
      <c r="EC114" s="134"/>
      <c r="ED114" s="134"/>
      <c r="EE114" s="134"/>
      <c r="EF114" s="134"/>
      <c r="EG114" s="134"/>
      <c r="EH114" s="134"/>
      <c r="EI114" s="134"/>
      <c r="EJ114" s="134"/>
      <c r="EK114" s="134"/>
      <c r="EL114" s="134"/>
      <c r="EM114" s="134"/>
      <c r="EN114" s="134"/>
      <c r="EO114" s="134"/>
      <c r="EP114" s="134"/>
      <c r="EQ114" s="134"/>
      <c r="ER114" s="134"/>
      <c r="ES114" s="134"/>
      <c r="ET114" s="134"/>
      <c r="EU114" s="134"/>
      <c r="EV114" s="134"/>
      <c r="EW114" s="134"/>
      <c r="EX114" s="134"/>
      <c r="EY114" s="134"/>
      <c r="EZ114" s="134"/>
      <c r="FA114" s="134"/>
      <c r="FB114" s="134"/>
      <c r="FC114" s="134"/>
      <c r="FD114" s="134"/>
      <c r="FE114" s="134"/>
      <c r="FF114" s="134"/>
      <c r="FG114" s="134"/>
      <c r="FH114" s="134"/>
      <c r="FI114" s="134"/>
      <c r="FJ114" s="134"/>
      <c r="FK114" s="134"/>
      <c r="FL114" s="134"/>
      <c r="FM114" s="134"/>
      <c r="FN114" s="134"/>
      <c r="FO114" s="134"/>
      <c r="FP114" s="134"/>
      <c r="FQ114" s="134"/>
      <c r="FR114" s="134"/>
      <c r="FS114" s="134"/>
      <c r="FT114" s="134"/>
      <c r="FU114" s="134"/>
      <c r="FV114" s="134"/>
      <c r="FW114" s="134"/>
      <c r="FX114" s="134"/>
      <c r="FY114" s="134"/>
      <c r="FZ114" s="134"/>
      <c r="GA114" s="134"/>
      <c r="GB114" s="134"/>
      <c r="GC114" s="134"/>
      <c r="GD114" s="134"/>
      <c r="GE114" s="134"/>
      <c r="GF114" s="134"/>
      <c r="GG114" s="134"/>
      <c r="GH114" s="134"/>
      <c r="GI114" s="134"/>
      <c r="GJ114" s="134"/>
      <c r="GK114" s="134"/>
      <c r="GL114" s="134"/>
      <c r="GM114" s="134"/>
      <c r="GN114" s="134"/>
      <c r="GO114" s="134"/>
      <c r="GP114" s="134"/>
      <c r="GQ114" s="134"/>
      <c r="GR114" s="134"/>
      <c r="GS114" s="134"/>
      <c r="GT114" s="134"/>
      <c r="GU114" s="134"/>
      <c r="GV114" s="134"/>
      <c r="GW114" s="134"/>
      <c r="GX114" s="134"/>
      <c r="GY114" s="134"/>
      <c r="GZ114" s="134"/>
      <c r="HA114" s="134"/>
      <c r="HB114" s="134"/>
      <c r="HC114" s="134"/>
    </row>
    <row r="115" spans="1:211" x14ac:dyDescent="0.25">
      <c r="B115" s="123">
        <v>46136</v>
      </c>
      <c r="C115" s="120" t="s">
        <v>222</v>
      </c>
      <c r="W115" s="120" t="s">
        <v>223</v>
      </c>
      <c r="Y115" s="120" t="s">
        <v>224</v>
      </c>
      <c r="Z115" s="120">
        <v>100</v>
      </c>
      <c r="AA115" s="120">
        <v>500</v>
      </c>
      <c r="AB115" s="120">
        <v>85</v>
      </c>
      <c r="AC115" s="118">
        <v>9</v>
      </c>
      <c r="AD115" s="121" t="s">
        <v>269</v>
      </c>
      <c r="AE115" s="120">
        <v>3</v>
      </c>
      <c r="AF115" s="120">
        <v>12.39</v>
      </c>
      <c r="AG115" s="120">
        <v>12.06</v>
      </c>
      <c r="AH115" s="120">
        <v>12.16</v>
      </c>
      <c r="AI115" s="120" t="s">
        <v>270</v>
      </c>
      <c r="AJ115" s="120">
        <v>1</v>
      </c>
      <c r="AK115" s="120">
        <v>1</v>
      </c>
      <c r="AO115" s="120">
        <v>1</v>
      </c>
      <c r="AP115" s="120">
        <v>0</v>
      </c>
    </row>
    <row r="116" spans="1:211" x14ac:dyDescent="0.25">
      <c r="AC116" s="124"/>
      <c r="AD116" s="125"/>
      <c r="AE116" s="124"/>
      <c r="AF116" s="124"/>
      <c r="AG116" s="126"/>
      <c r="AH116" s="126"/>
      <c r="AI116" s="124"/>
      <c r="AJ116" s="127" t="s">
        <v>31</v>
      </c>
      <c r="AO116" s="120">
        <v>15.04</v>
      </c>
      <c r="AP116" s="120">
        <v>16.260000000000002</v>
      </c>
    </row>
    <row r="117" spans="1:211" s="128" customFormat="1" x14ac:dyDescent="0.25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4"/>
      <c r="AD117" s="125"/>
      <c r="AE117" s="124"/>
      <c r="AF117" s="124"/>
      <c r="AG117" s="126"/>
      <c r="AH117" s="126"/>
      <c r="AI117" s="124"/>
      <c r="AJ117" s="127" t="s">
        <v>33</v>
      </c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2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20"/>
      <c r="CG117" s="120"/>
      <c r="CH117" s="120"/>
      <c r="CI117" s="120"/>
      <c r="CJ117" s="120"/>
      <c r="CK117" s="120"/>
      <c r="CL117" s="120"/>
      <c r="CM117" s="120"/>
      <c r="CN117" s="120"/>
      <c r="CO117" s="120"/>
      <c r="CP117" s="120"/>
      <c r="CQ117" s="120"/>
      <c r="CR117" s="120"/>
      <c r="CS117" s="120"/>
      <c r="CT117" s="120"/>
      <c r="CU117" s="120"/>
      <c r="CV117" s="120"/>
      <c r="CW117" s="120"/>
      <c r="CX117" s="120"/>
      <c r="CY117" s="120"/>
      <c r="CZ117" s="120"/>
      <c r="DA117" s="120"/>
      <c r="DB117" s="120"/>
      <c r="DC117" s="120"/>
      <c r="DD117" s="120"/>
      <c r="DE117" s="120"/>
      <c r="DF117" s="120"/>
      <c r="DG117" s="120"/>
      <c r="DH117" s="120"/>
      <c r="DI117" s="120"/>
      <c r="DJ117" s="120"/>
      <c r="DK117" s="120"/>
      <c r="DL117" s="120"/>
      <c r="DM117" s="120"/>
      <c r="DN117" s="120"/>
      <c r="DO117" s="120"/>
      <c r="DP117" s="120"/>
      <c r="DQ117" s="120"/>
      <c r="DR117" s="120"/>
      <c r="DS117" s="120"/>
      <c r="DT117" s="120"/>
      <c r="DU117" s="120"/>
      <c r="DV117" s="120"/>
      <c r="DW117" s="120"/>
      <c r="DX117" s="120"/>
      <c r="DY117" s="120"/>
      <c r="DZ117" s="120"/>
      <c r="EA117" s="120"/>
      <c r="EB117" s="120"/>
      <c r="EC117" s="120"/>
      <c r="ED117" s="120"/>
      <c r="EE117" s="120"/>
      <c r="EF117" s="120"/>
      <c r="EG117" s="120"/>
      <c r="EH117" s="120"/>
      <c r="EI117" s="120"/>
      <c r="EJ117" s="120"/>
      <c r="EK117" s="120"/>
      <c r="EL117" s="120"/>
      <c r="EM117" s="120"/>
      <c r="EN117" s="120"/>
      <c r="EO117" s="120"/>
      <c r="EP117" s="120"/>
      <c r="EQ117" s="120"/>
      <c r="ER117" s="120"/>
      <c r="ES117" s="120"/>
      <c r="ET117" s="120"/>
      <c r="EU117" s="120"/>
      <c r="EV117" s="120"/>
      <c r="EW117" s="120"/>
      <c r="EX117" s="120"/>
      <c r="EY117" s="120"/>
      <c r="EZ117" s="120"/>
      <c r="FA117" s="120"/>
      <c r="FB117" s="120"/>
      <c r="FC117" s="120"/>
      <c r="FD117" s="120"/>
      <c r="FE117" s="120"/>
      <c r="FF117" s="120"/>
      <c r="FG117" s="120"/>
      <c r="FH117" s="120"/>
      <c r="FI117" s="120"/>
      <c r="FJ117" s="120"/>
      <c r="FK117" s="120"/>
      <c r="FL117" s="120"/>
      <c r="FM117" s="120"/>
      <c r="FN117" s="120"/>
      <c r="FO117" s="120"/>
      <c r="FP117" s="120"/>
      <c r="FQ117" s="120"/>
      <c r="FR117" s="120"/>
      <c r="FS117" s="120"/>
      <c r="FT117" s="120"/>
      <c r="FU117" s="120"/>
      <c r="FV117" s="120"/>
      <c r="FW117" s="120"/>
      <c r="FX117" s="120"/>
      <c r="FY117" s="120"/>
      <c r="FZ117" s="120"/>
      <c r="GA117" s="120"/>
      <c r="GB117" s="120"/>
      <c r="GC117" s="120"/>
      <c r="GD117" s="120"/>
      <c r="GE117" s="120"/>
      <c r="GF117" s="120"/>
      <c r="GG117" s="120"/>
      <c r="GH117" s="120"/>
      <c r="GI117" s="120"/>
      <c r="GJ117" s="120"/>
      <c r="GK117" s="120"/>
      <c r="GL117" s="120"/>
      <c r="GM117" s="120"/>
      <c r="GN117" s="120"/>
      <c r="GO117" s="120"/>
      <c r="GP117" s="120"/>
      <c r="GQ117" s="120"/>
      <c r="GR117" s="120"/>
      <c r="GS117" s="120"/>
      <c r="GT117" s="120"/>
      <c r="GU117" s="120"/>
      <c r="GV117" s="120"/>
      <c r="GW117" s="120"/>
      <c r="GX117" s="120"/>
      <c r="GY117" s="120"/>
      <c r="GZ117" s="120"/>
      <c r="HA117" s="120"/>
      <c r="HB117" s="120"/>
      <c r="HC117" s="120"/>
    </row>
    <row r="118" spans="1:211" x14ac:dyDescent="0.25">
      <c r="AC118" s="124"/>
      <c r="AD118" s="125"/>
      <c r="AE118" s="124"/>
      <c r="AF118" s="124"/>
      <c r="AG118" s="126"/>
      <c r="AH118" s="126"/>
      <c r="AI118" s="124"/>
      <c r="AJ118" s="127" t="s">
        <v>35</v>
      </c>
      <c r="AP118" s="129" t="s">
        <v>225</v>
      </c>
      <c r="EO118" s="128"/>
      <c r="EP118" s="128"/>
      <c r="EQ118" s="128"/>
      <c r="ER118" s="128"/>
      <c r="ES118" s="128"/>
      <c r="ET118" s="128"/>
      <c r="EU118" s="128"/>
      <c r="EV118" s="128"/>
      <c r="EW118" s="128"/>
      <c r="EX118" s="128"/>
      <c r="EY118" s="128"/>
      <c r="EZ118" s="128"/>
      <c r="FA118" s="128"/>
      <c r="FB118" s="128"/>
      <c r="FC118" s="128"/>
      <c r="FD118" s="128"/>
      <c r="FE118" s="128"/>
      <c r="FF118" s="128"/>
      <c r="FG118" s="128"/>
      <c r="FH118" s="128"/>
      <c r="FI118" s="128"/>
      <c r="FJ118" s="128"/>
      <c r="FK118" s="128"/>
      <c r="FL118" s="128"/>
      <c r="FM118" s="128"/>
      <c r="FN118" s="128"/>
      <c r="FO118" s="128"/>
      <c r="FP118" s="128"/>
      <c r="FQ118" s="128"/>
      <c r="FR118" s="128"/>
      <c r="FS118" s="128"/>
      <c r="FT118" s="128"/>
      <c r="FU118" s="128"/>
      <c r="FV118" s="128"/>
      <c r="FW118" s="128"/>
      <c r="FX118" s="128"/>
      <c r="FY118" s="128"/>
      <c r="FZ118" s="128"/>
      <c r="GA118" s="128"/>
      <c r="GB118" s="128"/>
      <c r="GC118" s="128"/>
      <c r="GD118" s="128"/>
      <c r="GE118" s="128"/>
      <c r="GF118" s="128"/>
      <c r="GG118" s="128"/>
      <c r="GH118" s="128"/>
      <c r="GI118" s="128"/>
      <c r="GJ118" s="128"/>
      <c r="GK118" s="128"/>
      <c r="GL118" s="128"/>
      <c r="GM118" s="128"/>
      <c r="GN118" s="128"/>
      <c r="GO118" s="128"/>
      <c r="GP118" s="128"/>
      <c r="GQ118" s="128"/>
      <c r="GR118" s="128"/>
      <c r="GS118" s="128"/>
      <c r="GT118" s="128"/>
      <c r="GU118" s="128"/>
      <c r="GV118" s="128"/>
      <c r="GW118" s="128"/>
      <c r="GX118" s="128"/>
      <c r="GY118" s="128"/>
      <c r="GZ118" s="128"/>
      <c r="HA118" s="128"/>
      <c r="HB118" s="128"/>
      <c r="HC118" s="128"/>
    </row>
    <row r="119" spans="1:211" x14ac:dyDescent="0.25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30"/>
      <c r="AD119" s="131"/>
      <c r="AE119" s="130"/>
      <c r="AF119" s="130"/>
      <c r="AG119" s="132"/>
      <c r="AH119" s="132"/>
      <c r="AI119" s="130"/>
      <c r="AJ119" s="133" t="s">
        <v>37</v>
      </c>
      <c r="AK119" s="128"/>
      <c r="AL119" s="128"/>
      <c r="AM119" s="128"/>
      <c r="AN119" s="128"/>
      <c r="AO119" s="128" t="s">
        <v>229</v>
      </c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</row>
    <row r="120" spans="1:211" x14ac:dyDescent="0.25">
      <c r="AC120" s="118"/>
      <c r="AI120" s="120" t="s">
        <v>271</v>
      </c>
      <c r="AJ120" s="120">
        <v>2</v>
      </c>
      <c r="AK120" s="120">
        <v>1</v>
      </c>
      <c r="AL120" s="120">
        <v>0</v>
      </c>
    </row>
    <row r="121" spans="1:211" x14ac:dyDescent="0.25">
      <c r="AC121" s="124"/>
      <c r="AD121" s="125"/>
      <c r="AE121" s="124"/>
      <c r="AF121" s="124"/>
      <c r="AG121" s="126"/>
      <c r="AH121" s="126"/>
      <c r="AI121" s="124"/>
      <c r="AJ121" s="127" t="s">
        <v>31</v>
      </c>
      <c r="AL121" s="120">
        <v>15.05</v>
      </c>
    </row>
    <row r="122" spans="1:211" s="128" customFormat="1" x14ac:dyDescent="0.25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4"/>
      <c r="AD122" s="125"/>
      <c r="AE122" s="124"/>
      <c r="AF122" s="124"/>
      <c r="AG122" s="126"/>
      <c r="AH122" s="126"/>
      <c r="AI122" s="124"/>
      <c r="AJ122" s="127" t="s">
        <v>33</v>
      </c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2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20"/>
      <c r="CG122" s="120"/>
      <c r="CH122" s="120"/>
      <c r="CI122" s="120"/>
      <c r="CJ122" s="120"/>
      <c r="CK122" s="120"/>
      <c r="CL122" s="120"/>
      <c r="CM122" s="120"/>
      <c r="CN122" s="120"/>
      <c r="CO122" s="120"/>
      <c r="CP122" s="120"/>
      <c r="CQ122" s="120"/>
      <c r="CR122" s="120"/>
      <c r="CS122" s="120"/>
      <c r="CT122" s="120"/>
      <c r="CU122" s="120"/>
      <c r="CV122" s="120"/>
      <c r="CW122" s="120"/>
      <c r="CX122" s="120"/>
      <c r="CY122" s="120"/>
      <c r="CZ122" s="120"/>
      <c r="DA122" s="120"/>
      <c r="DB122" s="120"/>
      <c r="DC122" s="120"/>
      <c r="DD122" s="120"/>
      <c r="DE122" s="120"/>
      <c r="DF122" s="120"/>
      <c r="DG122" s="120"/>
      <c r="DH122" s="120"/>
      <c r="DI122" s="120"/>
      <c r="DJ122" s="120"/>
      <c r="DK122" s="120"/>
      <c r="DL122" s="120"/>
      <c r="DM122" s="120"/>
      <c r="DN122" s="120"/>
      <c r="DO122" s="120"/>
      <c r="DP122" s="120"/>
      <c r="DQ122" s="120"/>
      <c r="DR122" s="120"/>
      <c r="DS122" s="120"/>
      <c r="DT122" s="120"/>
      <c r="DU122" s="120"/>
      <c r="DV122" s="120"/>
      <c r="DW122" s="120"/>
      <c r="DX122" s="120"/>
      <c r="DY122" s="120"/>
      <c r="DZ122" s="120"/>
      <c r="EA122" s="120"/>
      <c r="EB122" s="120"/>
      <c r="EC122" s="120"/>
      <c r="ED122" s="120"/>
      <c r="EE122" s="120"/>
      <c r="EF122" s="120"/>
      <c r="EG122" s="120"/>
      <c r="EH122" s="120"/>
      <c r="EI122" s="120"/>
      <c r="EJ122" s="120"/>
      <c r="EK122" s="120"/>
      <c r="EL122" s="120"/>
      <c r="EM122" s="120"/>
      <c r="EN122" s="120"/>
      <c r="EO122" s="120"/>
      <c r="EP122" s="120"/>
      <c r="EQ122" s="120"/>
      <c r="ER122" s="120"/>
      <c r="ES122" s="120"/>
      <c r="ET122" s="120"/>
      <c r="EU122" s="120"/>
      <c r="EV122" s="120"/>
      <c r="EW122" s="120"/>
      <c r="EX122" s="120"/>
      <c r="EY122" s="120"/>
      <c r="EZ122" s="120"/>
      <c r="FA122" s="120"/>
      <c r="FB122" s="120"/>
      <c r="FC122" s="120"/>
      <c r="FD122" s="120"/>
      <c r="FE122" s="120"/>
      <c r="FF122" s="120"/>
      <c r="FG122" s="120"/>
      <c r="FH122" s="120"/>
      <c r="FI122" s="120"/>
      <c r="FJ122" s="120"/>
      <c r="FK122" s="120"/>
      <c r="FL122" s="120"/>
      <c r="FM122" s="120"/>
      <c r="FN122" s="120"/>
      <c r="FO122" s="120"/>
      <c r="FP122" s="120"/>
      <c r="FQ122" s="120"/>
      <c r="FR122" s="120"/>
      <c r="FS122" s="120"/>
      <c r="FT122" s="120"/>
      <c r="FU122" s="120"/>
      <c r="FV122" s="120"/>
      <c r="FW122" s="120"/>
      <c r="FX122" s="120"/>
      <c r="FY122" s="120"/>
      <c r="FZ122" s="120"/>
      <c r="GA122" s="120"/>
      <c r="GB122" s="120"/>
      <c r="GC122" s="120"/>
      <c r="GD122" s="120"/>
      <c r="GE122" s="120"/>
      <c r="GF122" s="120"/>
      <c r="GG122" s="120"/>
      <c r="GH122" s="120"/>
      <c r="GI122" s="120"/>
      <c r="GJ122" s="120"/>
      <c r="GK122" s="120"/>
      <c r="GL122" s="120"/>
      <c r="GM122" s="120"/>
      <c r="GN122" s="120"/>
      <c r="GO122" s="120"/>
      <c r="GP122" s="120"/>
      <c r="GQ122" s="120"/>
      <c r="GR122" s="120"/>
      <c r="GS122" s="120"/>
      <c r="GT122" s="120"/>
      <c r="GU122" s="120"/>
      <c r="GV122" s="120"/>
      <c r="GW122" s="120"/>
      <c r="GX122" s="120"/>
      <c r="GY122" s="120"/>
      <c r="GZ122" s="120"/>
      <c r="HA122" s="120"/>
      <c r="HB122" s="120"/>
      <c r="HC122" s="120"/>
    </row>
    <row r="123" spans="1:211" x14ac:dyDescent="0.25">
      <c r="AC123" s="124"/>
      <c r="AD123" s="125"/>
      <c r="AE123" s="124"/>
      <c r="AF123" s="124"/>
      <c r="AG123" s="126"/>
      <c r="AH123" s="126"/>
      <c r="AI123" s="124"/>
      <c r="AJ123" s="127" t="s">
        <v>35</v>
      </c>
      <c r="AL123" s="129" t="s">
        <v>225</v>
      </c>
      <c r="EO123" s="128"/>
      <c r="EP123" s="128"/>
      <c r="EQ123" s="128"/>
      <c r="ER123" s="128"/>
      <c r="ES123" s="128"/>
      <c r="ET123" s="128"/>
      <c r="EU123" s="128"/>
      <c r="EV123" s="128"/>
      <c r="EW123" s="128"/>
      <c r="EX123" s="128"/>
      <c r="EY123" s="128"/>
      <c r="EZ123" s="128"/>
      <c r="FA123" s="128"/>
      <c r="FB123" s="128"/>
      <c r="FC123" s="128"/>
      <c r="FD123" s="128"/>
      <c r="FE123" s="128"/>
      <c r="FF123" s="128"/>
      <c r="FG123" s="128"/>
      <c r="FH123" s="128"/>
      <c r="FI123" s="128"/>
      <c r="FJ123" s="128"/>
      <c r="FK123" s="128"/>
      <c r="FL123" s="128"/>
      <c r="FM123" s="128"/>
      <c r="FN123" s="128"/>
      <c r="FO123" s="128"/>
      <c r="FP123" s="128"/>
      <c r="FQ123" s="128"/>
      <c r="FR123" s="128"/>
      <c r="FS123" s="128"/>
      <c r="FT123" s="128"/>
      <c r="FU123" s="128"/>
      <c r="FV123" s="128"/>
      <c r="FW123" s="128"/>
      <c r="FX123" s="128"/>
      <c r="FY123" s="128"/>
      <c r="FZ123" s="128"/>
      <c r="GA123" s="128"/>
      <c r="GB123" s="128"/>
      <c r="GC123" s="128"/>
      <c r="GD123" s="128"/>
      <c r="GE123" s="128"/>
      <c r="GF123" s="128"/>
      <c r="GG123" s="128"/>
      <c r="GH123" s="128"/>
      <c r="GI123" s="128"/>
      <c r="GJ123" s="128"/>
      <c r="GK123" s="128"/>
      <c r="GL123" s="128"/>
      <c r="GM123" s="128"/>
      <c r="GN123" s="128"/>
      <c r="GO123" s="128"/>
      <c r="GP123" s="128"/>
      <c r="GQ123" s="128"/>
      <c r="GR123" s="128"/>
      <c r="GS123" s="128"/>
      <c r="GT123" s="128"/>
      <c r="GU123" s="128"/>
      <c r="GV123" s="128"/>
      <c r="GW123" s="128"/>
      <c r="GX123" s="128"/>
      <c r="GY123" s="128"/>
      <c r="GZ123" s="128"/>
      <c r="HA123" s="128"/>
      <c r="HB123" s="128"/>
      <c r="HC123" s="128"/>
    </row>
    <row r="124" spans="1:211" x14ac:dyDescent="0.25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30"/>
      <c r="AD124" s="131"/>
      <c r="AE124" s="130"/>
      <c r="AF124" s="130"/>
      <c r="AG124" s="132"/>
      <c r="AH124" s="132"/>
      <c r="AI124" s="130"/>
      <c r="AJ124" s="133" t="s">
        <v>37</v>
      </c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</row>
    <row r="125" spans="1:211" x14ac:dyDescent="0.25">
      <c r="AC125" s="118"/>
      <c r="AI125" s="120" t="s">
        <v>272</v>
      </c>
      <c r="AJ125" s="120">
        <v>3</v>
      </c>
      <c r="AK125" s="120">
        <v>1</v>
      </c>
      <c r="AL125" s="120">
        <v>0</v>
      </c>
    </row>
    <row r="126" spans="1:211" x14ac:dyDescent="0.25">
      <c r="AC126" s="124"/>
      <c r="AD126" s="125"/>
      <c r="AE126" s="124"/>
      <c r="AF126" s="124"/>
      <c r="AG126" s="126"/>
      <c r="AH126" s="126"/>
      <c r="AI126" s="124"/>
      <c r="AJ126" s="127" t="s">
        <v>31</v>
      </c>
      <c r="AL126" s="120">
        <v>15.05</v>
      </c>
    </row>
    <row r="127" spans="1:211" s="134" customFormat="1" x14ac:dyDescent="0.25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4"/>
      <c r="AD127" s="125"/>
      <c r="AE127" s="124"/>
      <c r="AF127" s="124"/>
      <c r="AG127" s="126"/>
      <c r="AH127" s="126"/>
      <c r="AI127" s="124"/>
      <c r="AJ127" s="127" t="s">
        <v>33</v>
      </c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2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20"/>
      <c r="CG127" s="120"/>
      <c r="CH127" s="120"/>
      <c r="CI127" s="120"/>
      <c r="CJ127" s="120"/>
      <c r="CK127" s="120"/>
      <c r="CL127" s="120"/>
      <c r="CM127" s="120"/>
      <c r="CN127" s="120"/>
      <c r="CO127" s="120"/>
      <c r="CP127" s="120"/>
      <c r="CQ127" s="120"/>
      <c r="CR127" s="120"/>
      <c r="CS127" s="120"/>
      <c r="CT127" s="120"/>
      <c r="CU127" s="120"/>
      <c r="CV127" s="120"/>
      <c r="CW127" s="120"/>
      <c r="CX127" s="120"/>
      <c r="CY127" s="120"/>
      <c r="CZ127" s="120"/>
      <c r="DA127" s="120"/>
      <c r="DB127" s="120"/>
      <c r="DC127" s="120"/>
      <c r="DD127" s="120"/>
      <c r="DE127" s="120"/>
      <c r="DF127" s="120"/>
      <c r="DG127" s="120"/>
      <c r="DH127" s="120"/>
      <c r="DI127" s="120"/>
      <c r="DJ127" s="120"/>
      <c r="DK127" s="120"/>
      <c r="DL127" s="120"/>
      <c r="DM127" s="120"/>
      <c r="DN127" s="120"/>
      <c r="DO127" s="120"/>
      <c r="DP127" s="120"/>
      <c r="DQ127" s="120"/>
      <c r="DR127" s="120"/>
      <c r="DS127" s="120"/>
      <c r="DT127" s="120"/>
      <c r="DU127" s="120"/>
      <c r="DV127" s="120"/>
      <c r="DW127" s="120"/>
      <c r="DX127" s="120"/>
      <c r="DY127" s="120"/>
      <c r="DZ127" s="120"/>
      <c r="EA127" s="120"/>
      <c r="EB127" s="120"/>
      <c r="EC127" s="120"/>
      <c r="ED127" s="120"/>
      <c r="EE127" s="120"/>
      <c r="EF127" s="120"/>
      <c r="EG127" s="120"/>
      <c r="EH127" s="120"/>
      <c r="EI127" s="120"/>
      <c r="EJ127" s="120"/>
      <c r="EK127" s="120"/>
      <c r="EL127" s="120"/>
      <c r="EM127" s="120"/>
      <c r="EN127" s="120"/>
      <c r="EO127" s="120"/>
      <c r="EP127" s="120"/>
      <c r="EQ127" s="120"/>
      <c r="ER127" s="120"/>
      <c r="ES127" s="120"/>
      <c r="ET127" s="120"/>
      <c r="EU127" s="120"/>
      <c r="EV127" s="120"/>
      <c r="EW127" s="120"/>
      <c r="EX127" s="120"/>
      <c r="EY127" s="120"/>
      <c r="EZ127" s="120"/>
      <c r="FA127" s="120"/>
      <c r="FB127" s="120"/>
      <c r="FC127" s="120"/>
      <c r="FD127" s="120"/>
      <c r="FE127" s="120"/>
      <c r="FF127" s="120"/>
      <c r="FG127" s="120"/>
      <c r="FH127" s="120"/>
      <c r="FI127" s="120"/>
      <c r="FJ127" s="120"/>
      <c r="FK127" s="120"/>
      <c r="FL127" s="120"/>
      <c r="FM127" s="120"/>
      <c r="FN127" s="120"/>
      <c r="FO127" s="120"/>
      <c r="FP127" s="120"/>
      <c r="FQ127" s="120"/>
      <c r="FR127" s="120"/>
      <c r="FS127" s="120"/>
      <c r="FT127" s="120"/>
      <c r="FU127" s="120"/>
      <c r="FV127" s="120"/>
      <c r="FW127" s="120"/>
      <c r="FX127" s="120"/>
      <c r="FY127" s="120"/>
      <c r="FZ127" s="120"/>
      <c r="GA127" s="120"/>
      <c r="GB127" s="120"/>
      <c r="GC127" s="120"/>
      <c r="GD127" s="120"/>
      <c r="GE127" s="120"/>
      <c r="GF127" s="120"/>
      <c r="GG127" s="120"/>
      <c r="GH127" s="120"/>
      <c r="GI127" s="120"/>
      <c r="GJ127" s="120"/>
      <c r="GK127" s="120"/>
      <c r="GL127" s="120"/>
      <c r="GM127" s="120"/>
      <c r="GN127" s="120"/>
      <c r="GO127" s="120"/>
      <c r="GP127" s="120"/>
      <c r="GQ127" s="120"/>
      <c r="GR127" s="120"/>
      <c r="GS127" s="120"/>
      <c r="GT127" s="120"/>
      <c r="GU127" s="120"/>
      <c r="GV127" s="120"/>
      <c r="GW127" s="120"/>
      <c r="GX127" s="120"/>
      <c r="GY127" s="120"/>
      <c r="GZ127" s="120"/>
      <c r="HA127" s="120"/>
      <c r="HB127" s="120"/>
      <c r="HC127" s="120"/>
    </row>
    <row r="128" spans="1:211" s="134" customFormat="1" x14ac:dyDescent="0.25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4"/>
      <c r="AD128" s="125"/>
      <c r="AE128" s="124"/>
      <c r="AF128" s="124"/>
      <c r="AG128" s="126"/>
      <c r="AH128" s="126"/>
      <c r="AI128" s="124"/>
      <c r="AJ128" s="127" t="s">
        <v>35</v>
      </c>
      <c r="AK128" s="120"/>
      <c r="AL128" s="129" t="s">
        <v>225</v>
      </c>
      <c r="AM128" s="120"/>
      <c r="AN128" s="120"/>
      <c r="AO128" s="120"/>
      <c r="AP128" s="120"/>
      <c r="AQ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2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0"/>
      <c r="CE128" s="120"/>
      <c r="CF128" s="120"/>
      <c r="CG128" s="120"/>
      <c r="CH128" s="120"/>
      <c r="CI128" s="120"/>
      <c r="CJ128" s="120"/>
      <c r="CK128" s="120"/>
      <c r="CL128" s="120"/>
      <c r="CM128" s="120"/>
      <c r="CN128" s="120"/>
      <c r="CO128" s="120"/>
      <c r="CP128" s="120"/>
      <c r="CQ128" s="120"/>
      <c r="CR128" s="120"/>
      <c r="CS128" s="120"/>
      <c r="CT128" s="120"/>
      <c r="CU128" s="120"/>
      <c r="CV128" s="120"/>
      <c r="CW128" s="120"/>
      <c r="CX128" s="120"/>
      <c r="CY128" s="120"/>
      <c r="CZ128" s="120"/>
      <c r="DA128" s="120"/>
      <c r="DB128" s="120"/>
      <c r="DC128" s="120"/>
      <c r="DD128" s="120"/>
      <c r="DE128" s="120"/>
      <c r="DF128" s="120"/>
      <c r="DG128" s="120"/>
      <c r="DH128" s="120"/>
      <c r="DI128" s="120"/>
      <c r="DJ128" s="120"/>
      <c r="DK128" s="120"/>
      <c r="DL128" s="120"/>
      <c r="DM128" s="120"/>
      <c r="DN128" s="120"/>
      <c r="DO128" s="120"/>
      <c r="DP128" s="120"/>
      <c r="DQ128" s="120"/>
      <c r="DR128" s="120"/>
      <c r="DS128" s="120"/>
      <c r="DT128" s="120"/>
      <c r="DU128" s="120"/>
      <c r="DV128" s="120"/>
      <c r="DW128" s="120"/>
      <c r="DX128" s="120"/>
      <c r="DY128" s="120"/>
      <c r="DZ128" s="120"/>
      <c r="EA128" s="120"/>
      <c r="EB128" s="120"/>
      <c r="EC128" s="120"/>
      <c r="ED128" s="120"/>
      <c r="EE128" s="120"/>
      <c r="EF128" s="120"/>
      <c r="EG128" s="120"/>
      <c r="EH128" s="120"/>
      <c r="EI128" s="120"/>
      <c r="EJ128" s="120"/>
      <c r="EK128" s="120"/>
      <c r="EL128" s="120"/>
      <c r="EM128" s="120"/>
      <c r="EN128" s="120"/>
    </row>
    <row r="129" spans="1:211" x14ac:dyDescent="0.25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5"/>
      <c r="AD129" s="136"/>
      <c r="AE129" s="135"/>
      <c r="AF129" s="135"/>
      <c r="AG129" s="137"/>
      <c r="AH129" s="137"/>
      <c r="AI129" s="135"/>
      <c r="AJ129" s="138" t="s">
        <v>37</v>
      </c>
      <c r="AK129" s="134"/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/>
      <c r="AX129" s="134"/>
      <c r="AY129" s="134"/>
      <c r="AZ129" s="134"/>
      <c r="BA129" s="134"/>
      <c r="BB129" s="134"/>
      <c r="BC129" s="134"/>
      <c r="BD129" s="134"/>
      <c r="BE129" s="134"/>
      <c r="BF129" s="139"/>
      <c r="BG129" s="134"/>
      <c r="BH129" s="134"/>
      <c r="BI129" s="134"/>
      <c r="BJ129" s="134"/>
      <c r="BK129" s="134"/>
      <c r="BL129" s="134"/>
      <c r="BM129" s="134"/>
      <c r="BN129" s="134"/>
      <c r="BO129" s="134"/>
      <c r="BP129" s="134"/>
      <c r="BQ129" s="134"/>
      <c r="BR129" s="134"/>
      <c r="BS129" s="134"/>
      <c r="BT129" s="134"/>
      <c r="BU129" s="134"/>
      <c r="BV129" s="134"/>
      <c r="BW129" s="134"/>
      <c r="BX129" s="134"/>
      <c r="BY129" s="134"/>
      <c r="BZ129" s="134"/>
      <c r="CA129" s="134"/>
      <c r="CB129" s="134"/>
      <c r="CC129" s="134"/>
      <c r="CD129" s="134"/>
      <c r="CE129" s="134"/>
      <c r="CF129" s="134"/>
      <c r="CG129" s="134"/>
      <c r="CH129" s="134"/>
      <c r="CI129" s="134"/>
      <c r="CJ129" s="134"/>
      <c r="CK129" s="134"/>
      <c r="CL129" s="134"/>
      <c r="CM129" s="134"/>
      <c r="CN129" s="134"/>
      <c r="CO129" s="134"/>
      <c r="CP129" s="134"/>
      <c r="CQ129" s="134"/>
      <c r="CR129" s="134"/>
      <c r="CS129" s="134"/>
      <c r="CT129" s="134"/>
      <c r="CU129" s="134"/>
      <c r="CV129" s="134"/>
      <c r="CW129" s="134"/>
      <c r="CX129" s="134"/>
      <c r="CY129" s="134"/>
      <c r="CZ129" s="134"/>
      <c r="DA129" s="134"/>
      <c r="DB129" s="134"/>
      <c r="DC129" s="134"/>
      <c r="DD129" s="134"/>
      <c r="DE129" s="134"/>
      <c r="DF129" s="134"/>
      <c r="DG129" s="134"/>
      <c r="DH129" s="134"/>
      <c r="DI129" s="134"/>
      <c r="DJ129" s="134"/>
      <c r="DK129" s="134"/>
      <c r="DL129" s="134"/>
      <c r="DM129" s="134"/>
      <c r="DN129" s="134"/>
      <c r="DO129" s="134"/>
      <c r="DP129" s="134"/>
      <c r="DQ129" s="134"/>
      <c r="DR129" s="134"/>
      <c r="DS129" s="134"/>
      <c r="DT129" s="134"/>
      <c r="DU129" s="134"/>
      <c r="DV129" s="134"/>
      <c r="DW129" s="134"/>
      <c r="DX129" s="134"/>
      <c r="DY129" s="134"/>
      <c r="DZ129" s="134"/>
      <c r="EA129" s="134"/>
      <c r="EB129" s="134"/>
      <c r="EC129" s="134"/>
      <c r="ED129" s="134"/>
      <c r="EE129" s="134"/>
      <c r="EF129" s="134"/>
      <c r="EG129" s="134"/>
      <c r="EH129" s="134"/>
      <c r="EI129" s="134"/>
      <c r="EJ129" s="134"/>
      <c r="EK129" s="134"/>
      <c r="EL129" s="134"/>
      <c r="EM129" s="134"/>
      <c r="EN129" s="134"/>
      <c r="EO129" s="134"/>
      <c r="EP129" s="134"/>
      <c r="EQ129" s="134"/>
      <c r="ER129" s="134"/>
      <c r="ES129" s="134"/>
      <c r="ET129" s="134"/>
      <c r="EU129" s="134"/>
      <c r="EV129" s="134"/>
      <c r="EW129" s="134"/>
      <c r="EX129" s="134"/>
      <c r="EY129" s="134"/>
      <c r="EZ129" s="134"/>
      <c r="FA129" s="134"/>
      <c r="FB129" s="134"/>
      <c r="FC129" s="134"/>
      <c r="FD129" s="134"/>
      <c r="FE129" s="134"/>
      <c r="FF129" s="134"/>
      <c r="FG129" s="134"/>
      <c r="FH129" s="134"/>
      <c r="FI129" s="134"/>
      <c r="FJ129" s="134"/>
      <c r="FK129" s="134"/>
      <c r="FL129" s="134"/>
      <c r="FM129" s="134"/>
      <c r="FN129" s="134"/>
      <c r="FO129" s="134"/>
      <c r="FP129" s="134"/>
      <c r="FQ129" s="134"/>
      <c r="FR129" s="134"/>
      <c r="FS129" s="134"/>
      <c r="FT129" s="134"/>
      <c r="FU129" s="134"/>
      <c r="FV129" s="134"/>
      <c r="FW129" s="134"/>
      <c r="FX129" s="134"/>
      <c r="FY129" s="134"/>
      <c r="FZ129" s="134"/>
      <c r="GA129" s="134"/>
      <c r="GB129" s="134"/>
      <c r="GC129" s="134"/>
      <c r="GD129" s="134"/>
      <c r="GE129" s="134"/>
      <c r="GF129" s="134"/>
      <c r="GG129" s="134"/>
      <c r="GH129" s="134"/>
      <c r="GI129" s="134"/>
      <c r="GJ129" s="134"/>
      <c r="GK129" s="134"/>
      <c r="GL129" s="134"/>
      <c r="GM129" s="134"/>
      <c r="GN129" s="134"/>
      <c r="GO129" s="134"/>
      <c r="GP129" s="134"/>
      <c r="GQ129" s="134"/>
      <c r="GR129" s="134"/>
      <c r="GS129" s="134"/>
      <c r="GT129" s="134"/>
      <c r="GU129" s="134"/>
      <c r="GV129" s="134"/>
      <c r="GW129" s="134"/>
      <c r="GX129" s="134"/>
      <c r="GY129" s="134"/>
      <c r="GZ129" s="134"/>
      <c r="HA129" s="134"/>
      <c r="HB129" s="134"/>
      <c r="HC129" s="134"/>
    </row>
    <row r="130" spans="1:211" x14ac:dyDescent="0.25">
      <c r="B130" s="123">
        <v>46136</v>
      </c>
      <c r="C130" s="120" t="s">
        <v>222</v>
      </c>
      <c r="W130" s="120" t="s">
        <v>223</v>
      </c>
      <c r="Y130" s="120" t="s">
        <v>224</v>
      </c>
      <c r="Z130" s="120">
        <v>100</v>
      </c>
      <c r="AA130" s="120">
        <v>500</v>
      </c>
      <c r="AB130" s="120">
        <v>85</v>
      </c>
      <c r="AC130" s="118">
        <v>10</v>
      </c>
      <c r="AD130" s="121" t="s">
        <v>273</v>
      </c>
      <c r="AE130" s="120">
        <v>2</v>
      </c>
      <c r="AF130" s="120">
        <v>12.43</v>
      </c>
      <c r="AG130" s="120">
        <v>12.17</v>
      </c>
      <c r="AH130" s="120">
        <v>12.27</v>
      </c>
      <c r="AI130" s="120" t="s">
        <v>274</v>
      </c>
      <c r="AJ130" s="120">
        <v>1</v>
      </c>
      <c r="AK130" s="120">
        <v>1</v>
      </c>
      <c r="AL130" s="120">
        <v>0</v>
      </c>
    </row>
    <row r="131" spans="1:211" x14ac:dyDescent="0.25">
      <c r="AC131" s="124"/>
      <c r="AD131" s="125"/>
      <c r="AE131" s="124"/>
      <c r="AF131" s="124"/>
      <c r="AG131" s="126"/>
      <c r="AH131" s="126"/>
      <c r="AI131" s="124"/>
      <c r="AJ131" s="127" t="s">
        <v>31</v>
      </c>
      <c r="AL131" s="120">
        <v>15.06</v>
      </c>
    </row>
    <row r="132" spans="1:211" s="128" customFormat="1" x14ac:dyDescent="0.25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4"/>
      <c r="AD132" s="125"/>
      <c r="AE132" s="124"/>
      <c r="AF132" s="124"/>
      <c r="AG132" s="126"/>
      <c r="AH132" s="126"/>
      <c r="AI132" s="124"/>
      <c r="AJ132" s="127" t="s">
        <v>33</v>
      </c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2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0"/>
      <c r="BU132" s="120"/>
      <c r="BV132" s="120"/>
      <c r="BW132" s="120"/>
      <c r="BX132" s="120"/>
      <c r="BY132" s="120"/>
      <c r="BZ132" s="120"/>
      <c r="CA132" s="120"/>
      <c r="CB132" s="120"/>
      <c r="CC132" s="120"/>
      <c r="CD132" s="120"/>
      <c r="CE132" s="120"/>
      <c r="CF132" s="120"/>
      <c r="CG132" s="120"/>
      <c r="CH132" s="120"/>
      <c r="CI132" s="120"/>
      <c r="CJ132" s="120"/>
      <c r="CK132" s="120"/>
      <c r="CL132" s="120"/>
      <c r="CM132" s="120"/>
      <c r="CN132" s="120"/>
      <c r="CO132" s="120"/>
      <c r="CP132" s="120"/>
      <c r="CQ132" s="120"/>
      <c r="CR132" s="120"/>
      <c r="CS132" s="120"/>
      <c r="CT132" s="120"/>
      <c r="CU132" s="120"/>
      <c r="CV132" s="120"/>
      <c r="CW132" s="120"/>
      <c r="CX132" s="120"/>
      <c r="CY132" s="120"/>
      <c r="CZ132" s="120"/>
      <c r="DA132" s="120"/>
      <c r="DB132" s="120"/>
      <c r="DC132" s="120"/>
      <c r="DD132" s="120"/>
      <c r="DE132" s="120"/>
      <c r="DF132" s="120"/>
      <c r="DG132" s="120"/>
      <c r="DH132" s="120"/>
      <c r="DI132" s="120"/>
      <c r="DJ132" s="120"/>
      <c r="DK132" s="120"/>
      <c r="DL132" s="120"/>
      <c r="DM132" s="120"/>
      <c r="DN132" s="120"/>
      <c r="DO132" s="120"/>
      <c r="DP132" s="120"/>
      <c r="DQ132" s="120"/>
      <c r="DR132" s="120"/>
      <c r="DS132" s="120"/>
      <c r="DT132" s="120"/>
      <c r="DU132" s="120"/>
      <c r="DV132" s="120"/>
      <c r="DW132" s="120"/>
      <c r="DX132" s="120"/>
      <c r="DY132" s="120"/>
      <c r="DZ132" s="120"/>
      <c r="EA132" s="120"/>
      <c r="EB132" s="120"/>
      <c r="EC132" s="120"/>
      <c r="ED132" s="120"/>
      <c r="EE132" s="120"/>
      <c r="EF132" s="120"/>
      <c r="EG132" s="120"/>
      <c r="EH132" s="120"/>
      <c r="EI132" s="120"/>
      <c r="EJ132" s="120"/>
      <c r="EK132" s="120"/>
      <c r="EL132" s="120"/>
      <c r="EM132" s="120"/>
      <c r="EN132" s="120"/>
      <c r="EO132" s="120"/>
      <c r="EP132" s="120"/>
      <c r="EQ132" s="120"/>
      <c r="ER132" s="120"/>
      <c r="ES132" s="120"/>
      <c r="ET132" s="120"/>
      <c r="EU132" s="120"/>
      <c r="EV132" s="120"/>
      <c r="EW132" s="120"/>
      <c r="EX132" s="120"/>
      <c r="EY132" s="120"/>
      <c r="EZ132" s="120"/>
      <c r="FA132" s="120"/>
      <c r="FB132" s="120"/>
      <c r="FC132" s="120"/>
      <c r="FD132" s="120"/>
      <c r="FE132" s="120"/>
      <c r="FF132" s="120"/>
      <c r="FG132" s="120"/>
      <c r="FH132" s="120"/>
      <c r="FI132" s="120"/>
      <c r="FJ132" s="120"/>
      <c r="FK132" s="120"/>
      <c r="FL132" s="120"/>
      <c r="FM132" s="120"/>
      <c r="FN132" s="120"/>
      <c r="FO132" s="120"/>
      <c r="FP132" s="120"/>
      <c r="FQ132" s="120"/>
      <c r="FR132" s="120"/>
      <c r="FS132" s="120"/>
      <c r="FT132" s="120"/>
      <c r="FU132" s="120"/>
      <c r="FV132" s="120"/>
      <c r="FW132" s="120"/>
      <c r="FX132" s="120"/>
      <c r="FY132" s="120"/>
      <c r="FZ132" s="120"/>
      <c r="GA132" s="120"/>
      <c r="GB132" s="120"/>
      <c r="GC132" s="120"/>
      <c r="GD132" s="120"/>
      <c r="GE132" s="120"/>
      <c r="GF132" s="120"/>
      <c r="GG132" s="120"/>
      <c r="GH132" s="120"/>
      <c r="GI132" s="120"/>
      <c r="GJ132" s="120"/>
      <c r="GK132" s="120"/>
      <c r="GL132" s="120"/>
      <c r="GM132" s="120"/>
      <c r="GN132" s="120"/>
      <c r="GO132" s="120"/>
      <c r="GP132" s="120"/>
      <c r="GQ132" s="120"/>
      <c r="GR132" s="120"/>
      <c r="GS132" s="120"/>
      <c r="GT132" s="120"/>
      <c r="GU132" s="120"/>
      <c r="GV132" s="120"/>
      <c r="GW132" s="120"/>
      <c r="GX132" s="120"/>
      <c r="GY132" s="120"/>
      <c r="GZ132" s="120"/>
      <c r="HA132" s="120"/>
      <c r="HB132" s="120"/>
      <c r="HC132" s="120"/>
    </row>
    <row r="133" spans="1:211" x14ac:dyDescent="0.25">
      <c r="AC133" s="124"/>
      <c r="AD133" s="125"/>
      <c r="AE133" s="124"/>
      <c r="AF133" s="124"/>
      <c r="AG133" s="126"/>
      <c r="AH133" s="126"/>
      <c r="AI133" s="124"/>
      <c r="AJ133" s="127" t="s">
        <v>35</v>
      </c>
      <c r="AL133" s="129" t="s">
        <v>225</v>
      </c>
      <c r="EO133" s="128"/>
      <c r="EP133" s="128"/>
      <c r="EQ133" s="128"/>
      <c r="ER133" s="128"/>
      <c r="ES133" s="128"/>
      <c r="ET133" s="128"/>
      <c r="EU133" s="128"/>
      <c r="EV133" s="128"/>
      <c r="EW133" s="128"/>
      <c r="EX133" s="128"/>
      <c r="EY133" s="128"/>
      <c r="EZ133" s="128"/>
      <c r="FA133" s="128"/>
      <c r="FB133" s="128"/>
      <c r="FC133" s="128"/>
      <c r="FD133" s="128"/>
      <c r="FE133" s="128"/>
      <c r="FF133" s="128"/>
      <c r="FG133" s="128"/>
      <c r="FH133" s="128"/>
      <c r="FI133" s="128"/>
      <c r="FJ133" s="128"/>
      <c r="FK133" s="128"/>
      <c r="FL133" s="128"/>
      <c r="FM133" s="128"/>
      <c r="FN133" s="128"/>
      <c r="FO133" s="128"/>
      <c r="FP133" s="128"/>
      <c r="FQ133" s="128"/>
      <c r="FR133" s="128"/>
      <c r="FS133" s="128"/>
      <c r="FT133" s="128"/>
      <c r="FU133" s="128"/>
      <c r="FV133" s="128"/>
      <c r="FW133" s="128"/>
      <c r="FX133" s="128"/>
      <c r="FY133" s="128"/>
      <c r="FZ133" s="128"/>
      <c r="GA133" s="128"/>
      <c r="GB133" s="128"/>
      <c r="GC133" s="128"/>
      <c r="GD133" s="128"/>
      <c r="GE133" s="128"/>
      <c r="GF133" s="128"/>
      <c r="GG133" s="128"/>
      <c r="GH133" s="128"/>
      <c r="GI133" s="128"/>
      <c r="GJ133" s="128"/>
      <c r="GK133" s="128"/>
      <c r="GL133" s="128"/>
      <c r="GM133" s="128"/>
      <c r="GN133" s="128"/>
      <c r="GO133" s="128"/>
      <c r="GP133" s="128"/>
      <c r="GQ133" s="128"/>
      <c r="GR133" s="128"/>
      <c r="GS133" s="128"/>
      <c r="GT133" s="128"/>
      <c r="GU133" s="128"/>
      <c r="GV133" s="128"/>
      <c r="GW133" s="128"/>
      <c r="GX133" s="128"/>
      <c r="GY133" s="128"/>
      <c r="GZ133" s="128"/>
      <c r="HA133" s="128"/>
      <c r="HB133" s="128"/>
      <c r="HC133" s="128"/>
    </row>
    <row r="134" spans="1:211" x14ac:dyDescent="0.25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30"/>
      <c r="AD134" s="131"/>
      <c r="AE134" s="130"/>
      <c r="AF134" s="130"/>
      <c r="AG134" s="132"/>
      <c r="AH134" s="132"/>
      <c r="AI134" s="130"/>
      <c r="AJ134" s="133" t="s">
        <v>37</v>
      </c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</row>
    <row r="135" spans="1:211" x14ac:dyDescent="0.25">
      <c r="AC135" s="118"/>
      <c r="AI135" s="120" t="s">
        <v>275</v>
      </c>
      <c r="AJ135" s="120">
        <v>2</v>
      </c>
      <c r="AK135" s="120">
        <v>1</v>
      </c>
      <c r="AL135" s="120">
        <v>0</v>
      </c>
    </row>
    <row r="136" spans="1:211" x14ac:dyDescent="0.25">
      <c r="AC136" s="124"/>
      <c r="AD136" s="125"/>
      <c r="AE136" s="124"/>
      <c r="AF136" s="124"/>
      <c r="AG136" s="126"/>
      <c r="AH136" s="126"/>
      <c r="AI136" s="124"/>
      <c r="AJ136" s="127" t="s">
        <v>31</v>
      </c>
      <c r="AL136" s="120">
        <v>15.06</v>
      </c>
    </row>
    <row r="137" spans="1:211" s="128" customFormat="1" x14ac:dyDescent="0.25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4"/>
      <c r="AD137" s="125"/>
      <c r="AE137" s="124"/>
      <c r="AF137" s="124"/>
      <c r="AG137" s="126"/>
      <c r="AH137" s="126"/>
      <c r="AI137" s="124"/>
      <c r="AJ137" s="127" t="s">
        <v>33</v>
      </c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2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20"/>
      <c r="CG137" s="120"/>
      <c r="CH137" s="120"/>
      <c r="CI137" s="120"/>
      <c r="CJ137" s="120"/>
      <c r="CK137" s="120"/>
      <c r="CL137" s="120"/>
      <c r="CM137" s="120"/>
      <c r="CN137" s="120"/>
      <c r="CO137" s="120"/>
      <c r="CP137" s="120"/>
      <c r="CQ137" s="120"/>
      <c r="CR137" s="120"/>
      <c r="CS137" s="120"/>
      <c r="CT137" s="120"/>
      <c r="CU137" s="120"/>
      <c r="CV137" s="120"/>
      <c r="CW137" s="120"/>
      <c r="CX137" s="120"/>
      <c r="CY137" s="120"/>
      <c r="CZ137" s="120"/>
      <c r="DA137" s="120"/>
      <c r="DB137" s="120"/>
      <c r="DC137" s="120"/>
      <c r="DD137" s="120"/>
      <c r="DE137" s="120"/>
      <c r="DF137" s="120"/>
      <c r="DG137" s="120"/>
      <c r="DH137" s="120"/>
      <c r="DI137" s="120"/>
      <c r="DJ137" s="120"/>
      <c r="DK137" s="120"/>
      <c r="DL137" s="120"/>
      <c r="DM137" s="120"/>
      <c r="DN137" s="120"/>
      <c r="DO137" s="120"/>
      <c r="DP137" s="120"/>
      <c r="DQ137" s="120"/>
      <c r="DR137" s="120"/>
      <c r="DS137" s="120"/>
      <c r="DT137" s="120"/>
      <c r="DU137" s="120"/>
      <c r="DV137" s="120"/>
      <c r="DW137" s="120"/>
      <c r="DX137" s="120"/>
      <c r="DY137" s="120"/>
      <c r="DZ137" s="120"/>
      <c r="EA137" s="120"/>
      <c r="EB137" s="120"/>
      <c r="EC137" s="120"/>
      <c r="ED137" s="120"/>
      <c r="EE137" s="120"/>
      <c r="EF137" s="120"/>
      <c r="EG137" s="120"/>
      <c r="EH137" s="120"/>
      <c r="EI137" s="120"/>
      <c r="EJ137" s="120"/>
      <c r="EK137" s="120"/>
      <c r="EL137" s="120"/>
      <c r="EM137" s="120"/>
      <c r="EN137" s="120"/>
      <c r="EO137" s="120"/>
      <c r="EP137" s="120"/>
      <c r="EQ137" s="120"/>
      <c r="ER137" s="120"/>
      <c r="ES137" s="120"/>
      <c r="ET137" s="120"/>
      <c r="EU137" s="120"/>
      <c r="EV137" s="120"/>
      <c r="EW137" s="120"/>
      <c r="EX137" s="120"/>
      <c r="EY137" s="120"/>
      <c r="EZ137" s="120"/>
      <c r="FA137" s="120"/>
      <c r="FB137" s="120"/>
      <c r="FC137" s="120"/>
      <c r="FD137" s="120"/>
      <c r="FE137" s="120"/>
      <c r="FF137" s="120"/>
      <c r="FG137" s="120"/>
      <c r="FH137" s="120"/>
      <c r="FI137" s="120"/>
      <c r="FJ137" s="120"/>
      <c r="FK137" s="120"/>
      <c r="FL137" s="120"/>
      <c r="FM137" s="120"/>
      <c r="FN137" s="120"/>
      <c r="FO137" s="120"/>
      <c r="FP137" s="120"/>
      <c r="FQ137" s="120"/>
      <c r="FR137" s="120"/>
      <c r="FS137" s="120"/>
      <c r="FT137" s="120"/>
      <c r="FU137" s="120"/>
      <c r="FV137" s="120"/>
      <c r="FW137" s="120"/>
      <c r="FX137" s="120"/>
      <c r="FY137" s="120"/>
      <c r="FZ137" s="120"/>
      <c r="GA137" s="120"/>
      <c r="GB137" s="120"/>
      <c r="GC137" s="120"/>
      <c r="GD137" s="120"/>
      <c r="GE137" s="120"/>
      <c r="GF137" s="120"/>
      <c r="GG137" s="120"/>
      <c r="GH137" s="120"/>
      <c r="GI137" s="120"/>
      <c r="GJ137" s="120"/>
      <c r="GK137" s="120"/>
      <c r="GL137" s="120"/>
      <c r="GM137" s="120"/>
      <c r="GN137" s="120"/>
      <c r="GO137" s="120"/>
      <c r="GP137" s="120"/>
      <c r="GQ137" s="120"/>
      <c r="GR137" s="120"/>
      <c r="GS137" s="120"/>
      <c r="GT137" s="120"/>
      <c r="GU137" s="120"/>
      <c r="GV137" s="120"/>
      <c r="GW137" s="120"/>
      <c r="GX137" s="120"/>
      <c r="GY137" s="120"/>
      <c r="GZ137" s="120"/>
      <c r="HA137" s="120"/>
      <c r="HB137" s="120"/>
      <c r="HC137" s="120"/>
    </row>
    <row r="138" spans="1:211" s="134" customFormat="1" x14ac:dyDescent="0.25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4"/>
      <c r="AD138" s="125"/>
      <c r="AE138" s="124"/>
      <c r="AF138" s="124"/>
      <c r="AG138" s="126"/>
      <c r="AH138" s="126"/>
      <c r="AI138" s="124"/>
      <c r="AJ138" s="127" t="s">
        <v>35</v>
      </c>
      <c r="AK138" s="120"/>
      <c r="AL138" s="129" t="s">
        <v>225</v>
      </c>
      <c r="AM138" s="120"/>
      <c r="AN138" s="120"/>
      <c r="AO138" s="120"/>
      <c r="AP138" s="120"/>
      <c r="AQ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2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20"/>
      <c r="CG138" s="120"/>
      <c r="CH138" s="120"/>
      <c r="CI138" s="120"/>
      <c r="CJ138" s="120"/>
      <c r="CK138" s="120"/>
      <c r="CL138" s="120"/>
      <c r="CM138" s="120"/>
      <c r="CN138" s="120"/>
      <c r="CO138" s="120"/>
      <c r="CP138" s="120"/>
      <c r="CQ138" s="120"/>
      <c r="CR138" s="120"/>
      <c r="CS138" s="120"/>
      <c r="CT138" s="120"/>
      <c r="CU138" s="120"/>
      <c r="CV138" s="120"/>
      <c r="CW138" s="120"/>
      <c r="CX138" s="120"/>
      <c r="CY138" s="120"/>
      <c r="CZ138" s="120"/>
      <c r="DA138" s="120"/>
      <c r="DB138" s="120"/>
      <c r="DC138" s="120"/>
      <c r="DD138" s="120"/>
      <c r="DE138" s="120"/>
      <c r="DF138" s="120"/>
      <c r="DG138" s="120"/>
      <c r="DH138" s="120"/>
      <c r="DI138" s="120"/>
      <c r="DJ138" s="120"/>
      <c r="DK138" s="120"/>
      <c r="DL138" s="120"/>
      <c r="DM138" s="120"/>
      <c r="DN138" s="120"/>
      <c r="DO138" s="120"/>
      <c r="DP138" s="120"/>
      <c r="DQ138" s="120"/>
      <c r="DR138" s="120"/>
      <c r="DS138" s="120"/>
      <c r="DT138" s="120"/>
      <c r="DU138" s="120"/>
      <c r="DV138" s="120"/>
      <c r="DW138" s="120"/>
      <c r="DX138" s="120"/>
      <c r="DY138" s="120"/>
      <c r="DZ138" s="120"/>
      <c r="EA138" s="120"/>
      <c r="EB138" s="120"/>
      <c r="EC138" s="120"/>
      <c r="ED138" s="120"/>
      <c r="EE138" s="120"/>
      <c r="EF138" s="120"/>
      <c r="EG138" s="120"/>
      <c r="EH138" s="120"/>
      <c r="EI138" s="120"/>
      <c r="EJ138" s="120"/>
      <c r="EK138" s="120"/>
      <c r="EL138" s="120"/>
      <c r="EM138" s="120"/>
      <c r="EN138" s="120"/>
      <c r="EO138" s="128"/>
      <c r="EP138" s="128"/>
      <c r="EQ138" s="128"/>
      <c r="ER138" s="128"/>
      <c r="ES138" s="128"/>
      <c r="ET138" s="128"/>
      <c r="EU138" s="128"/>
      <c r="EV138" s="128"/>
      <c r="EW138" s="128"/>
      <c r="EX138" s="128"/>
      <c r="EY138" s="128"/>
      <c r="EZ138" s="128"/>
      <c r="FA138" s="128"/>
      <c r="FB138" s="128"/>
      <c r="FC138" s="128"/>
      <c r="FD138" s="128"/>
      <c r="FE138" s="128"/>
      <c r="FF138" s="128"/>
      <c r="FG138" s="128"/>
      <c r="FH138" s="128"/>
      <c r="FI138" s="128"/>
      <c r="FJ138" s="128"/>
      <c r="FK138" s="128"/>
      <c r="FL138" s="128"/>
      <c r="FM138" s="128"/>
      <c r="FN138" s="128"/>
      <c r="FO138" s="128"/>
      <c r="FP138" s="128"/>
      <c r="FQ138" s="128"/>
      <c r="FR138" s="128"/>
      <c r="FS138" s="128"/>
      <c r="FT138" s="128"/>
      <c r="FU138" s="128"/>
      <c r="FV138" s="128"/>
      <c r="FW138" s="128"/>
      <c r="FX138" s="128"/>
      <c r="FY138" s="128"/>
      <c r="FZ138" s="128"/>
      <c r="GA138" s="128"/>
      <c r="GB138" s="128"/>
      <c r="GC138" s="128"/>
      <c r="GD138" s="128"/>
      <c r="GE138" s="128"/>
      <c r="GF138" s="128"/>
      <c r="GG138" s="128"/>
      <c r="GH138" s="128"/>
      <c r="GI138" s="128"/>
      <c r="GJ138" s="128"/>
      <c r="GK138" s="128"/>
      <c r="GL138" s="128"/>
      <c r="GM138" s="128"/>
      <c r="GN138" s="128"/>
      <c r="GO138" s="128"/>
      <c r="GP138" s="128"/>
      <c r="GQ138" s="128"/>
      <c r="GR138" s="128"/>
      <c r="GS138" s="128"/>
      <c r="GT138" s="128"/>
      <c r="GU138" s="128"/>
      <c r="GV138" s="128"/>
      <c r="GW138" s="128"/>
      <c r="GX138" s="128"/>
      <c r="GY138" s="128"/>
      <c r="GZ138" s="128"/>
      <c r="HA138" s="128"/>
      <c r="HB138" s="128"/>
      <c r="HC138" s="128"/>
    </row>
    <row r="139" spans="1:211" x14ac:dyDescent="0.25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5"/>
      <c r="AD139" s="136"/>
      <c r="AE139" s="135"/>
      <c r="AF139" s="135"/>
      <c r="AG139" s="137"/>
      <c r="AH139" s="137"/>
      <c r="AI139" s="135"/>
      <c r="AJ139" s="138" t="s">
        <v>37</v>
      </c>
      <c r="AK139" s="134"/>
      <c r="AL139" s="134"/>
      <c r="AM139" s="134"/>
      <c r="AN139" s="134"/>
      <c r="AO139" s="134"/>
      <c r="AP139" s="134"/>
      <c r="AQ139" s="134"/>
      <c r="AR139" s="134"/>
      <c r="AS139" s="134"/>
      <c r="AT139" s="134"/>
      <c r="AU139" s="134"/>
      <c r="AV139" s="134"/>
      <c r="AW139" s="134"/>
      <c r="AX139" s="134"/>
      <c r="AY139" s="134"/>
      <c r="AZ139" s="134"/>
      <c r="BA139" s="134"/>
      <c r="BB139" s="134"/>
      <c r="BC139" s="134"/>
      <c r="BD139" s="134"/>
      <c r="BE139" s="134"/>
      <c r="BF139" s="139"/>
      <c r="BG139" s="134"/>
      <c r="BH139" s="134"/>
      <c r="BI139" s="134"/>
      <c r="BJ139" s="134"/>
      <c r="BK139" s="134"/>
      <c r="BL139" s="134"/>
      <c r="BM139" s="134"/>
      <c r="BN139" s="134"/>
      <c r="BO139" s="134"/>
      <c r="BP139" s="134"/>
      <c r="BQ139" s="134"/>
      <c r="BR139" s="134"/>
      <c r="BS139" s="134"/>
      <c r="BT139" s="134"/>
      <c r="BU139" s="134"/>
      <c r="BV139" s="134"/>
      <c r="BW139" s="134"/>
      <c r="BX139" s="134"/>
      <c r="BY139" s="134"/>
      <c r="BZ139" s="134"/>
      <c r="CA139" s="134"/>
      <c r="CB139" s="134"/>
      <c r="CC139" s="134"/>
      <c r="CD139" s="134"/>
      <c r="CE139" s="134"/>
      <c r="CF139" s="134"/>
      <c r="CG139" s="134"/>
      <c r="CH139" s="134"/>
      <c r="CI139" s="134"/>
      <c r="CJ139" s="134"/>
      <c r="CK139" s="134"/>
      <c r="CL139" s="134"/>
      <c r="CM139" s="134"/>
      <c r="CN139" s="134"/>
      <c r="CO139" s="134"/>
      <c r="CP139" s="134"/>
      <c r="CQ139" s="134"/>
      <c r="CR139" s="134"/>
      <c r="CS139" s="134"/>
      <c r="CT139" s="134"/>
      <c r="CU139" s="134"/>
      <c r="CV139" s="134"/>
      <c r="CW139" s="134"/>
      <c r="CX139" s="134"/>
      <c r="CY139" s="134"/>
      <c r="CZ139" s="134"/>
      <c r="DA139" s="134"/>
      <c r="DB139" s="134"/>
      <c r="DC139" s="134"/>
      <c r="DD139" s="134"/>
      <c r="DE139" s="134"/>
      <c r="DF139" s="134"/>
      <c r="DG139" s="134"/>
      <c r="DH139" s="134"/>
      <c r="DI139" s="134"/>
      <c r="DJ139" s="134"/>
      <c r="DK139" s="134"/>
      <c r="DL139" s="134"/>
      <c r="DM139" s="134"/>
      <c r="DN139" s="134"/>
      <c r="DO139" s="134"/>
      <c r="DP139" s="134"/>
      <c r="DQ139" s="134"/>
      <c r="DR139" s="134"/>
      <c r="DS139" s="134"/>
      <c r="DT139" s="134"/>
      <c r="DU139" s="134"/>
      <c r="DV139" s="134"/>
      <c r="DW139" s="134"/>
      <c r="DX139" s="134"/>
      <c r="DY139" s="134"/>
      <c r="DZ139" s="134"/>
      <c r="EA139" s="134"/>
      <c r="EB139" s="134"/>
      <c r="EC139" s="134"/>
      <c r="ED139" s="134"/>
      <c r="EE139" s="134"/>
      <c r="EF139" s="134"/>
      <c r="EG139" s="134"/>
      <c r="EH139" s="134"/>
      <c r="EI139" s="134"/>
      <c r="EJ139" s="134"/>
      <c r="EK139" s="134"/>
      <c r="EL139" s="134"/>
      <c r="EM139" s="134"/>
      <c r="EN139" s="134"/>
      <c r="EO139" s="134"/>
      <c r="EP139" s="134"/>
      <c r="EQ139" s="134"/>
      <c r="ER139" s="134"/>
      <c r="ES139" s="134"/>
      <c r="ET139" s="134"/>
      <c r="EU139" s="134"/>
      <c r="EV139" s="134"/>
      <c r="EW139" s="134"/>
      <c r="EX139" s="134"/>
      <c r="EY139" s="134"/>
      <c r="EZ139" s="134"/>
      <c r="FA139" s="134"/>
      <c r="FB139" s="134"/>
      <c r="FC139" s="134"/>
      <c r="FD139" s="134"/>
      <c r="FE139" s="134"/>
      <c r="FF139" s="134"/>
      <c r="FG139" s="134"/>
      <c r="FH139" s="134"/>
      <c r="FI139" s="134"/>
      <c r="FJ139" s="134"/>
      <c r="FK139" s="134"/>
      <c r="FL139" s="134"/>
      <c r="FM139" s="134"/>
      <c r="FN139" s="134"/>
      <c r="FO139" s="134"/>
      <c r="FP139" s="134"/>
      <c r="FQ139" s="134"/>
      <c r="FR139" s="134"/>
      <c r="FS139" s="134"/>
      <c r="FT139" s="134"/>
      <c r="FU139" s="134"/>
      <c r="FV139" s="134"/>
      <c r="FW139" s="134"/>
      <c r="FX139" s="134"/>
      <c r="FY139" s="134"/>
      <c r="FZ139" s="134"/>
      <c r="GA139" s="134"/>
      <c r="GB139" s="134"/>
      <c r="GC139" s="134"/>
      <c r="GD139" s="134"/>
      <c r="GE139" s="134"/>
      <c r="GF139" s="134"/>
      <c r="GG139" s="134"/>
      <c r="GH139" s="134"/>
      <c r="GI139" s="134"/>
      <c r="GJ139" s="134"/>
      <c r="GK139" s="134"/>
      <c r="GL139" s="134"/>
      <c r="GM139" s="134"/>
      <c r="GN139" s="134"/>
      <c r="GO139" s="134"/>
      <c r="GP139" s="134"/>
      <c r="GQ139" s="134"/>
      <c r="GR139" s="134"/>
      <c r="GS139" s="134"/>
      <c r="GT139" s="134"/>
      <c r="GU139" s="134"/>
      <c r="GV139" s="134"/>
      <c r="GW139" s="134"/>
      <c r="GX139" s="134"/>
      <c r="GY139" s="134"/>
      <c r="GZ139" s="134"/>
      <c r="HA139" s="134"/>
      <c r="HB139" s="134"/>
      <c r="HC139" s="134"/>
    </row>
    <row r="140" spans="1:211" x14ac:dyDescent="0.25">
      <c r="B140" s="123">
        <v>46136</v>
      </c>
      <c r="C140" s="120" t="s">
        <v>222</v>
      </c>
      <c r="W140" s="120" t="s">
        <v>223</v>
      </c>
      <c r="Y140" s="120" t="s">
        <v>224</v>
      </c>
      <c r="Z140" s="120">
        <v>100</v>
      </c>
      <c r="AA140" s="120">
        <v>500</v>
      </c>
      <c r="AB140" s="120">
        <v>85</v>
      </c>
      <c r="AC140" s="118">
        <v>11</v>
      </c>
      <c r="AD140" s="121" t="s">
        <v>276</v>
      </c>
      <c r="AE140" s="120">
        <v>2</v>
      </c>
      <c r="AF140" s="120">
        <v>12.56</v>
      </c>
      <c r="AG140" s="120">
        <v>12.28</v>
      </c>
      <c r="AH140" s="120">
        <v>12.39</v>
      </c>
      <c r="AI140" s="120" t="s">
        <v>277</v>
      </c>
      <c r="AJ140" s="120">
        <v>1</v>
      </c>
      <c r="AK140" s="120">
        <v>1</v>
      </c>
    </row>
    <row r="141" spans="1:211" x14ac:dyDescent="0.25">
      <c r="AC141" s="124"/>
      <c r="AD141" s="125"/>
      <c r="AE141" s="124"/>
      <c r="AF141" s="124"/>
      <c r="AG141" s="126"/>
      <c r="AH141" s="126"/>
      <c r="AI141" s="124"/>
      <c r="AJ141" s="127" t="s">
        <v>31</v>
      </c>
    </row>
    <row r="142" spans="1:211" s="134" customFormat="1" x14ac:dyDescent="0.25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4"/>
      <c r="AD142" s="125"/>
      <c r="AE142" s="124"/>
      <c r="AF142" s="124"/>
      <c r="AG142" s="126"/>
      <c r="AH142" s="126"/>
      <c r="AI142" s="124"/>
      <c r="AJ142" s="127" t="s">
        <v>33</v>
      </c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2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0"/>
      <c r="CE142" s="120"/>
      <c r="CF142" s="120"/>
      <c r="CG142" s="120"/>
      <c r="CH142" s="120"/>
      <c r="CI142" s="120"/>
      <c r="CJ142" s="120"/>
      <c r="CK142" s="120"/>
      <c r="CL142" s="120"/>
      <c r="CM142" s="120"/>
      <c r="CN142" s="120"/>
      <c r="CO142" s="120"/>
      <c r="CP142" s="120"/>
      <c r="CQ142" s="120"/>
      <c r="CR142" s="120"/>
      <c r="CS142" s="120"/>
      <c r="CT142" s="120"/>
      <c r="CU142" s="120"/>
      <c r="CV142" s="120"/>
      <c r="CW142" s="120"/>
      <c r="CX142" s="120"/>
      <c r="CY142" s="120"/>
      <c r="CZ142" s="120"/>
      <c r="DA142" s="120"/>
      <c r="DB142" s="120"/>
      <c r="DC142" s="120"/>
      <c r="DD142" s="120"/>
      <c r="DE142" s="120"/>
      <c r="DF142" s="120"/>
      <c r="DG142" s="120"/>
      <c r="DH142" s="120"/>
      <c r="DI142" s="120"/>
      <c r="DJ142" s="120"/>
      <c r="DK142" s="120"/>
      <c r="DL142" s="120"/>
      <c r="DM142" s="120"/>
      <c r="DN142" s="120"/>
      <c r="DO142" s="120"/>
      <c r="DP142" s="120"/>
      <c r="DQ142" s="120"/>
      <c r="DR142" s="120"/>
      <c r="DS142" s="120"/>
      <c r="DT142" s="120"/>
      <c r="DU142" s="120"/>
      <c r="DV142" s="120"/>
      <c r="DW142" s="120"/>
      <c r="DX142" s="120"/>
      <c r="DY142" s="120"/>
      <c r="DZ142" s="120"/>
      <c r="EA142" s="120"/>
      <c r="EB142" s="120"/>
      <c r="EC142" s="120"/>
      <c r="ED142" s="120"/>
      <c r="EE142" s="120"/>
      <c r="EF142" s="120"/>
      <c r="EG142" s="120"/>
      <c r="EH142" s="120"/>
      <c r="EI142" s="120"/>
      <c r="EJ142" s="120"/>
      <c r="EK142" s="120"/>
      <c r="EL142" s="120"/>
      <c r="EM142" s="120"/>
      <c r="EN142" s="120"/>
      <c r="EO142" s="120"/>
      <c r="EP142" s="120"/>
      <c r="EQ142" s="120"/>
      <c r="ER142" s="120"/>
      <c r="ES142" s="120"/>
      <c r="ET142" s="120"/>
      <c r="EU142" s="120"/>
      <c r="EV142" s="120"/>
      <c r="EW142" s="120"/>
      <c r="EX142" s="120"/>
      <c r="EY142" s="120"/>
      <c r="EZ142" s="120"/>
      <c r="FA142" s="120"/>
      <c r="FB142" s="120"/>
      <c r="FC142" s="120"/>
      <c r="FD142" s="120"/>
      <c r="FE142" s="120"/>
      <c r="FF142" s="120"/>
      <c r="FG142" s="120"/>
      <c r="FH142" s="120"/>
      <c r="FI142" s="120"/>
      <c r="FJ142" s="120"/>
      <c r="FK142" s="120"/>
      <c r="FL142" s="120"/>
      <c r="FM142" s="120"/>
      <c r="FN142" s="120"/>
      <c r="FO142" s="120"/>
      <c r="FP142" s="120"/>
      <c r="FQ142" s="120"/>
      <c r="FR142" s="120"/>
      <c r="FS142" s="120"/>
      <c r="FT142" s="120"/>
      <c r="FU142" s="120"/>
      <c r="FV142" s="120"/>
      <c r="FW142" s="120"/>
      <c r="FX142" s="120"/>
      <c r="FY142" s="120"/>
      <c r="FZ142" s="120"/>
      <c r="GA142" s="120"/>
      <c r="GB142" s="120"/>
      <c r="GC142" s="120"/>
      <c r="GD142" s="120"/>
      <c r="GE142" s="120"/>
      <c r="GF142" s="120"/>
      <c r="GG142" s="120"/>
      <c r="GH142" s="120"/>
      <c r="GI142" s="120"/>
      <c r="GJ142" s="120"/>
      <c r="GK142" s="120"/>
      <c r="GL142" s="120"/>
      <c r="GM142" s="120"/>
      <c r="GN142" s="120"/>
      <c r="GO142" s="120"/>
      <c r="GP142" s="120"/>
      <c r="GQ142" s="120"/>
      <c r="GR142" s="120"/>
      <c r="GS142" s="120"/>
      <c r="GT142" s="120"/>
      <c r="GU142" s="120"/>
      <c r="GV142" s="120"/>
      <c r="GW142" s="120"/>
      <c r="GX142" s="120"/>
      <c r="GY142" s="120"/>
      <c r="GZ142" s="120"/>
      <c r="HA142" s="120"/>
      <c r="HB142" s="120"/>
      <c r="HC142" s="120"/>
    </row>
    <row r="143" spans="1:211" x14ac:dyDescent="0.25">
      <c r="AC143" s="124"/>
      <c r="AD143" s="125"/>
      <c r="AE143" s="124"/>
      <c r="AF143" s="124"/>
      <c r="AG143" s="126"/>
      <c r="AH143" s="126"/>
      <c r="AI143" s="124"/>
      <c r="AJ143" s="127" t="s">
        <v>35</v>
      </c>
      <c r="EO143" s="134"/>
      <c r="EP143" s="134"/>
      <c r="EQ143" s="134"/>
      <c r="ER143" s="134"/>
      <c r="ES143" s="134"/>
      <c r="ET143" s="134"/>
      <c r="EU143" s="134"/>
      <c r="EV143" s="134"/>
      <c r="EW143" s="134"/>
      <c r="EX143" s="134"/>
      <c r="EY143" s="134"/>
      <c r="EZ143" s="134"/>
      <c r="FA143" s="134"/>
      <c r="FB143" s="134"/>
      <c r="FC143" s="134"/>
      <c r="FD143" s="134"/>
      <c r="FE143" s="134"/>
      <c r="FF143" s="134"/>
      <c r="FG143" s="134"/>
      <c r="FH143" s="134"/>
      <c r="FI143" s="134"/>
      <c r="FJ143" s="134"/>
      <c r="FK143" s="134"/>
      <c r="FL143" s="134"/>
      <c r="FM143" s="134"/>
      <c r="FN143" s="134"/>
      <c r="FO143" s="134"/>
      <c r="FP143" s="134"/>
      <c r="FQ143" s="134"/>
      <c r="FR143" s="134"/>
      <c r="FS143" s="134"/>
      <c r="FT143" s="134"/>
      <c r="FU143" s="134"/>
      <c r="FV143" s="134"/>
      <c r="FW143" s="134"/>
      <c r="FX143" s="134"/>
      <c r="FY143" s="134"/>
      <c r="FZ143" s="134"/>
      <c r="GA143" s="134"/>
      <c r="GB143" s="134"/>
      <c r="GC143" s="134"/>
      <c r="GD143" s="134"/>
      <c r="GE143" s="134"/>
      <c r="GF143" s="134"/>
      <c r="GG143" s="134"/>
      <c r="GH143" s="134"/>
      <c r="GI143" s="134"/>
      <c r="GJ143" s="134"/>
      <c r="GK143" s="134"/>
      <c r="GL143" s="134"/>
      <c r="GM143" s="134"/>
      <c r="GN143" s="134"/>
      <c r="GO143" s="134"/>
      <c r="GP143" s="134"/>
      <c r="GQ143" s="134"/>
      <c r="GR143" s="134"/>
      <c r="GS143" s="134"/>
      <c r="GT143" s="134"/>
      <c r="GU143" s="134"/>
      <c r="GV143" s="134"/>
      <c r="GW143" s="134"/>
      <c r="GX143" s="134"/>
      <c r="GY143" s="134"/>
      <c r="GZ143" s="134"/>
      <c r="HA143" s="134"/>
      <c r="HB143" s="134"/>
      <c r="HC143" s="134"/>
    </row>
    <row r="144" spans="1:211" x14ac:dyDescent="0.25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30"/>
      <c r="AD144" s="131"/>
      <c r="AE144" s="130"/>
      <c r="AF144" s="130"/>
      <c r="AG144" s="132"/>
      <c r="AH144" s="132"/>
      <c r="AI144" s="130"/>
      <c r="AJ144" s="133" t="s">
        <v>37</v>
      </c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</row>
    <row r="145" spans="1:211" x14ac:dyDescent="0.25">
      <c r="AC145" s="118"/>
      <c r="AI145" s="120" t="s">
        <v>278</v>
      </c>
      <c r="AJ145" s="120">
        <v>2</v>
      </c>
      <c r="AK145" s="120">
        <v>1</v>
      </c>
      <c r="AL145" s="120">
        <v>0</v>
      </c>
      <c r="AR145" s="120">
        <v>1</v>
      </c>
      <c r="AV145" s="120">
        <v>1</v>
      </c>
      <c r="AZ145" s="120">
        <v>1</v>
      </c>
      <c r="BA145" s="120">
        <v>0</v>
      </c>
    </row>
    <row r="146" spans="1:211" x14ac:dyDescent="0.25">
      <c r="AC146" s="124"/>
      <c r="AD146" s="125"/>
      <c r="AE146" s="124"/>
      <c r="AF146" s="124"/>
      <c r="AG146" s="126"/>
      <c r="AH146" s="126"/>
      <c r="AI146" s="124"/>
      <c r="AJ146" s="127" t="s">
        <v>31</v>
      </c>
      <c r="AL146" s="120">
        <v>15.08</v>
      </c>
      <c r="AR146" s="120">
        <v>15.07</v>
      </c>
      <c r="AV146" s="120">
        <v>16.28</v>
      </c>
      <c r="AZ146" s="120">
        <v>19.149999999999999</v>
      </c>
      <c r="BA146" s="120">
        <v>20.3</v>
      </c>
    </row>
    <row r="147" spans="1:211" s="128" customFormat="1" x14ac:dyDescent="0.25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4"/>
      <c r="AD147" s="125"/>
      <c r="AE147" s="124"/>
      <c r="AF147" s="124"/>
      <c r="AG147" s="126"/>
      <c r="AH147" s="126"/>
      <c r="AI147" s="124"/>
      <c r="AJ147" s="127" t="s">
        <v>33</v>
      </c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9" t="s">
        <v>225</v>
      </c>
      <c r="BB147" s="120"/>
      <c r="BC147" s="120"/>
      <c r="BD147" s="120"/>
      <c r="BE147" s="120"/>
      <c r="BF147" s="122"/>
      <c r="BG147" s="120"/>
      <c r="BH147" s="120"/>
      <c r="BI147" s="120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0"/>
      <c r="CE147" s="120"/>
      <c r="CF147" s="120"/>
      <c r="CG147" s="120"/>
      <c r="CH147" s="120"/>
      <c r="CI147" s="120"/>
      <c r="CJ147" s="120"/>
      <c r="CK147" s="120"/>
      <c r="CL147" s="120"/>
      <c r="CM147" s="120"/>
      <c r="CN147" s="120"/>
      <c r="CO147" s="120"/>
      <c r="CP147" s="120"/>
      <c r="CQ147" s="120"/>
      <c r="CR147" s="120"/>
      <c r="CS147" s="120"/>
      <c r="CT147" s="120"/>
      <c r="CU147" s="120"/>
      <c r="CV147" s="120"/>
      <c r="CW147" s="120"/>
      <c r="CX147" s="120"/>
      <c r="CY147" s="120"/>
      <c r="CZ147" s="120"/>
      <c r="DA147" s="120"/>
      <c r="DB147" s="120"/>
      <c r="DC147" s="120"/>
      <c r="DD147" s="120"/>
      <c r="DE147" s="120"/>
      <c r="DF147" s="120"/>
      <c r="DG147" s="120"/>
      <c r="DH147" s="120"/>
      <c r="DI147" s="120"/>
      <c r="DJ147" s="120"/>
      <c r="DK147" s="120"/>
      <c r="DL147" s="120"/>
      <c r="DM147" s="120"/>
      <c r="DN147" s="120"/>
      <c r="DO147" s="120"/>
      <c r="DP147" s="120"/>
      <c r="DQ147" s="120"/>
      <c r="DR147" s="120"/>
      <c r="DS147" s="120"/>
      <c r="DT147" s="120"/>
      <c r="DU147" s="120"/>
      <c r="DV147" s="120"/>
      <c r="DW147" s="120"/>
      <c r="DX147" s="120"/>
      <c r="DY147" s="120"/>
      <c r="DZ147" s="120"/>
      <c r="EA147" s="120"/>
      <c r="EB147" s="120"/>
      <c r="EC147" s="120"/>
      <c r="ED147" s="120"/>
      <c r="EE147" s="120"/>
      <c r="EF147" s="120"/>
      <c r="EG147" s="120"/>
      <c r="EH147" s="120"/>
      <c r="EI147" s="120"/>
      <c r="EJ147" s="120"/>
      <c r="EK147" s="120"/>
      <c r="EL147" s="120"/>
      <c r="EM147" s="120"/>
      <c r="EN147" s="120"/>
      <c r="EO147" s="120"/>
      <c r="EP147" s="120"/>
      <c r="EQ147" s="120"/>
      <c r="ER147" s="120"/>
      <c r="ES147" s="120"/>
      <c r="ET147" s="120"/>
      <c r="EU147" s="120"/>
      <c r="EV147" s="120"/>
      <c r="EW147" s="120"/>
      <c r="EX147" s="120"/>
      <c r="EY147" s="120"/>
      <c r="EZ147" s="120"/>
      <c r="FA147" s="120"/>
      <c r="FB147" s="120"/>
      <c r="FC147" s="120"/>
      <c r="FD147" s="120"/>
      <c r="FE147" s="120"/>
      <c r="FF147" s="120"/>
      <c r="FG147" s="120"/>
      <c r="FH147" s="120"/>
      <c r="FI147" s="120"/>
      <c r="FJ147" s="120"/>
      <c r="FK147" s="120"/>
      <c r="FL147" s="120"/>
      <c r="FM147" s="120"/>
      <c r="FN147" s="120"/>
      <c r="FO147" s="120"/>
      <c r="FP147" s="120"/>
      <c r="FQ147" s="120"/>
      <c r="FR147" s="120"/>
      <c r="FS147" s="120"/>
      <c r="FT147" s="120"/>
      <c r="FU147" s="120"/>
      <c r="FV147" s="120"/>
      <c r="FW147" s="120"/>
      <c r="FX147" s="120"/>
      <c r="FY147" s="120"/>
      <c r="FZ147" s="120"/>
      <c r="GA147" s="120"/>
      <c r="GB147" s="120"/>
      <c r="GC147" s="120"/>
      <c r="GD147" s="120"/>
      <c r="GE147" s="120"/>
      <c r="GF147" s="120"/>
      <c r="GG147" s="120"/>
      <c r="GH147" s="120"/>
      <c r="GI147" s="120"/>
      <c r="GJ147" s="120"/>
      <c r="GK147" s="120"/>
      <c r="GL147" s="120"/>
      <c r="GM147" s="120"/>
      <c r="GN147" s="120"/>
      <c r="GO147" s="120"/>
      <c r="GP147" s="120"/>
      <c r="GQ147" s="120"/>
      <c r="GR147" s="120"/>
      <c r="GS147" s="120"/>
      <c r="GT147" s="120"/>
      <c r="GU147" s="120"/>
      <c r="GV147" s="120"/>
      <c r="GW147" s="120"/>
      <c r="GX147" s="120"/>
      <c r="GY147" s="120"/>
      <c r="GZ147" s="120"/>
      <c r="HA147" s="120"/>
      <c r="HB147" s="120"/>
      <c r="HC147" s="120"/>
    </row>
    <row r="148" spans="1:211" s="134" customFormat="1" x14ac:dyDescent="0.25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4"/>
      <c r="AD148" s="125"/>
      <c r="AE148" s="124"/>
      <c r="AF148" s="124"/>
      <c r="AG148" s="126"/>
      <c r="AH148" s="126"/>
      <c r="AI148" s="124"/>
      <c r="AJ148" s="127" t="s">
        <v>35</v>
      </c>
      <c r="AK148" s="120"/>
      <c r="AL148" s="129" t="s">
        <v>225</v>
      </c>
      <c r="AM148" s="120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20"/>
      <c r="BC148" s="120"/>
      <c r="BD148" s="120"/>
      <c r="BE148" s="120"/>
      <c r="BF148" s="122"/>
      <c r="BG148" s="120"/>
      <c r="BH148" s="120"/>
      <c r="BI148" s="120"/>
      <c r="BJ148" s="120"/>
      <c r="BK148" s="120"/>
      <c r="BL148" s="120"/>
      <c r="BM148" s="120"/>
      <c r="BN148" s="120"/>
      <c r="BO148" s="120"/>
      <c r="BP148" s="120"/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0"/>
      <c r="CD148" s="120"/>
      <c r="CE148" s="120"/>
      <c r="CF148" s="120"/>
      <c r="CG148" s="120"/>
      <c r="CH148" s="120"/>
      <c r="CI148" s="120"/>
      <c r="CJ148" s="120"/>
      <c r="CK148" s="120"/>
      <c r="CL148" s="120"/>
      <c r="CM148" s="120"/>
      <c r="CN148" s="120"/>
      <c r="CO148" s="120"/>
      <c r="CP148" s="120"/>
      <c r="CQ148" s="120"/>
      <c r="CR148" s="120"/>
      <c r="CS148" s="120"/>
      <c r="CT148" s="120"/>
      <c r="CU148" s="120"/>
      <c r="CV148" s="120"/>
      <c r="CW148" s="120"/>
      <c r="CX148" s="120"/>
      <c r="CY148" s="120"/>
      <c r="CZ148" s="120"/>
      <c r="DA148" s="120"/>
      <c r="DB148" s="120"/>
      <c r="DC148" s="120"/>
      <c r="DD148" s="120"/>
      <c r="DE148" s="120"/>
      <c r="DF148" s="120"/>
      <c r="DG148" s="120"/>
      <c r="DH148" s="120"/>
      <c r="DI148" s="120"/>
      <c r="DJ148" s="120"/>
      <c r="DK148" s="120"/>
      <c r="DL148" s="120"/>
      <c r="DM148" s="120"/>
      <c r="DN148" s="120"/>
      <c r="DO148" s="120"/>
      <c r="DP148" s="120"/>
      <c r="DQ148" s="120"/>
      <c r="DR148" s="120"/>
      <c r="DS148" s="120"/>
      <c r="DT148" s="120"/>
      <c r="DU148" s="120"/>
      <c r="DV148" s="120"/>
      <c r="DW148" s="120"/>
      <c r="DX148" s="120"/>
      <c r="DY148" s="120"/>
      <c r="DZ148" s="120"/>
      <c r="EA148" s="120"/>
      <c r="EB148" s="120"/>
      <c r="EC148" s="120"/>
      <c r="ED148" s="120"/>
      <c r="EE148" s="120"/>
      <c r="EF148" s="120"/>
      <c r="EG148" s="120"/>
      <c r="EH148" s="120"/>
      <c r="EI148" s="120"/>
      <c r="EJ148" s="120"/>
      <c r="EK148" s="120"/>
      <c r="EL148" s="120"/>
      <c r="EM148" s="120"/>
      <c r="EN148" s="120"/>
      <c r="EO148" s="128"/>
      <c r="EP148" s="128"/>
      <c r="EQ148" s="128"/>
      <c r="ER148" s="128"/>
      <c r="ES148" s="128"/>
      <c r="ET148" s="128"/>
      <c r="EU148" s="128"/>
      <c r="EV148" s="128"/>
      <c r="EW148" s="128"/>
      <c r="EX148" s="128"/>
      <c r="EY148" s="128"/>
      <c r="EZ148" s="128"/>
      <c r="FA148" s="128"/>
      <c r="FB148" s="128"/>
      <c r="FC148" s="128"/>
      <c r="FD148" s="128"/>
      <c r="FE148" s="128"/>
      <c r="FF148" s="128"/>
      <c r="FG148" s="128"/>
      <c r="FH148" s="128"/>
      <c r="FI148" s="128"/>
      <c r="FJ148" s="128"/>
      <c r="FK148" s="128"/>
      <c r="FL148" s="128"/>
      <c r="FM148" s="128"/>
      <c r="FN148" s="128"/>
      <c r="FO148" s="128"/>
      <c r="FP148" s="128"/>
      <c r="FQ148" s="128"/>
      <c r="FR148" s="128"/>
      <c r="FS148" s="128"/>
      <c r="FT148" s="128"/>
      <c r="FU148" s="128"/>
      <c r="FV148" s="128"/>
      <c r="FW148" s="128"/>
      <c r="FX148" s="128"/>
      <c r="FY148" s="128"/>
      <c r="FZ148" s="128"/>
      <c r="GA148" s="128"/>
      <c r="GB148" s="128"/>
      <c r="GC148" s="128"/>
      <c r="GD148" s="128"/>
      <c r="GE148" s="128"/>
      <c r="GF148" s="128"/>
      <c r="GG148" s="128"/>
      <c r="GH148" s="128"/>
      <c r="GI148" s="128"/>
      <c r="GJ148" s="128"/>
      <c r="GK148" s="128"/>
      <c r="GL148" s="128"/>
      <c r="GM148" s="128"/>
      <c r="GN148" s="128"/>
      <c r="GO148" s="128"/>
      <c r="GP148" s="128"/>
      <c r="GQ148" s="128"/>
      <c r="GR148" s="128"/>
      <c r="GS148" s="128"/>
      <c r="GT148" s="128"/>
      <c r="GU148" s="128"/>
      <c r="GV148" s="128"/>
      <c r="GW148" s="128"/>
      <c r="GX148" s="128"/>
      <c r="GY148" s="128"/>
      <c r="GZ148" s="128"/>
      <c r="HA148" s="128"/>
      <c r="HB148" s="128"/>
      <c r="HC148" s="128"/>
    </row>
    <row r="149" spans="1:211" x14ac:dyDescent="0.25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5"/>
      <c r="AD149" s="136"/>
      <c r="AE149" s="135"/>
      <c r="AF149" s="135"/>
      <c r="AG149" s="137"/>
      <c r="AH149" s="137"/>
      <c r="AI149" s="135"/>
      <c r="AJ149" s="138" t="s">
        <v>37</v>
      </c>
      <c r="AK149" s="134"/>
      <c r="AL149" s="134"/>
      <c r="AM149" s="134"/>
      <c r="AN149" s="134"/>
      <c r="AO149" s="134"/>
      <c r="AP149" s="134"/>
      <c r="AQ149" s="134"/>
      <c r="AR149" s="134" t="s">
        <v>229</v>
      </c>
      <c r="AS149" s="134"/>
      <c r="AT149" s="134"/>
      <c r="AU149" s="134"/>
      <c r="AV149" s="134" t="s">
        <v>229</v>
      </c>
      <c r="AW149" s="134"/>
      <c r="AX149" s="134"/>
      <c r="AY149" s="134"/>
      <c r="AZ149" s="134" t="s">
        <v>229</v>
      </c>
      <c r="BA149" s="134"/>
      <c r="BB149" s="134"/>
      <c r="BC149" s="134"/>
      <c r="BD149" s="134"/>
      <c r="BE149" s="134"/>
      <c r="BF149" s="139"/>
      <c r="BG149" s="134"/>
      <c r="BH149" s="134"/>
      <c r="BI149" s="134"/>
      <c r="BJ149" s="134"/>
      <c r="BK149" s="134"/>
      <c r="BL149" s="134"/>
      <c r="BM149" s="134"/>
      <c r="BN149" s="134"/>
      <c r="BO149" s="134"/>
      <c r="BP149" s="134"/>
      <c r="BQ149" s="134"/>
      <c r="BR149" s="134"/>
      <c r="BS149" s="134"/>
      <c r="BT149" s="134"/>
      <c r="BU149" s="134"/>
      <c r="BV149" s="134"/>
      <c r="BW149" s="134"/>
      <c r="BX149" s="134"/>
      <c r="BY149" s="134"/>
      <c r="BZ149" s="134"/>
      <c r="CA149" s="134"/>
      <c r="CB149" s="134"/>
      <c r="CC149" s="134"/>
      <c r="CD149" s="134"/>
      <c r="CE149" s="134"/>
      <c r="CF149" s="134"/>
      <c r="CG149" s="134"/>
      <c r="CH149" s="134"/>
      <c r="CI149" s="134"/>
      <c r="CJ149" s="134"/>
      <c r="CK149" s="134"/>
      <c r="CL149" s="134"/>
      <c r="CM149" s="134"/>
      <c r="CN149" s="134"/>
      <c r="CO149" s="134"/>
      <c r="CP149" s="134"/>
      <c r="CQ149" s="134"/>
      <c r="CR149" s="134"/>
      <c r="CS149" s="134"/>
      <c r="CT149" s="134"/>
      <c r="CU149" s="134"/>
      <c r="CV149" s="134"/>
      <c r="CW149" s="134"/>
      <c r="CX149" s="134"/>
      <c r="CY149" s="134"/>
      <c r="CZ149" s="134"/>
      <c r="DA149" s="134"/>
      <c r="DB149" s="134"/>
      <c r="DC149" s="134"/>
      <c r="DD149" s="134"/>
      <c r="DE149" s="134"/>
      <c r="DF149" s="134"/>
      <c r="DG149" s="134"/>
      <c r="DH149" s="134"/>
      <c r="DI149" s="134"/>
      <c r="DJ149" s="134"/>
      <c r="DK149" s="134"/>
      <c r="DL149" s="134"/>
      <c r="DM149" s="134"/>
      <c r="DN149" s="134"/>
      <c r="DO149" s="134"/>
      <c r="DP149" s="134"/>
      <c r="DQ149" s="134"/>
      <c r="DR149" s="134"/>
      <c r="DS149" s="134"/>
      <c r="DT149" s="134"/>
      <c r="DU149" s="134"/>
      <c r="DV149" s="134"/>
      <c r="DW149" s="134"/>
      <c r="DX149" s="134"/>
      <c r="DY149" s="134"/>
      <c r="DZ149" s="134"/>
      <c r="EA149" s="134"/>
      <c r="EB149" s="134"/>
      <c r="EC149" s="134"/>
      <c r="ED149" s="134"/>
      <c r="EE149" s="134"/>
      <c r="EF149" s="134"/>
      <c r="EG149" s="134"/>
      <c r="EH149" s="134"/>
      <c r="EI149" s="134"/>
      <c r="EJ149" s="134"/>
      <c r="EK149" s="134"/>
      <c r="EL149" s="134"/>
      <c r="EM149" s="134"/>
      <c r="EN149" s="134"/>
      <c r="EO149" s="134"/>
      <c r="EP149" s="134"/>
      <c r="EQ149" s="134"/>
      <c r="ER149" s="134"/>
      <c r="ES149" s="134"/>
      <c r="ET149" s="134"/>
      <c r="EU149" s="134"/>
      <c r="EV149" s="134"/>
      <c r="EW149" s="134"/>
      <c r="EX149" s="134"/>
      <c r="EY149" s="134"/>
      <c r="EZ149" s="134"/>
      <c r="FA149" s="134"/>
      <c r="FB149" s="134"/>
      <c r="FC149" s="134"/>
      <c r="FD149" s="134"/>
      <c r="FE149" s="134"/>
      <c r="FF149" s="134"/>
      <c r="FG149" s="134"/>
      <c r="FH149" s="134"/>
      <c r="FI149" s="134"/>
      <c r="FJ149" s="134"/>
      <c r="FK149" s="134"/>
      <c r="FL149" s="134"/>
      <c r="FM149" s="134"/>
      <c r="FN149" s="134"/>
      <c r="FO149" s="134"/>
      <c r="FP149" s="134"/>
      <c r="FQ149" s="134"/>
      <c r="FR149" s="134"/>
      <c r="FS149" s="134"/>
      <c r="FT149" s="134"/>
      <c r="FU149" s="134"/>
      <c r="FV149" s="134"/>
      <c r="FW149" s="134"/>
      <c r="FX149" s="134"/>
      <c r="FY149" s="134"/>
      <c r="FZ149" s="134"/>
      <c r="GA149" s="134"/>
      <c r="GB149" s="134"/>
      <c r="GC149" s="134"/>
      <c r="GD149" s="134"/>
      <c r="GE149" s="134"/>
      <c r="GF149" s="134"/>
      <c r="GG149" s="134"/>
      <c r="GH149" s="134"/>
      <c r="GI149" s="134"/>
      <c r="GJ149" s="134"/>
      <c r="GK149" s="134"/>
      <c r="GL149" s="134"/>
      <c r="GM149" s="134"/>
      <c r="GN149" s="134"/>
      <c r="GO149" s="134"/>
      <c r="GP149" s="134"/>
      <c r="GQ149" s="134"/>
      <c r="GR149" s="134"/>
      <c r="GS149" s="134"/>
      <c r="GT149" s="134"/>
      <c r="GU149" s="134"/>
      <c r="GV149" s="134"/>
      <c r="GW149" s="134"/>
      <c r="GX149" s="134"/>
      <c r="GY149" s="134"/>
      <c r="GZ149" s="134"/>
      <c r="HA149" s="134"/>
      <c r="HB149" s="134"/>
      <c r="HC149" s="134"/>
    </row>
    <row r="150" spans="1:211" x14ac:dyDescent="0.25">
      <c r="A150" s="122"/>
      <c r="AD150" s="121" t="s">
        <v>300</v>
      </c>
      <c r="AE150" s="120">
        <f>SUM(AE5:AE149)</f>
        <v>29</v>
      </c>
      <c r="BF150" s="120"/>
    </row>
    <row r="151" spans="1:211" x14ac:dyDescent="0.25">
      <c r="A151" s="122"/>
      <c r="AD151" s="120"/>
      <c r="BF151" s="120"/>
    </row>
    <row r="152" spans="1:211" s="128" customFormat="1" x14ac:dyDescent="0.25">
      <c r="A152" s="122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120"/>
      <c r="BC152" s="120"/>
      <c r="BD152" s="120"/>
      <c r="BE152" s="120"/>
      <c r="BF152" s="120"/>
      <c r="BG152" s="120"/>
      <c r="BH152" s="120"/>
      <c r="BI152" s="120"/>
      <c r="BJ152" s="120"/>
      <c r="BK152" s="120"/>
      <c r="BL152" s="120"/>
      <c r="BM152" s="120"/>
      <c r="BN152" s="120"/>
      <c r="BO152" s="120"/>
      <c r="BP152" s="120"/>
      <c r="BQ152" s="120"/>
      <c r="BR152" s="120"/>
      <c r="BS152" s="120"/>
      <c r="BT152" s="120"/>
      <c r="BU152" s="120"/>
      <c r="BV152" s="120"/>
      <c r="BW152" s="120"/>
      <c r="BX152" s="120"/>
      <c r="BY152" s="120"/>
      <c r="BZ152" s="120"/>
      <c r="CA152" s="120"/>
      <c r="CB152" s="120"/>
      <c r="CC152" s="120"/>
      <c r="CD152" s="120"/>
      <c r="CE152" s="120"/>
      <c r="CF152" s="120"/>
      <c r="CG152" s="120"/>
      <c r="CH152" s="120"/>
      <c r="CI152" s="120"/>
      <c r="CJ152" s="120"/>
      <c r="CK152" s="120"/>
      <c r="CL152" s="120"/>
      <c r="CM152" s="120"/>
      <c r="CN152" s="120"/>
      <c r="CO152" s="120"/>
      <c r="CP152" s="120"/>
      <c r="CQ152" s="120"/>
      <c r="CR152" s="120"/>
      <c r="CS152" s="120"/>
      <c r="CT152" s="120"/>
      <c r="CU152" s="120"/>
      <c r="CV152" s="120"/>
      <c r="CW152" s="120"/>
      <c r="CX152" s="120"/>
      <c r="CY152" s="120"/>
      <c r="CZ152" s="120"/>
      <c r="DA152" s="120"/>
      <c r="DB152" s="120"/>
      <c r="DC152" s="120"/>
      <c r="DD152" s="120"/>
      <c r="DE152" s="120"/>
      <c r="DF152" s="120"/>
      <c r="DG152" s="120"/>
      <c r="DH152" s="120"/>
      <c r="DI152" s="120"/>
      <c r="DJ152" s="120"/>
      <c r="DK152" s="120"/>
      <c r="DL152" s="120"/>
      <c r="DM152" s="120"/>
      <c r="DN152" s="120"/>
      <c r="DO152" s="120"/>
      <c r="DP152" s="120"/>
      <c r="DQ152" s="120"/>
      <c r="DR152" s="120"/>
      <c r="DS152" s="120"/>
      <c r="DT152" s="120"/>
      <c r="DU152" s="120"/>
      <c r="DV152" s="120"/>
      <c r="DW152" s="120"/>
      <c r="DX152" s="120"/>
      <c r="DY152" s="120"/>
      <c r="DZ152" s="120"/>
      <c r="EA152" s="120"/>
      <c r="EB152" s="120"/>
      <c r="EC152" s="120"/>
      <c r="ED152" s="120"/>
      <c r="EE152" s="120"/>
      <c r="EF152" s="120"/>
      <c r="EG152" s="120"/>
      <c r="EH152" s="120"/>
      <c r="EI152" s="120"/>
      <c r="EJ152" s="120"/>
      <c r="EK152" s="120"/>
      <c r="EL152" s="120"/>
      <c r="EM152" s="120"/>
      <c r="EN152" s="120"/>
      <c r="EO152" s="120"/>
      <c r="EP152" s="120"/>
      <c r="EQ152" s="120"/>
      <c r="ER152" s="120"/>
      <c r="ES152" s="120"/>
      <c r="ET152" s="120"/>
      <c r="EU152" s="120"/>
      <c r="EV152" s="120"/>
      <c r="EW152" s="120"/>
      <c r="EX152" s="120"/>
      <c r="EY152" s="120"/>
      <c r="EZ152" s="120"/>
      <c r="FA152" s="120"/>
      <c r="FB152" s="120"/>
      <c r="FC152" s="120"/>
      <c r="FD152" s="120"/>
      <c r="FE152" s="120"/>
      <c r="FF152" s="120"/>
      <c r="FG152" s="120"/>
      <c r="FH152" s="120"/>
      <c r="FI152" s="120"/>
      <c r="FJ152" s="120"/>
      <c r="FK152" s="120"/>
      <c r="FL152" s="120"/>
      <c r="FM152" s="120"/>
      <c r="FN152" s="120"/>
      <c r="FO152" s="120"/>
      <c r="FP152" s="120"/>
      <c r="FQ152" s="120"/>
      <c r="FR152" s="120"/>
      <c r="FS152" s="120"/>
      <c r="FT152" s="120"/>
      <c r="FU152" s="120"/>
      <c r="FV152" s="120"/>
      <c r="FW152" s="120"/>
      <c r="FX152" s="120"/>
      <c r="FY152" s="120"/>
      <c r="FZ152" s="120"/>
      <c r="GA152" s="120"/>
      <c r="GB152" s="120"/>
      <c r="GC152" s="120"/>
      <c r="GD152" s="120"/>
      <c r="GE152" s="120"/>
      <c r="GF152" s="120"/>
      <c r="GG152" s="120"/>
      <c r="GH152" s="120"/>
      <c r="GI152" s="120"/>
      <c r="GJ152" s="120"/>
      <c r="GK152" s="120"/>
      <c r="GL152" s="120"/>
      <c r="GM152" s="120"/>
      <c r="GN152" s="120"/>
      <c r="GO152" s="120"/>
      <c r="GP152" s="120"/>
      <c r="GQ152" s="120"/>
      <c r="GR152" s="120"/>
      <c r="GS152" s="120"/>
      <c r="GT152" s="120"/>
      <c r="GU152" s="120"/>
      <c r="GV152" s="120"/>
      <c r="GW152" s="120"/>
      <c r="GX152" s="120"/>
      <c r="GY152" s="120"/>
      <c r="GZ152" s="120"/>
      <c r="HA152" s="120"/>
      <c r="HB152" s="120"/>
      <c r="HC152" s="120"/>
    </row>
    <row r="153" spans="1:211" x14ac:dyDescent="0.25">
      <c r="A153" s="122"/>
      <c r="AD153" s="120"/>
      <c r="BF153" s="120"/>
      <c r="CJ153" s="128"/>
      <c r="CK153" s="128"/>
      <c r="CL153" s="128"/>
      <c r="CM153" s="128"/>
      <c r="CN153" s="128"/>
      <c r="CO153" s="128"/>
      <c r="CP153" s="128"/>
      <c r="CQ153" s="128"/>
      <c r="CR153" s="128"/>
      <c r="CS153" s="128"/>
      <c r="CT153" s="128"/>
      <c r="CU153" s="128"/>
      <c r="CV153" s="128"/>
      <c r="CW153" s="128"/>
      <c r="CX153" s="128"/>
      <c r="CY153" s="128"/>
      <c r="CZ153" s="128"/>
      <c r="DA153" s="128"/>
      <c r="DB153" s="128"/>
      <c r="DC153" s="128"/>
      <c r="DD153" s="128"/>
      <c r="DE153" s="128"/>
      <c r="DF153" s="128"/>
      <c r="DG153" s="128"/>
      <c r="DH153" s="128"/>
      <c r="DI153" s="128"/>
      <c r="DJ153" s="128"/>
      <c r="DK153" s="128"/>
      <c r="DL153" s="128"/>
      <c r="DM153" s="128"/>
      <c r="DN153" s="128"/>
      <c r="DO153" s="128"/>
      <c r="DP153" s="128"/>
      <c r="DQ153" s="128"/>
      <c r="DR153" s="128"/>
      <c r="DS153" s="128"/>
      <c r="DT153" s="128"/>
      <c r="DU153" s="128"/>
      <c r="DV153" s="128"/>
      <c r="DW153" s="128"/>
      <c r="DX153" s="128"/>
      <c r="DY153" s="128"/>
      <c r="DZ153" s="128"/>
      <c r="EA153" s="128"/>
      <c r="EB153" s="128"/>
      <c r="EC153" s="128"/>
      <c r="ED153" s="128"/>
      <c r="EE153" s="128"/>
      <c r="EF153" s="128"/>
      <c r="EG153" s="128"/>
      <c r="EH153" s="128"/>
      <c r="EI153" s="128"/>
      <c r="EJ153" s="128"/>
      <c r="EK153" s="128"/>
      <c r="EL153" s="128"/>
      <c r="EM153" s="128"/>
      <c r="EN153" s="128"/>
      <c r="EO153" s="128"/>
      <c r="EP153" s="128"/>
      <c r="EQ153" s="128"/>
      <c r="ER153" s="128"/>
      <c r="ES153" s="128"/>
      <c r="ET153" s="128"/>
      <c r="EU153" s="128"/>
      <c r="EV153" s="128"/>
      <c r="EW153" s="128"/>
      <c r="EX153" s="128"/>
      <c r="EY153" s="128"/>
      <c r="EZ153" s="128"/>
      <c r="FA153" s="128"/>
      <c r="FB153" s="128"/>
      <c r="FC153" s="128"/>
      <c r="FD153" s="128"/>
      <c r="FE153" s="128"/>
      <c r="FF153" s="128"/>
      <c r="FG153" s="128"/>
      <c r="FH153" s="128"/>
      <c r="FI153" s="128"/>
      <c r="FJ153" s="128"/>
      <c r="FK153" s="128"/>
      <c r="FL153" s="128"/>
      <c r="FM153" s="128"/>
      <c r="FN153" s="128"/>
      <c r="FO153" s="128"/>
      <c r="FP153" s="128"/>
      <c r="FQ153" s="128"/>
      <c r="FR153" s="128"/>
      <c r="FS153" s="128"/>
      <c r="FT153" s="128"/>
      <c r="FU153" s="128"/>
      <c r="FV153" s="128"/>
      <c r="FW153" s="128"/>
      <c r="FX153" s="128"/>
      <c r="FY153" s="128"/>
      <c r="FZ153" s="128"/>
      <c r="GA153" s="128"/>
      <c r="GB153" s="128"/>
      <c r="GC153" s="128"/>
      <c r="GD153" s="128"/>
      <c r="GE153" s="128"/>
      <c r="GF153" s="128"/>
      <c r="GG153" s="128"/>
      <c r="GH153" s="128"/>
      <c r="GI153" s="128"/>
      <c r="GJ153" s="128"/>
      <c r="GK153" s="128"/>
      <c r="GL153" s="128"/>
      <c r="GM153" s="128"/>
      <c r="GN153" s="128"/>
      <c r="GO153" s="128"/>
      <c r="GP153" s="128"/>
      <c r="GQ153" s="128"/>
      <c r="GR153" s="128"/>
      <c r="GS153" s="128"/>
      <c r="GT153" s="128"/>
      <c r="GU153" s="128"/>
      <c r="GV153" s="128"/>
      <c r="GW153" s="128"/>
      <c r="GX153" s="128"/>
      <c r="GY153" s="128"/>
      <c r="GZ153" s="128"/>
      <c r="HA153" s="128"/>
      <c r="HB153" s="128"/>
      <c r="HC153" s="128"/>
    </row>
    <row r="154" spans="1:211" x14ac:dyDescent="0.25">
      <c r="A154" s="122"/>
      <c r="AD154" s="120"/>
      <c r="BF154" s="120"/>
    </row>
    <row r="155" spans="1:211" x14ac:dyDescent="0.25">
      <c r="A155" s="122"/>
      <c r="AD155" s="120"/>
      <c r="BF155" s="120"/>
    </row>
    <row r="156" spans="1:211" x14ac:dyDescent="0.25">
      <c r="A156" s="122"/>
      <c r="AD156" s="120"/>
      <c r="BF156" s="120"/>
    </row>
    <row r="157" spans="1:211" s="128" customFormat="1" x14ac:dyDescent="0.25">
      <c r="A157" s="122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/>
      <c r="AS157" s="120"/>
      <c r="AT157" s="120"/>
      <c r="AU157" s="120"/>
      <c r="AV157" s="120"/>
      <c r="AW157" s="120"/>
      <c r="AX157" s="120"/>
      <c r="AY157" s="120"/>
      <c r="AZ157" s="120"/>
      <c r="BA157" s="120"/>
      <c r="BB157" s="120"/>
      <c r="BC157" s="120"/>
      <c r="BD157" s="120"/>
      <c r="BE157" s="120"/>
      <c r="BF157" s="120"/>
      <c r="BG157" s="120"/>
      <c r="BH157" s="120"/>
      <c r="BI157" s="120"/>
      <c r="BJ157" s="120"/>
      <c r="BK157" s="120"/>
      <c r="BL157" s="120"/>
      <c r="BM157" s="120"/>
      <c r="BN157" s="120"/>
      <c r="BO157" s="120"/>
      <c r="BP157" s="120"/>
      <c r="BQ157" s="120"/>
      <c r="BR157" s="120"/>
      <c r="BS157" s="120"/>
      <c r="BT157" s="120"/>
      <c r="BU157" s="120"/>
      <c r="BV157" s="120"/>
      <c r="BW157" s="120"/>
      <c r="BX157" s="120"/>
      <c r="BY157" s="120"/>
      <c r="BZ157" s="120"/>
      <c r="CA157" s="120"/>
      <c r="CB157" s="120"/>
      <c r="CC157" s="120"/>
      <c r="CD157" s="120"/>
      <c r="CE157" s="120"/>
      <c r="CF157" s="120"/>
      <c r="CG157" s="120"/>
      <c r="CH157" s="120"/>
      <c r="CI157" s="120"/>
      <c r="CJ157" s="120"/>
      <c r="CK157" s="120"/>
      <c r="CL157" s="120"/>
      <c r="CM157" s="120"/>
      <c r="CN157" s="120"/>
      <c r="CO157" s="120"/>
      <c r="CP157" s="120"/>
      <c r="CQ157" s="120"/>
      <c r="CR157" s="120"/>
      <c r="CS157" s="120"/>
      <c r="CT157" s="120"/>
      <c r="CU157" s="120"/>
      <c r="CV157" s="120"/>
      <c r="CW157" s="120"/>
      <c r="CX157" s="120"/>
      <c r="CY157" s="120"/>
      <c r="CZ157" s="120"/>
      <c r="DA157" s="120"/>
      <c r="DB157" s="120"/>
      <c r="DC157" s="120"/>
      <c r="DD157" s="120"/>
      <c r="DE157" s="120"/>
      <c r="DF157" s="120"/>
      <c r="DG157" s="120"/>
      <c r="DH157" s="120"/>
      <c r="DI157" s="120"/>
      <c r="DJ157" s="120"/>
      <c r="DK157" s="120"/>
      <c r="DL157" s="120"/>
      <c r="DM157" s="120"/>
      <c r="DN157" s="120"/>
      <c r="DO157" s="120"/>
      <c r="DP157" s="120"/>
      <c r="DQ157" s="120"/>
      <c r="DR157" s="120"/>
      <c r="DS157" s="120"/>
      <c r="DT157" s="120"/>
      <c r="DU157" s="120"/>
      <c r="DV157" s="120"/>
      <c r="DW157" s="120"/>
      <c r="DX157" s="120"/>
      <c r="DY157" s="120"/>
      <c r="DZ157" s="120"/>
      <c r="EA157" s="120"/>
      <c r="EB157" s="120"/>
      <c r="EC157" s="120"/>
      <c r="ED157" s="120"/>
      <c r="EE157" s="120"/>
      <c r="EF157" s="120"/>
      <c r="EG157" s="120"/>
      <c r="EH157" s="120"/>
      <c r="EI157" s="120"/>
      <c r="EJ157" s="120"/>
      <c r="EK157" s="120"/>
      <c r="EL157" s="120"/>
      <c r="EM157" s="120"/>
      <c r="EN157" s="120"/>
      <c r="EO157" s="120"/>
      <c r="EP157" s="120"/>
      <c r="EQ157" s="120"/>
      <c r="ER157" s="120"/>
      <c r="ES157" s="120"/>
      <c r="ET157" s="120"/>
      <c r="EU157" s="120"/>
      <c r="EV157" s="120"/>
      <c r="EW157" s="120"/>
      <c r="EX157" s="120"/>
      <c r="EY157" s="120"/>
      <c r="EZ157" s="120"/>
      <c r="FA157" s="120"/>
      <c r="FB157" s="120"/>
      <c r="FC157" s="120"/>
      <c r="FD157" s="120"/>
      <c r="FE157" s="120"/>
      <c r="FF157" s="120"/>
      <c r="FG157" s="120"/>
      <c r="FH157" s="120"/>
      <c r="FI157" s="120"/>
      <c r="FJ157" s="120"/>
      <c r="FK157" s="120"/>
      <c r="FL157" s="120"/>
      <c r="FM157" s="120"/>
      <c r="FN157" s="120"/>
      <c r="FO157" s="120"/>
      <c r="FP157" s="120"/>
      <c r="FQ157" s="120"/>
      <c r="FR157" s="120"/>
      <c r="FS157" s="120"/>
      <c r="FT157" s="120"/>
      <c r="FU157" s="120"/>
      <c r="FV157" s="120"/>
      <c r="FW157" s="120"/>
      <c r="FX157" s="120"/>
      <c r="FY157" s="120"/>
      <c r="FZ157" s="120"/>
      <c r="GA157" s="120"/>
      <c r="GB157" s="120"/>
      <c r="GC157" s="120"/>
      <c r="GD157" s="120"/>
      <c r="GE157" s="120"/>
      <c r="GF157" s="120"/>
      <c r="GG157" s="120"/>
      <c r="GH157" s="120"/>
      <c r="GI157" s="120"/>
      <c r="GJ157" s="120"/>
      <c r="GK157" s="120"/>
      <c r="GL157" s="120"/>
      <c r="GM157" s="120"/>
      <c r="GN157" s="120"/>
      <c r="GO157" s="120"/>
      <c r="GP157" s="120"/>
      <c r="GQ157" s="120"/>
      <c r="GR157" s="120"/>
      <c r="GS157" s="120"/>
      <c r="GT157" s="120"/>
      <c r="GU157" s="120"/>
      <c r="GV157" s="120"/>
      <c r="GW157" s="120"/>
      <c r="GX157" s="120"/>
      <c r="GY157" s="120"/>
      <c r="GZ157" s="120"/>
      <c r="HA157" s="120"/>
      <c r="HB157" s="120"/>
      <c r="HC157" s="120"/>
    </row>
    <row r="158" spans="1:211" x14ac:dyDescent="0.25">
      <c r="A158" s="122"/>
      <c r="AD158" s="120"/>
      <c r="BF158" s="120"/>
      <c r="CJ158" s="128"/>
      <c r="CK158" s="128"/>
      <c r="CL158" s="128"/>
      <c r="CM158" s="128"/>
      <c r="CN158" s="128"/>
      <c r="CO158" s="128"/>
      <c r="CP158" s="128"/>
      <c r="CQ158" s="128"/>
      <c r="CR158" s="128"/>
      <c r="CS158" s="128"/>
      <c r="CT158" s="128"/>
      <c r="CU158" s="128"/>
      <c r="CV158" s="128"/>
      <c r="CW158" s="128"/>
      <c r="CX158" s="128"/>
      <c r="CY158" s="128"/>
      <c r="CZ158" s="128"/>
      <c r="DA158" s="128"/>
      <c r="DB158" s="128"/>
      <c r="DC158" s="128"/>
      <c r="DD158" s="128"/>
      <c r="DE158" s="128"/>
      <c r="DF158" s="128"/>
      <c r="DG158" s="128"/>
      <c r="DH158" s="128"/>
      <c r="DI158" s="128"/>
      <c r="DJ158" s="128"/>
      <c r="DK158" s="128"/>
      <c r="DL158" s="128"/>
      <c r="DM158" s="128"/>
      <c r="DN158" s="128"/>
      <c r="DO158" s="128"/>
      <c r="DP158" s="128"/>
      <c r="DQ158" s="128"/>
      <c r="DR158" s="128"/>
      <c r="DS158" s="128"/>
      <c r="DT158" s="128"/>
      <c r="DU158" s="128"/>
      <c r="DV158" s="128"/>
      <c r="DW158" s="128"/>
      <c r="DX158" s="128"/>
      <c r="DY158" s="128"/>
      <c r="DZ158" s="128"/>
      <c r="EA158" s="128"/>
      <c r="EB158" s="128"/>
      <c r="EC158" s="128"/>
      <c r="ED158" s="128"/>
      <c r="EE158" s="128"/>
      <c r="EF158" s="128"/>
      <c r="EG158" s="128"/>
      <c r="EH158" s="128"/>
      <c r="EI158" s="128"/>
      <c r="EJ158" s="128"/>
      <c r="EK158" s="128"/>
      <c r="EL158" s="128"/>
      <c r="EM158" s="128"/>
      <c r="EN158" s="128"/>
      <c r="EO158" s="128"/>
      <c r="EP158" s="128"/>
      <c r="EQ158" s="128"/>
      <c r="ER158" s="128"/>
      <c r="ES158" s="128"/>
      <c r="ET158" s="128"/>
      <c r="EU158" s="128"/>
      <c r="EV158" s="128"/>
      <c r="EW158" s="128"/>
      <c r="EX158" s="128"/>
      <c r="EY158" s="128"/>
      <c r="EZ158" s="128"/>
      <c r="FA158" s="128"/>
      <c r="FB158" s="128"/>
      <c r="FC158" s="128"/>
      <c r="FD158" s="128"/>
      <c r="FE158" s="128"/>
      <c r="FF158" s="128"/>
      <c r="FG158" s="128"/>
      <c r="FH158" s="128"/>
      <c r="FI158" s="128"/>
      <c r="FJ158" s="128"/>
      <c r="FK158" s="128"/>
      <c r="FL158" s="128"/>
      <c r="FM158" s="128"/>
      <c r="FN158" s="128"/>
      <c r="FO158" s="128"/>
      <c r="FP158" s="128"/>
      <c r="FQ158" s="128"/>
      <c r="FR158" s="128"/>
      <c r="FS158" s="128"/>
      <c r="FT158" s="128"/>
      <c r="FU158" s="128"/>
      <c r="FV158" s="128"/>
      <c r="FW158" s="128"/>
      <c r="FX158" s="128"/>
      <c r="FY158" s="128"/>
      <c r="FZ158" s="128"/>
      <c r="GA158" s="128"/>
      <c r="GB158" s="128"/>
      <c r="GC158" s="128"/>
      <c r="GD158" s="128"/>
      <c r="GE158" s="128"/>
      <c r="GF158" s="128"/>
      <c r="GG158" s="128"/>
      <c r="GH158" s="128"/>
      <c r="GI158" s="128"/>
      <c r="GJ158" s="128"/>
      <c r="GK158" s="128"/>
      <c r="GL158" s="128"/>
      <c r="GM158" s="128"/>
      <c r="GN158" s="128"/>
      <c r="GO158" s="128"/>
      <c r="GP158" s="128"/>
      <c r="GQ158" s="128"/>
      <c r="GR158" s="128"/>
      <c r="GS158" s="128"/>
      <c r="GT158" s="128"/>
      <c r="GU158" s="128"/>
      <c r="GV158" s="128"/>
      <c r="GW158" s="128"/>
      <c r="GX158" s="128"/>
      <c r="GY158" s="128"/>
      <c r="GZ158" s="128"/>
      <c r="HA158" s="128"/>
      <c r="HB158" s="128"/>
      <c r="HC158" s="128"/>
    </row>
    <row r="159" spans="1:211" x14ac:dyDescent="0.25">
      <c r="A159" s="122"/>
      <c r="AD159" s="120"/>
      <c r="BF159" s="120"/>
    </row>
    <row r="160" spans="1:211" x14ac:dyDescent="0.25">
      <c r="A160" s="122"/>
      <c r="AD160" s="120"/>
      <c r="BF160" s="120"/>
    </row>
    <row r="161" spans="1:211" x14ac:dyDescent="0.25">
      <c r="A161" s="122"/>
      <c r="AD161" s="120"/>
      <c r="BF161" s="120"/>
    </row>
    <row r="162" spans="1:211" s="128" customFormat="1" x14ac:dyDescent="0.25">
      <c r="A162" s="122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20"/>
      <c r="AU162" s="120"/>
      <c r="AV162" s="120"/>
      <c r="AW162" s="120"/>
      <c r="AX162" s="120"/>
      <c r="AY162" s="120"/>
      <c r="AZ162" s="120"/>
      <c r="BA162" s="120"/>
      <c r="BB162" s="120"/>
      <c r="BC162" s="120"/>
      <c r="BD162" s="120"/>
      <c r="BE162" s="120"/>
      <c r="BF162" s="120"/>
      <c r="BG162" s="120"/>
      <c r="BH162" s="120"/>
      <c r="BI162" s="120"/>
      <c r="BJ162" s="120"/>
      <c r="BK162" s="120"/>
      <c r="BL162" s="120"/>
      <c r="BM162" s="120"/>
      <c r="BN162" s="120"/>
      <c r="BO162" s="120"/>
      <c r="BP162" s="120"/>
      <c r="BQ162" s="120"/>
      <c r="BR162" s="120"/>
      <c r="BS162" s="120"/>
      <c r="BT162" s="120"/>
      <c r="BU162" s="120"/>
      <c r="BV162" s="120"/>
      <c r="BW162" s="120"/>
      <c r="BX162" s="120"/>
      <c r="BY162" s="120"/>
      <c r="BZ162" s="120"/>
      <c r="CA162" s="120"/>
      <c r="CB162" s="120"/>
      <c r="CC162" s="120"/>
      <c r="CD162" s="120"/>
      <c r="CE162" s="120"/>
      <c r="CF162" s="120"/>
      <c r="CG162" s="120"/>
      <c r="CH162" s="120"/>
      <c r="CI162" s="120"/>
      <c r="CJ162" s="120"/>
      <c r="CK162" s="120"/>
      <c r="CL162" s="120"/>
      <c r="CM162" s="120"/>
      <c r="CN162" s="120"/>
      <c r="CO162" s="120"/>
      <c r="CP162" s="120"/>
      <c r="CQ162" s="120"/>
      <c r="CR162" s="120"/>
      <c r="CS162" s="120"/>
      <c r="CT162" s="120"/>
      <c r="CU162" s="120"/>
      <c r="CV162" s="120"/>
      <c r="CW162" s="120"/>
      <c r="CX162" s="120"/>
      <c r="CY162" s="120"/>
      <c r="CZ162" s="120"/>
      <c r="DA162" s="120"/>
      <c r="DB162" s="120"/>
      <c r="DC162" s="120"/>
      <c r="DD162" s="120"/>
      <c r="DE162" s="120"/>
      <c r="DF162" s="120"/>
      <c r="DG162" s="120"/>
      <c r="DH162" s="120"/>
      <c r="DI162" s="120"/>
      <c r="DJ162" s="120"/>
      <c r="DK162" s="120"/>
      <c r="DL162" s="120"/>
      <c r="DM162" s="120"/>
      <c r="DN162" s="120"/>
      <c r="DO162" s="120"/>
      <c r="DP162" s="120"/>
      <c r="DQ162" s="120"/>
      <c r="DR162" s="120"/>
      <c r="DS162" s="120"/>
      <c r="DT162" s="120"/>
      <c r="DU162" s="120"/>
      <c r="DV162" s="120"/>
      <c r="DW162" s="120"/>
      <c r="DX162" s="120"/>
      <c r="DY162" s="120"/>
      <c r="DZ162" s="120"/>
      <c r="EA162" s="120"/>
      <c r="EB162" s="120"/>
      <c r="EC162" s="120"/>
      <c r="ED162" s="120"/>
      <c r="EE162" s="120"/>
      <c r="EF162" s="120"/>
      <c r="EG162" s="120"/>
      <c r="EH162" s="120"/>
      <c r="EI162" s="120"/>
      <c r="EJ162" s="120"/>
      <c r="EK162" s="120"/>
      <c r="EL162" s="120"/>
      <c r="EM162" s="120"/>
      <c r="EN162" s="120"/>
      <c r="EO162" s="120"/>
      <c r="EP162" s="120"/>
      <c r="EQ162" s="120"/>
      <c r="ER162" s="120"/>
      <c r="ES162" s="120"/>
      <c r="ET162" s="120"/>
      <c r="EU162" s="120"/>
      <c r="EV162" s="120"/>
      <c r="EW162" s="120"/>
      <c r="EX162" s="120"/>
      <c r="EY162" s="120"/>
      <c r="EZ162" s="120"/>
      <c r="FA162" s="120"/>
      <c r="FB162" s="120"/>
      <c r="FC162" s="120"/>
      <c r="FD162" s="120"/>
      <c r="FE162" s="120"/>
      <c r="FF162" s="120"/>
      <c r="FG162" s="120"/>
      <c r="FH162" s="120"/>
      <c r="FI162" s="120"/>
      <c r="FJ162" s="120"/>
      <c r="FK162" s="120"/>
      <c r="FL162" s="120"/>
      <c r="FM162" s="120"/>
      <c r="FN162" s="120"/>
      <c r="FO162" s="120"/>
      <c r="FP162" s="120"/>
      <c r="FQ162" s="120"/>
      <c r="FR162" s="120"/>
      <c r="FS162" s="120"/>
      <c r="FT162" s="120"/>
      <c r="FU162" s="120"/>
      <c r="FV162" s="120"/>
      <c r="FW162" s="120"/>
      <c r="FX162" s="120"/>
      <c r="FY162" s="120"/>
      <c r="FZ162" s="120"/>
      <c r="GA162" s="120"/>
      <c r="GB162" s="120"/>
      <c r="GC162" s="120"/>
      <c r="GD162" s="120"/>
      <c r="GE162" s="120"/>
      <c r="GF162" s="120"/>
      <c r="GG162" s="120"/>
      <c r="GH162" s="120"/>
      <c r="GI162" s="120"/>
      <c r="GJ162" s="120"/>
      <c r="GK162" s="120"/>
      <c r="GL162" s="120"/>
      <c r="GM162" s="120"/>
      <c r="GN162" s="120"/>
      <c r="GO162" s="120"/>
      <c r="GP162" s="120"/>
      <c r="GQ162" s="120"/>
      <c r="GR162" s="120"/>
      <c r="GS162" s="120"/>
      <c r="GT162" s="120"/>
      <c r="GU162" s="120"/>
      <c r="GV162" s="120"/>
      <c r="GW162" s="120"/>
      <c r="GX162" s="120"/>
      <c r="GY162" s="120"/>
      <c r="GZ162" s="120"/>
      <c r="HA162" s="120"/>
      <c r="HB162" s="120"/>
      <c r="HC162" s="120"/>
    </row>
    <row r="163" spans="1:211" x14ac:dyDescent="0.25">
      <c r="A163" s="122"/>
      <c r="AD163" s="120"/>
      <c r="BF163" s="120"/>
      <c r="CJ163" s="128"/>
      <c r="CK163" s="128"/>
      <c r="CL163" s="128"/>
      <c r="CM163" s="128"/>
      <c r="CN163" s="128"/>
      <c r="CO163" s="128"/>
      <c r="CP163" s="128"/>
      <c r="CQ163" s="128"/>
      <c r="CR163" s="128"/>
      <c r="CS163" s="128"/>
      <c r="CT163" s="128"/>
      <c r="CU163" s="128"/>
      <c r="CV163" s="128"/>
      <c r="CW163" s="128"/>
      <c r="CX163" s="128"/>
      <c r="CY163" s="128"/>
      <c r="CZ163" s="128"/>
      <c r="DA163" s="128"/>
      <c r="DB163" s="128"/>
      <c r="DC163" s="128"/>
      <c r="DD163" s="128"/>
      <c r="DE163" s="128"/>
      <c r="DF163" s="128"/>
      <c r="DG163" s="128"/>
      <c r="DH163" s="128"/>
      <c r="DI163" s="128"/>
      <c r="DJ163" s="128"/>
      <c r="DK163" s="128"/>
      <c r="DL163" s="128"/>
      <c r="DM163" s="128"/>
      <c r="DN163" s="128"/>
      <c r="DO163" s="128"/>
      <c r="DP163" s="128"/>
      <c r="DQ163" s="128"/>
      <c r="DR163" s="128"/>
      <c r="DS163" s="128"/>
      <c r="DT163" s="128"/>
      <c r="DU163" s="128"/>
      <c r="DV163" s="128"/>
      <c r="DW163" s="128"/>
      <c r="DX163" s="128"/>
      <c r="DY163" s="128"/>
      <c r="DZ163" s="128"/>
      <c r="EA163" s="128"/>
      <c r="EB163" s="128"/>
      <c r="EC163" s="128"/>
      <c r="ED163" s="128"/>
      <c r="EE163" s="128"/>
      <c r="EF163" s="128"/>
      <c r="EG163" s="128"/>
      <c r="EH163" s="128"/>
      <c r="EI163" s="128"/>
      <c r="EJ163" s="128"/>
      <c r="EK163" s="128"/>
      <c r="EL163" s="128"/>
      <c r="EM163" s="128"/>
      <c r="EN163" s="128"/>
      <c r="EO163" s="128"/>
      <c r="EP163" s="128"/>
      <c r="EQ163" s="128"/>
      <c r="ER163" s="128"/>
      <c r="ES163" s="128"/>
      <c r="ET163" s="128"/>
      <c r="EU163" s="128"/>
      <c r="EV163" s="128"/>
      <c r="EW163" s="128"/>
      <c r="EX163" s="128"/>
      <c r="EY163" s="128"/>
      <c r="EZ163" s="128"/>
      <c r="FA163" s="128"/>
      <c r="FB163" s="128"/>
      <c r="FC163" s="128"/>
      <c r="FD163" s="128"/>
      <c r="FE163" s="128"/>
      <c r="FF163" s="128"/>
      <c r="FG163" s="128"/>
      <c r="FH163" s="128"/>
      <c r="FI163" s="128"/>
      <c r="FJ163" s="128"/>
      <c r="FK163" s="128"/>
      <c r="FL163" s="128"/>
      <c r="FM163" s="128"/>
      <c r="FN163" s="128"/>
      <c r="FO163" s="128"/>
      <c r="FP163" s="128"/>
      <c r="FQ163" s="128"/>
      <c r="FR163" s="128"/>
      <c r="FS163" s="128"/>
      <c r="FT163" s="128"/>
      <c r="FU163" s="128"/>
      <c r="FV163" s="128"/>
      <c r="FW163" s="128"/>
      <c r="FX163" s="128"/>
      <c r="FY163" s="128"/>
      <c r="FZ163" s="128"/>
      <c r="GA163" s="128"/>
      <c r="GB163" s="128"/>
      <c r="GC163" s="128"/>
      <c r="GD163" s="128"/>
      <c r="GE163" s="128"/>
      <c r="GF163" s="128"/>
      <c r="GG163" s="128"/>
      <c r="GH163" s="128"/>
      <c r="GI163" s="128"/>
      <c r="GJ163" s="128"/>
      <c r="GK163" s="128"/>
      <c r="GL163" s="128"/>
      <c r="GM163" s="128"/>
      <c r="GN163" s="128"/>
      <c r="GO163" s="128"/>
      <c r="GP163" s="128"/>
      <c r="GQ163" s="128"/>
      <c r="GR163" s="128"/>
      <c r="GS163" s="128"/>
      <c r="GT163" s="128"/>
      <c r="GU163" s="128"/>
      <c r="GV163" s="128"/>
      <c r="GW163" s="128"/>
      <c r="GX163" s="128"/>
      <c r="GY163" s="128"/>
      <c r="GZ163" s="128"/>
      <c r="HA163" s="128"/>
      <c r="HB163" s="128"/>
      <c r="HC163" s="128"/>
    </row>
    <row r="164" spans="1:211" x14ac:dyDescent="0.25">
      <c r="A164" s="122"/>
      <c r="AD164" s="120"/>
      <c r="BF164" s="120"/>
    </row>
    <row r="165" spans="1:211" x14ac:dyDescent="0.25">
      <c r="A165" s="122"/>
      <c r="AD165" s="120"/>
      <c r="BF165" s="120"/>
    </row>
    <row r="166" spans="1:211" x14ac:dyDescent="0.25">
      <c r="A166" s="122"/>
      <c r="AD166" s="120"/>
      <c r="BF166" s="120"/>
    </row>
    <row r="167" spans="1:211" s="128" customFormat="1" x14ac:dyDescent="0.25">
      <c r="A167" s="122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/>
      <c r="AS167" s="120"/>
      <c r="AT167" s="120"/>
      <c r="AU167" s="120"/>
      <c r="AV167" s="120"/>
      <c r="AW167" s="120"/>
      <c r="AX167" s="120"/>
      <c r="AY167" s="120"/>
      <c r="AZ167" s="120"/>
      <c r="BA167" s="120"/>
      <c r="BB167" s="120"/>
      <c r="BC167" s="120"/>
      <c r="BD167" s="120"/>
      <c r="BE167" s="120"/>
      <c r="BF167" s="120"/>
      <c r="BG167" s="120"/>
      <c r="BH167" s="120"/>
      <c r="BI167" s="120"/>
      <c r="BJ167" s="120"/>
      <c r="BK167" s="120"/>
      <c r="BL167" s="120"/>
      <c r="BM167" s="120"/>
      <c r="BN167" s="120"/>
      <c r="BO167" s="120"/>
      <c r="BP167" s="120"/>
      <c r="BQ167" s="120"/>
      <c r="BR167" s="120"/>
      <c r="BS167" s="120"/>
      <c r="BT167" s="120"/>
      <c r="BU167" s="120"/>
      <c r="BV167" s="120"/>
      <c r="BW167" s="120"/>
      <c r="BX167" s="120"/>
      <c r="BY167" s="120"/>
      <c r="BZ167" s="120"/>
      <c r="CA167" s="120"/>
      <c r="CB167" s="120"/>
      <c r="CC167" s="120"/>
      <c r="CD167" s="120"/>
      <c r="CE167" s="120"/>
      <c r="CF167" s="120"/>
      <c r="CG167" s="120"/>
      <c r="CH167" s="120"/>
      <c r="CI167" s="120"/>
      <c r="CJ167" s="120"/>
      <c r="CK167" s="120"/>
      <c r="CL167" s="120"/>
      <c r="CM167" s="120"/>
      <c r="CN167" s="120"/>
      <c r="CO167" s="120"/>
      <c r="CP167" s="120"/>
      <c r="CQ167" s="120"/>
      <c r="CR167" s="120"/>
      <c r="CS167" s="120"/>
      <c r="CT167" s="120"/>
      <c r="CU167" s="120"/>
      <c r="CV167" s="120"/>
      <c r="CW167" s="120"/>
      <c r="CX167" s="120"/>
      <c r="CY167" s="120"/>
      <c r="CZ167" s="120"/>
      <c r="DA167" s="120"/>
      <c r="DB167" s="120"/>
      <c r="DC167" s="120"/>
      <c r="DD167" s="120"/>
      <c r="DE167" s="120"/>
      <c r="DF167" s="120"/>
      <c r="DG167" s="120"/>
      <c r="DH167" s="120"/>
      <c r="DI167" s="120"/>
      <c r="DJ167" s="120"/>
      <c r="DK167" s="120"/>
      <c r="DL167" s="120"/>
      <c r="DM167" s="120"/>
      <c r="DN167" s="120"/>
      <c r="DO167" s="120"/>
      <c r="DP167" s="120"/>
      <c r="DQ167" s="120"/>
      <c r="DR167" s="120"/>
      <c r="DS167" s="120"/>
      <c r="DT167" s="120"/>
      <c r="DU167" s="120"/>
      <c r="DV167" s="120"/>
      <c r="DW167" s="120"/>
      <c r="DX167" s="120"/>
      <c r="DY167" s="120"/>
      <c r="DZ167" s="120"/>
      <c r="EA167" s="120"/>
      <c r="EB167" s="120"/>
      <c r="EC167" s="120"/>
      <c r="ED167" s="120"/>
      <c r="EE167" s="120"/>
      <c r="EF167" s="120"/>
      <c r="EG167" s="120"/>
      <c r="EH167" s="120"/>
      <c r="EI167" s="120"/>
      <c r="EJ167" s="120"/>
      <c r="EK167" s="120"/>
      <c r="EL167" s="120"/>
      <c r="EM167" s="120"/>
      <c r="EN167" s="120"/>
      <c r="EO167" s="120"/>
      <c r="EP167" s="120"/>
      <c r="EQ167" s="120"/>
      <c r="ER167" s="120"/>
      <c r="ES167" s="120"/>
      <c r="ET167" s="120"/>
      <c r="EU167" s="120"/>
      <c r="EV167" s="120"/>
      <c r="EW167" s="120"/>
      <c r="EX167" s="120"/>
      <c r="EY167" s="120"/>
      <c r="EZ167" s="120"/>
      <c r="FA167" s="120"/>
      <c r="FB167" s="120"/>
      <c r="FC167" s="120"/>
      <c r="FD167" s="120"/>
      <c r="FE167" s="120"/>
      <c r="FF167" s="120"/>
      <c r="FG167" s="120"/>
      <c r="FH167" s="120"/>
      <c r="FI167" s="120"/>
      <c r="FJ167" s="120"/>
      <c r="FK167" s="120"/>
      <c r="FL167" s="120"/>
      <c r="FM167" s="120"/>
      <c r="FN167" s="120"/>
      <c r="FO167" s="120"/>
      <c r="FP167" s="120"/>
      <c r="FQ167" s="120"/>
      <c r="FR167" s="120"/>
      <c r="FS167" s="120"/>
      <c r="FT167" s="120"/>
      <c r="FU167" s="120"/>
      <c r="FV167" s="120"/>
      <c r="FW167" s="120"/>
      <c r="FX167" s="120"/>
      <c r="FY167" s="120"/>
      <c r="FZ167" s="120"/>
      <c r="GA167" s="120"/>
      <c r="GB167" s="120"/>
      <c r="GC167" s="120"/>
      <c r="GD167" s="120"/>
      <c r="GE167" s="120"/>
      <c r="GF167" s="120"/>
      <c r="GG167" s="120"/>
      <c r="GH167" s="120"/>
      <c r="GI167" s="120"/>
      <c r="GJ167" s="120"/>
      <c r="GK167" s="120"/>
      <c r="GL167" s="120"/>
      <c r="GM167" s="120"/>
      <c r="GN167" s="120"/>
      <c r="GO167" s="120"/>
      <c r="GP167" s="120"/>
      <c r="GQ167" s="120"/>
      <c r="GR167" s="120"/>
      <c r="GS167" s="120"/>
      <c r="GT167" s="120"/>
      <c r="GU167" s="120"/>
      <c r="GV167" s="120"/>
      <c r="GW167" s="120"/>
      <c r="GX167" s="120"/>
      <c r="GY167" s="120"/>
      <c r="GZ167" s="120"/>
      <c r="HA167" s="120"/>
      <c r="HB167" s="120"/>
      <c r="HC167" s="120"/>
    </row>
    <row r="168" spans="1:211" x14ac:dyDescent="0.25">
      <c r="A168" s="122"/>
      <c r="AD168" s="120"/>
      <c r="BF168" s="120"/>
      <c r="CJ168" s="128"/>
      <c r="CK168" s="128"/>
      <c r="CL168" s="128"/>
      <c r="CM168" s="128"/>
      <c r="CN168" s="128"/>
      <c r="CO168" s="128"/>
      <c r="CP168" s="128"/>
      <c r="CQ168" s="128"/>
      <c r="CR168" s="128"/>
      <c r="CS168" s="128"/>
      <c r="CT168" s="128"/>
      <c r="CU168" s="128"/>
      <c r="CV168" s="128"/>
      <c r="CW168" s="128"/>
      <c r="CX168" s="128"/>
      <c r="CY168" s="128"/>
      <c r="CZ168" s="128"/>
      <c r="DA168" s="128"/>
      <c r="DB168" s="128"/>
      <c r="DC168" s="128"/>
      <c r="DD168" s="128"/>
      <c r="DE168" s="128"/>
      <c r="DF168" s="128"/>
      <c r="DG168" s="128"/>
      <c r="DH168" s="128"/>
      <c r="DI168" s="128"/>
      <c r="DJ168" s="128"/>
      <c r="DK168" s="128"/>
      <c r="DL168" s="128"/>
      <c r="DM168" s="128"/>
      <c r="DN168" s="128"/>
      <c r="DO168" s="128"/>
      <c r="DP168" s="128"/>
      <c r="DQ168" s="128"/>
      <c r="DR168" s="128"/>
      <c r="DS168" s="128"/>
      <c r="DT168" s="128"/>
      <c r="DU168" s="128"/>
      <c r="DV168" s="128"/>
      <c r="DW168" s="128"/>
      <c r="DX168" s="128"/>
      <c r="DY168" s="128"/>
      <c r="DZ168" s="128"/>
      <c r="EA168" s="128"/>
      <c r="EB168" s="128"/>
      <c r="EC168" s="128"/>
      <c r="ED168" s="128"/>
      <c r="EE168" s="128"/>
      <c r="EF168" s="128"/>
      <c r="EG168" s="128"/>
      <c r="EH168" s="128"/>
      <c r="EI168" s="128"/>
      <c r="EJ168" s="128"/>
      <c r="EK168" s="128"/>
      <c r="EL168" s="128"/>
      <c r="EM168" s="128"/>
      <c r="EN168" s="128"/>
      <c r="EO168" s="128"/>
      <c r="EP168" s="128"/>
      <c r="EQ168" s="128"/>
      <c r="ER168" s="128"/>
      <c r="ES168" s="128"/>
      <c r="ET168" s="128"/>
      <c r="EU168" s="128"/>
      <c r="EV168" s="128"/>
      <c r="EW168" s="128"/>
      <c r="EX168" s="128"/>
      <c r="EY168" s="128"/>
      <c r="EZ168" s="128"/>
      <c r="FA168" s="128"/>
      <c r="FB168" s="128"/>
      <c r="FC168" s="128"/>
      <c r="FD168" s="128"/>
      <c r="FE168" s="128"/>
      <c r="FF168" s="128"/>
      <c r="FG168" s="128"/>
      <c r="FH168" s="128"/>
      <c r="FI168" s="128"/>
      <c r="FJ168" s="128"/>
      <c r="FK168" s="128"/>
      <c r="FL168" s="128"/>
      <c r="FM168" s="128"/>
      <c r="FN168" s="128"/>
      <c r="FO168" s="128"/>
      <c r="FP168" s="128"/>
      <c r="FQ168" s="128"/>
      <c r="FR168" s="128"/>
      <c r="FS168" s="128"/>
      <c r="FT168" s="128"/>
      <c r="FU168" s="128"/>
      <c r="FV168" s="128"/>
      <c r="FW168" s="128"/>
      <c r="FX168" s="128"/>
      <c r="FY168" s="128"/>
      <c r="FZ168" s="128"/>
      <c r="GA168" s="128"/>
      <c r="GB168" s="128"/>
      <c r="GC168" s="128"/>
      <c r="GD168" s="128"/>
      <c r="GE168" s="128"/>
      <c r="GF168" s="128"/>
      <c r="GG168" s="128"/>
      <c r="GH168" s="128"/>
      <c r="GI168" s="128"/>
      <c r="GJ168" s="128"/>
      <c r="GK168" s="128"/>
      <c r="GL168" s="128"/>
      <c r="GM168" s="128"/>
      <c r="GN168" s="128"/>
      <c r="GO168" s="128"/>
      <c r="GP168" s="128"/>
      <c r="GQ168" s="128"/>
      <c r="GR168" s="128"/>
      <c r="GS168" s="128"/>
      <c r="GT168" s="128"/>
      <c r="GU168" s="128"/>
      <c r="GV168" s="128"/>
      <c r="GW168" s="128"/>
      <c r="GX168" s="128"/>
      <c r="GY168" s="128"/>
      <c r="GZ168" s="128"/>
      <c r="HA168" s="128"/>
      <c r="HB168" s="128"/>
      <c r="HC168" s="128"/>
    </row>
    <row r="169" spans="1:211" x14ac:dyDescent="0.25">
      <c r="A169" s="122"/>
      <c r="AD169" s="120"/>
      <c r="BF169" s="120"/>
    </row>
    <row r="170" spans="1:211" x14ac:dyDescent="0.25">
      <c r="A170" s="122"/>
      <c r="AD170" s="120"/>
      <c r="BF170" s="120"/>
    </row>
    <row r="171" spans="1:211" x14ac:dyDescent="0.25">
      <c r="A171" s="122"/>
      <c r="AD171" s="120"/>
      <c r="BF171" s="120"/>
    </row>
    <row r="172" spans="1:211" s="128" customFormat="1" x14ac:dyDescent="0.25">
      <c r="A172" s="122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0"/>
      <c r="AQ172" s="120"/>
      <c r="AR172" s="120"/>
      <c r="AS172" s="120"/>
      <c r="AT172" s="120"/>
      <c r="AU172" s="120"/>
      <c r="AV172" s="120"/>
      <c r="AW172" s="120"/>
      <c r="AX172" s="120"/>
      <c r="AY172" s="120"/>
      <c r="AZ172" s="120"/>
      <c r="BA172" s="120"/>
      <c r="BB172" s="120"/>
      <c r="BC172" s="120"/>
      <c r="BD172" s="120"/>
      <c r="BE172" s="120"/>
      <c r="BF172" s="120"/>
      <c r="BG172" s="120"/>
      <c r="BH172" s="120"/>
      <c r="BI172" s="120"/>
      <c r="BJ172" s="120"/>
      <c r="BK172" s="120"/>
      <c r="BL172" s="120"/>
      <c r="BM172" s="120"/>
      <c r="BN172" s="120"/>
      <c r="BO172" s="120"/>
      <c r="BP172" s="120"/>
      <c r="BQ172" s="120"/>
      <c r="BR172" s="120"/>
      <c r="BS172" s="120"/>
      <c r="BT172" s="120"/>
      <c r="BU172" s="120"/>
      <c r="BV172" s="120"/>
      <c r="BW172" s="120"/>
      <c r="BX172" s="120"/>
      <c r="BY172" s="120"/>
      <c r="BZ172" s="120"/>
      <c r="CA172" s="120"/>
      <c r="CB172" s="120"/>
      <c r="CC172" s="120"/>
      <c r="CD172" s="120"/>
      <c r="CE172" s="120"/>
      <c r="CF172" s="120"/>
      <c r="CG172" s="120"/>
      <c r="CH172" s="120"/>
      <c r="CI172" s="120"/>
      <c r="CJ172" s="120"/>
      <c r="CK172" s="120"/>
      <c r="CL172" s="120"/>
      <c r="CM172" s="120"/>
      <c r="CN172" s="120"/>
      <c r="CO172" s="120"/>
      <c r="CP172" s="120"/>
      <c r="CQ172" s="120"/>
      <c r="CR172" s="120"/>
      <c r="CS172" s="120"/>
      <c r="CT172" s="120"/>
      <c r="CU172" s="120"/>
      <c r="CV172" s="120"/>
      <c r="CW172" s="120"/>
      <c r="CX172" s="120"/>
      <c r="CY172" s="120"/>
      <c r="CZ172" s="120"/>
      <c r="DA172" s="120"/>
      <c r="DB172" s="120"/>
      <c r="DC172" s="120"/>
      <c r="DD172" s="120"/>
      <c r="DE172" s="120"/>
      <c r="DF172" s="120"/>
      <c r="DG172" s="120"/>
      <c r="DH172" s="120"/>
      <c r="DI172" s="120"/>
      <c r="DJ172" s="120"/>
      <c r="DK172" s="120"/>
      <c r="DL172" s="120"/>
      <c r="DM172" s="120"/>
      <c r="DN172" s="120"/>
      <c r="DO172" s="120"/>
      <c r="DP172" s="120"/>
      <c r="DQ172" s="120"/>
      <c r="DR172" s="120"/>
      <c r="DS172" s="120"/>
      <c r="DT172" s="120"/>
      <c r="DU172" s="120"/>
      <c r="DV172" s="120"/>
      <c r="DW172" s="120"/>
      <c r="DX172" s="120"/>
      <c r="DY172" s="120"/>
      <c r="DZ172" s="120"/>
      <c r="EA172" s="120"/>
      <c r="EB172" s="120"/>
      <c r="EC172" s="120"/>
      <c r="ED172" s="120"/>
      <c r="EE172" s="120"/>
      <c r="EF172" s="120"/>
      <c r="EG172" s="120"/>
      <c r="EH172" s="120"/>
      <c r="EI172" s="120"/>
      <c r="EJ172" s="120"/>
      <c r="EK172" s="120"/>
      <c r="EL172" s="120"/>
      <c r="EM172" s="120"/>
      <c r="EN172" s="120"/>
      <c r="EO172" s="120"/>
      <c r="EP172" s="120"/>
      <c r="EQ172" s="120"/>
      <c r="ER172" s="120"/>
      <c r="ES172" s="120"/>
      <c r="ET172" s="120"/>
      <c r="EU172" s="120"/>
      <c r="EV172" s="120"/>
      <c r="EW172" s="120"/>
      <c r="EX172" s="120"/>
      <c r="EY172" s="120"/>
      <c r="EZ172" s="120"/>
      <c r="FA172" s="120"/>
      <c r="FB172" s="120"/>
      <c r="FC172" s="120"/>
      <c r="FD172" s="120"/>
      <c r="FE172" s="120"/>
      <c r="FF172" s="120"/>
      <c r="FG172" s="120"/>
      <c r="FH172" s="120"/>
      <c r="FI172" s="120"/>
      <c r="FJ172" s="120"/>
      <c r="FK172" s="120"/>
      <c r="FL172" s="120"/>
      <c r="FM172" s="120"/>
      <c r="FN172" s="120"/>
      <c r="FO172" s="120"/>
      <c r="FP172" s="120"/>
      <c r="FQ172" s="120"/>
      <c r="FR172" s="120"/>
      <c r="FS172" s="120"/>
      <c r="FT172" s="120"/>
      <c r="FU172" s="120"/>
      <c r="FV172" s="120"/>
      <c r="FW172" s="120"/>
      <c r="FX172" s="120"/>
      <c r="FY172" s="120"/>
      <c r="FZ172" s="120"/>
      <c r="GA172" s="120"/>
      <c r="GB172" s="120"/>
      <c r="GC172" s="120"/>
      <c r="GD172" s="120"/>
      <c r="GE172" s="120"/>
      <c r="GF172" s="120"/>
      <c r="GG172" s="120"/>
      <c r="GH172" s="120"/>
      <c r="GI172" s="120"/>
      <c r="GJ172" s="120"/>
      <c r="GK172" s="120"/>
      <c r="GL172" s="120"/>
      <c r="GM172" s="120"/>
      <c r="GN172" s="120"/>
      <c r="GO172" s="120"/>
      <c r="GP172" s="120"/>
      <c r="GQ172" s="120"/>
      <c r="GR172" s="120"/>
      <c r="GS172" s="120"/>
      <c r="GT172" s="120"/>
      <c r="GU172" s="120"/>
      <c r="GV172" s="120"/>
      <c r="GW172" s="120"/>
      <c r="GX172" s="120"/>
      <c r="GY172" s="120"/>
      <c r="GZ172" s="120"/>
      <c r="HA172" s="120"/>
      <c r="HB172" s="120"/>
      <c r="HC172" s="120"/>
    </row>
    <row r="173" spans="1:211" x14ac:dyDescent="0.25">
      <c r="A173" s="122"/>
      <c r="AD173" s="120"/>
      <c r="BF173" s="120"/>
      <c r="CJ173" s="128"/>
      <c r="CK173" s="128"/>
      <c r="CL173" s="128"/>
      <c r="CM173" s="128"/>
      <c r="CN173" s="128"/>
      <c r="CO173" s="128"/>
      <c r="CP173" s="128"/>
      <c r="CQ173" s="128"/>
      <c r="CR173" s="128"/>
      <c r="CS173" s="128"/>
      <c r="CT173" s="128"/>
      <c r="CU173" s="128"/>
      <c r="CV173" s="128"/>
      <c r="CW173" s="128"/>
      <c r="CX173" s="128"/>
      <c r="CY173" s="128"/>
      <c r="CZ173" s="128"/>
      <c r="DA173" s="128"/>
      <c r="DB173" s="128"/>
      <c r="DC173" s="128"/>
      <c r="DD173" s="128"/>
      <c r="DE173" s="128"/>
      <c r="DF173" s="128"/>
      <c r="DG173" s="128"/>
      <c r="DH173" s="128"/>
      <c r="DI173" s="128"/>
      <c r="DJ173" s="128"/>
      <c r="DK173" s="128"/>
      <c r="DL173" s="128"/>
      <c r="DM173" s="128"/>
      <c r="DN173" s="128"/>
      <c r="DO173" s="128"/>
      <c r="DP173" s="128"/>
      <c r="DQ173" s="128"/>
      <c r="DR173" s="128"/>
      <c r="DS173" s="128"/>
      <c r="DT173" s="128"/>
      <c r="DU173" s="128"/>
      <c r="DV173" s="128"/>
      <c r="DW173" s="128"/>
      <c r="DX173" s="128"/>
      <c r="DY173" s="128"/>
      <c r="DZ173" s="128"/>
      <c r="EA173" s="128"/>
      <c r="EB173" s="128"/>
      <c r="EC173" s="128"/>
      <c r="ED173" s="128"/>
      <c r="EE173" s="128"/>
      <c r="EF173" s="128"/>
      <c r="EG173" s="128"/>
      <c r="EH173" s="128"/>
      <c r="EI173" s="128"/>
      <c r="EJ173" s="128"/>
      <c r="EK173" s="128"/>
      <c r="EL173" s="128"/>
      <c r="EM173" s="128"/>
      <c r="EN173" s="128"/>
      <c r="EO173" s="128"/>
      <c r="EP173" s="128"/>
      <c r="EQ173" s="128"/>
      <c r="ER173" s="128"/>
      <c r="ES173" s="128"/>
      <c r="ET173" s="128"/>
      <c r="EU173" s="128"/>
      <c r="EV173" s="128"/>
      <c r="EW173" s="128"/>
      <c r="EX173" s="128"/>
      <c r="EY173" s="128"/>
      <c r="EZ173" s="128"/>
      <c r="FA173" s="128"/>
      <c r="FB173" s="128"/>
      <c r="FC173" s="128"/>
      <c r="FD173" s="128"/>
      <c r="FE173" s="128"/>
      <c r="FF173" s="128"/>
      <c r="FG173" s="128"/>
      <c r="FH173" s="128"/>
      <c r="FI173" s="128"/>
      <c r="FJ173" s="128"/>
      <c r="FK173" s="128"/>
      <c r="FL173" s="128"/>
      <c r="FM173" s="128"/>
      <c r="FN173" s="128"/>
      <c r="FO173" s="128"/>
      <c r="FP173" s="128"/>
      <c r="FQ173" s="128"/>
      <c r="FR173" s="128"/>
      <c r="FS173" s="128"/>
      <c r="FT173" s="128"/>
      <c r="FU173" s="128"/>
      <c r="FV173" s="128"/>
      <c r="FW173" s="128"/>
      <c r="FX173" s="128"/>
      <c r="FY173" s="128"/>
      <c r="FZ173" s="128"/>
      <c r="GA173" s="128"/>
      <c r="GB173" s="128"/>
      <c r="GC173" s="128"/>
      <c r="GD173" s="128"/>
      <c r="GE173" s="128"/>
      <c r="GF173" s="128"/>
      <c r="GG173" s="128"/>
      <c r="GH173" s="128"/>
      <c r="GI173" s="128"/>
      <c r="GJ173" s="128"/>
      <c r="GK173" s="128"/>
      <c r="GL173" s="128"/>
      <c r="GM173" s="128"/>
      <c r="GN173" s="128"/>
      <c r="GO173" s="128"/>
      <c r="GP173" s="128"/>
      <c r="GQ173" s="128"/>
      <c r="GR173" s="128"/>
      <c r="GS173" s="128"/>
      <c r="GT173" s="128"/>
      <c r="GU173" s="128"/>
      <c r="GV173" s="128"/>
      <c r="GW173" s="128"/>
      <c r="GX173" s="128"/>
      <c r="GY173" s="128"/>
      <c r="GZ173" s="128"/>
      <c r="HA173" s="128"/>
      <c r="HB173" s="128"/>
      <c r="HC173" s="128"/>
    </row>
    <row r="174" spans="1:211" x14ac:dyDescent="0.25">
      <c r="A174" s="122"/>
      <c r="AD174" s="120"/>
      <c r="BF174" s="120"/>
    </row>
    <row r="175" spans="1:211" x14ac:dyDescent="0.25">
      <c r="A175" s="122"/>
      <c r="AD175" s="120"/>
      <c r="BF175" s="120"/>
    </row>
    <row r="176" spans="1:211" x14ac:dyDescent="0.25">
      <c r="A176" s="122"/>
      <c r="AD176" s="120"/>
      <c r="BF176" s="120"/>
    </row>
    <row r="177" spans="1:211" s="128" customFormat="1" x14ac:dyDescent="0.25">
      <c r="A177" s="122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  <c r="AO177" s="120"/>
      <c r="AP177" s="120"/>
      <c r="AQ177" s="120"/>
      <c r="AR177" s="120"/>
      <c r="AS177" s="120"/>
      <c r="AT177" s="120"/>
      <c r="AU177" s="120"/>
      <c r="AV177" s="120"/>
      <c r="AW177" s="120"/>
      <c r="AX177" s="120"/>
      <c r="AY177" s="120"/>
      <c r="AZ177" s="120"/>
      <c r="BA177" s="120"/>
      <c r="BB177" s="120"/>
      <c r="BC177" s="120"/>
      <c r="BD177" s="120"/>
      <c r="BE177" s="120"/>
      <c r="BF177" s="120"/>
      <c r="BG177" s="120"/>
      <c r="BH177" s="120"/>
      <c r="BI177" s="120"/>
      <c r="BJ177" s="120"/>
      <c r="BK177" s="120"/>
      <c r="BL177" s="120"/>
      <c r="BM177" s="120"/>
      <c r="BN177" s="120"/>
      <c r="BO177" s="120"/>
      <c r="BP177" s="120"/>
      <c r="BQ177" s="120"/>
      <c r="BR177" s="120"/>
      <c r="BS177" s="120"/>
      <c r="BT177" s="120"/>
      <c r="BU177" s="120"/>
      <c r="BV177" s="120"/>
      <c r="BW177" s="120"/>
      <c r="BX177" s="120"/>
      <c r="BY177" s="120"/>
      <c r="BZ177" s="120"/>
      <c r="CA177" s="120"/>
      <c r="CB177" s="120"/>
      <c r="CC177" s="120"/>
      <c r="CD177" s="120"/>
      <c r="CE177" s="120"/>
      <c r="CF177" s="120"/>
      <c r="CG177" s="120"/>
      <c r="CH177" s="120"/>
      <c r="CI177" s="120"/>
      <c r="CJ177" s="120"/>
      <c r="CK177" s="120"/>
      <c r="CL177" s="120"/>
      <c r="CM177" s="120"/>
      <c r="CN177" s="120"/>
      <c r="CO177" s="120"/>
      <c r="CP177" s="120"/>
      <c r="CQ177" s="120"/>
      <c r="CR177" s="120"/>
      <c r="CS177" s="120"/>
      <c r="CT177" s="120"/>
      <c r="CU177" s="120"/>
      <c r="CV177" s="120"/>
      <c r="CW177" s="120"/>
      <c r="CX177" s="120"/>
      <c r="CY177" s="120"/>
      <c r="CZ177" s="120"/>
      <c r="DA177" s="120"/>
      <c r="DB177" s="120"/>
      <c r="DC177" s="120"/>
      <c r="DD177" s="120"/>
      <c r="DE177" s="120"/>
      <c r="DF177" s="120"/>
      <c r="DG177" s="120"/>
      <c r="DH177" s="120"/>
      <c r="DI177" s="120"/>
      <c r="DJ177" s="120"/>
      <c r="DK177" s="120"/>
      <c r="DL177" s="120"/>
      <c r="DM177" s="120"/>
      <c r="DN177" s="120"/>
      <c r="DO177" s="120"/>
      <c r="DP177" s="120"/>
      <c r="DQ177" s="120"/>
      <c r="DR177" s="120"/>
      <c r="DS177" s="120"/>
      <c r="DT177" s="120"/>
      <c r="DU177" s="120"/>
      <c r="DV177" s="120"/>
      <c r="DW177" s="120"/>
      <c r="DX177" s="120"/>
      <c r="DY177" s="120"/>
      <c r="DZ177" s="120"/>
      <c r="EA177" s="120"/>
      <c r="EB177" s="120"/>
      <c r="EC177" s="120"/>
      <c r="ED177" s="120"/>
      <c r="EE177" s="120"/>
      <c r="EF177" s="120"/>
      <c r="EG177" s="120"/>
      <c r="EH177" s="120"/>
      <c r="EI177" s="120"/>
      <c r="EJ177" s="120"/>
      <c r="EK177" s="120"/>
      <c r="EL177" s="120"/>
      <c r="EM177" s="120"/>
      <c r="EN177" s="120"/>
      <c r="EO177" s="120"/>
      <c r="EP177" s="120"/>
      <c r="EQ177" s="120"/>
      <c r="ER177" s="120"/>
      <c r="ES177" s="120"/>
      <c r="ET177" s="120"/>
      <c r="EU177" s="120"/>
      <c r="EV177" s="120"/>
      <c r="EW177" s="120"/>
      <c r="EX177" s="120"/>
      <c r="EY177" s="120"/>
      <c r="EZ177" s="120"/>
      <c r="FA177" s="120"/>
      <c r="FB177" s="120"/>
      <c r="FC177" s="120"/>
      <c r="FD177" s="120"/>
      <c r="FE177" s="120"/>
      <c r="FF177" s="120"/>
      <c r="FG177" s="120"/>
      <c r="FH177" s="120"/>
      <c r="FI177" s="120"/>
      <c r="FJ177" s="120"/>
      <c r="FK177" s="120"/>
      <c r="FL177" s="120"/>
      <c r="FM177" s="120"/>
      <c r="FN177" s="120"/>
      <c r="FO177" s="120"/>
      <c r="FP177" s="120"/>
      <c r="FQ177" s="120"/>
      <c r="FR177" s="120"/>
      <c r="FS177" s="120"/>
      <c r="FT177" s="120"/>
      <c r="FU177" s="120"/>
      <c r="FV177" s="120"/>
      <c r="FW177" s="120"/>
      <c r="FX177" s="120"/>
      <c r="FY177" s="120"/>
      <c r="FZ177" s="120"/>
      <c r="GA177" s="120"/>
      <c r="GB177" s="120"/>
      <c r="GC177" s="120"/>
      <c r="GD177" s="120"/>
      <c r="GE177" s="120"/>
      <c r="GF177" s="120"/>
      <c r="GG177" s="120"/>
      <c r="GH177" s="120"/>
      <c r="GI177" s="120"/>
      <c r="GJ177" s="120"/>
      <c r="GK177" s="120"/>
      <c r="GL177" s="120"/>
      <c r="GM177" s="120"/>
      <c r="GN177" s="120"/>
      <c r="GO177" s="120"/>
      <c r="GP177" s="120"/>
      <c r="GQ177" s="120"/>
      <c r="GR177" s="120"/>
      <c r="GS177" s="120"/>
      <c r="GT177" s="120"/>
      <c r="GU177" s="120"/>
      <c r="GV177" s="120"/>
      <c r="GW177" s="120"/>
      <c r="GX177" s="120"/>
      <c r="GY177" s="120"/>
      <c r="GZ177" s="120"/>
      <c r="HA177" s="120"/>
      <c r="HB177" s="120"/>
      <c r="HC177" s="120"/>
    </row>
    <row r="178" spans="1:211" x14ac:dyDescent="0.25">
      <c r="A178" s="122"/>
      <c r="AD178" s="120"/>
      <c r="BF178" s="120"/>
      <c r="CJ178" s="128"/>
      <c r="CK178" s="128"/>
      <c r="CL178" s="128"/>
      <c r="CM178" s="128"/>
      <c r="CN178" s="128"/>
      <c r="CO178" s="128"/>
      <c r="CP178" s="128"/>
      <c r="CQ178" s="128"/>
      <c r="CR178" s="128"/>
      <c r="CS178" s="128"/>
      <c r="CT178" s="128"/>
      <c r="CU178" s="128"/>
      <c r="CV178" s="128"/>
      <c r="CW178" s="128"/>
      <c r="CX178" s="128"/>
      <c r="CY178" s="128"/>
      <c r="CZ178" s="128"/>
      <c r="DA178" s="128"/>
      <c r="DB178" s="128"/>
      <c r="DC178" s="128"/>
      <c r="DD178" s="128"/>
      <c r="DE178" s="128"/>
      <c r="DF178" s="128"/>
      <c r="DG178" s="128"/>
      <c r="DH178" s="128"/>
      <c r="DI178" s="128"/>
      <c r="DJ178" s="128"/>
      <c r="DK178" s="128"/>
      <c r="DL178" s="128"/>
      <c r="DM178" s="128"/>
      <c r="DN178" s="128"/>
      <c r="DO178" s="128"/>
      <c r="DP178" s="128"/>
      <c r="DQ178" s="128"/>
      <c r="DR178" s="128"/>
      <c r="DS178" s="128"/>
      <c r="DT178" s="128"/>
      <c r="DU178" s="128"/>
      <c r="DV178" s="128"/>
      <c r="DW178" s="128"/>
      <c r="DX178" s="128"/>
      <c r="DY178" s="128"/>
      <c r="DZ178" s="128"/>
      <c r="EA178" s="128"/>
      <c r="EB178" s="128"/>
      <c r="EC178" s="128"/>
      <c r="ED178" s="128"/>
      <c r="EE178" s="128"/>
      <c r="EF178" s="128"/>
      <c r="EG178" s="128"/>
      <c r="EH178" s="128"/>
      <c r="EI178" s="128"/>
      <c r="EJ178" s="128"/>
      <c r="EK178" s="128"/>
      <c r="EL178" s="128"/>
      <c r="EM178" s="128"/>
      <c r="EN178" s="128"/>
      <c r="EO178" s="128"/>
      <c r="EP178" s="128"/>
      <c r="EQ178" s="128"/>
      <c r="ER178" s="128"/>
      <c r="ES178" s="128"/>
      <c r="ET178" s="128"/>
      <c r="EU178" s="128"/>
      <c r="EV178" s="128"/>
      <c r="EW178" s="128"/>
      <c r="EX178" s="128"/>
      <c r="EY178" s="128"/>
      <c r="EZ178" s="128"/>
      <c r="FA178" s="128"/>
      <c r="FB178" s="128"/>
      <c r="FC178" s="128"/>
      <c r="FD178" s="128"/>
      <c r="FE178" s="128"/>
      <c r="FF178" s="128"/>
      <c r="FG178" s="128"/>
      <c r="FH178" s="128"/>
      <c r="FI178" s="128"/>
      <c r="FJ178" s="128"/>
      <c r="FK178" s="128"/>
      <c r="FL178" s="128"/>
      <c r="FM178" s="128"/>
      <c r="FN178" s="128"/>
      <c r="FO178" s="128"/>
      <c r="FP178" s="128"/>
      <c r="FQ178" s="128"/>
      <c r="FR178" s="128"/>
      <c r="FS178" s="128"/>
      <c r="FT178" s="128"/>
      <c r="FU178" s="128"/>
      <c r="FV178" s="128"/>
      <c r="FW178" s="128"/>
      <c r="FX178" s="128"/>
      <c r="FY178" s="128"/>
      <c r="FZ178" s="128"/>
      <c r="GA178" s="128"/>
      <c r="GB178" s="128"/>
      <c r="GC178" s="128"/>
      <c r="GD178" s="128"/>
      <c r="GE178" s="128"/>
      <c r="GF178" s="128"/>
      <c r="GG178" s="128"/>
      <c r="GH178" s="128"/>
      <c r="GI178" s="128"/>
      <c r="GJ178" s="128"/>
      <c r="GK178" s="128"/>
      <c r="GL178" s="128"/>
      <c r="GM178" s="128"/>
      <c r="GN178" s="128"/>
      <c r="GO178" s="128"/>
      <c r="GP178" s="128"/>
      <c r="GQ178" s="128"/>
      <c r="GR178" s="128"/>
      <c r="GS178" s="128"/>
      <c r="GT178" s="128"/>
      <c r="GU178" s="128"/>
      <c r="GV178" s="128"/>
      <c r="GW178" s="128"/>
      <c r="GX178" s="128"/>
      <c r="GY178" s="128"/>
      <c r="GZ178" s="128"/>
      <c r="HA178" s="128"/>
      <c r="HB178" s="128"/>
      <c r="HC178" s="128"/>
    </row>
    <row r="179" spans="1:211" x14ac:dyDescent="0.25">
      <c r="A179" s="122"/>
      <c r="AD179" s="120"/>
      <c r="BF179" s="120"/>
    </row>
    <row r="180" spans="1:211" x14ac:dyDescent="0.25">
      <c r="A180" s="122"/>
      <c r="AD180" s="120"/>
      <c r="BF180" s="120"/>
    </row>
    <row r="181" spans="1:211" x14ac:dyDescent="0.25">
      <c r="A181" s="122"/>
      <c r="AD181" s="120"/>
      <c r="BF181" s="120"/>
    </row>
    <row r="182" spans="1:211" s="128" customFormat="1" x14ac:dyDescent="0.25">
      <c r="A182" s="122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  <c r="AP182" s="120"/>
      <c r="AQ182" s="120"/>
      <c r="AR182" s="120"/>
      <c r="AS182" s="120"/>
      <c r="AT182" s="120"/>
      <c r="AU182" s="120"/>
      <c r="AV182" s="120"/>
      <c r="AW182" s="120"/>
      <c r="AX182" s="120"/>
      <c r="AY182" s="120"/>
      <c r="AZ182" s="120"/>
      <c r="BA182" s="120"/>
      <c r="BB182" s="120"/>
      <c r="BC182" s="120"/>
      <c r="BD182" s="120"/>
      <c r="BE182" s="120"/>
      <c r="BF182" s="120"/>
      <c r="BG182" s="120"/>
      <c r="BH182" s="120"/>
      <c r="BI182" s="120"/>
      <c r="BJ182" s="120"/>
      <c r="BK182" s="120"/>
      <c r="BL182" s="120"/>
      <c r="BM182" s="120"/>
      <c r="BN182" s="120"/>
      <c r="BO182" s="120"/>
      <c r="BP182" s="120"/>
      <c r="BQ182" s="120"/>
      <c r="BR182" s="120"/>
      <c r="BS182" s="120"/>
      <c r="BT182" s="120"/>
      <c r="BU182" s="120"/>
      <c r="BV182" s="120"/>
      <c r="BW182" s="120"/>
      <c r="BX182" s="120"/>
      <c r="BY182" s="120"/>
      <c r="BZ182" s="120"/>
      <c r="CA182" s="120"/>
      <c r="CB182" s="120"/>
      <c r="CC182" s="120"/>
      <c r="CD182" s="120"/>
      <c r="CE182" s="120"/>
      <c r="CF182" s="120"/>
      <c r="CG182" s="120"/>
      <c r="CH182" s="120"/>
      <c r="CI182" s="120"/>
      <c r="CJ182" s="120"/>
      <c r="CK182" s="120"/>
      <c r="CL182" s="120"/>
      <c r="CM182" s="120"/>
      <c r="CN182" s="120"/>
      <c r="CO182" s="120"/>
      <c r="CP182" s="120"/>
      <c r="CQ182" s="120"/>
      <c r="CR182" s="120"/>
      <c r="CS182" s="120"/>
      <c r="CT182" s="120"/>
      <c r="CU182" s="120"/>
      <c r="CV182" s="120"/>
      <c r="CW182" s="120"/>
      <c r="CX182" s="120"/>
      <c r="CY182" s="120"/>
      <c r="CZ182" s="120"/>
      <c r="DA182" s="120"/>
      <c r="DB182" s="120"/>
      <c r="DC182" s="120"/>
      <c r="DD182" s="120"/>
      <c r="DE182" s="120"/>
      <c r="DF182" s="120"/>
      <c r="DG182" s="120"/>
      <c r="DH182" s="120"/>
      <c r="DI182" s="120"/>
      <c r="DJ182" s="120"/>
      <c r="DK182" s="120"/>
      <c r="DL182" s="120"/>
      <c r="DM182" s="120"/>
      <c r="DN182" s="120"/>
      <c r="DO182" s="120"/>
      <c r="DP182" s="120"/>
      <c r="DQ182" s="120"/>
      <c r="DR182" s="120"/>
      <c r="DS182" s="120"/>
      <c r="DT182" s="120"/>
      <c r="DU182" s="120"/>
      <c r="DV182" s="120"/>
      <c r="DW182" s="120"/>
      <c r="DX182" s="120"/>
      <c r="DY182" s="120"/>
      <c r="DZ182" s="120"/>
      <c r="EA182" s="120"/>
      <c r="EB182" s="120"/>
      <c r="EC182" s="120"/>
      <c r="ED182" s="120"/>
      <c r="EE182" s="120"/>
      <c r="EF182" s="120"/>
      <c r="EG182" s="120"/>
      <c r="EH182" s="120"/>
      <c r="EI182" s="120"/>
      <c r="EJ182" s="120"/>
      <c r="EK182" s="120"/>
      <c r="EL182" s="120"/>
      <c r="EM182" s="120"/>
      <c r="EN182" s="120"/>
      <c r="EO182" s="120"/>
      <c r="EP182" s="120"/>
      <c r="EQ182" s="120"/>
      <c r="ER182" s="120"/>
      <c r="ES182" s="120"/>
      <c r="ET182" s="120"/>
      <c r="EU182" s="120"/>
      <c r="EV182" s="120"/>
      <c r="EW182" s="120"/>
      <c r="EX182" s="120"/>
      <c r="EY182" s="120"/>
      <c r="EZ182" s="120"/>
      <c r="FA182" s="120"/>
      <c r="FB182" s="120"/>
      <c r="FC182" s="120"/>
      <c r="FD182" s="120"/>
      <c r="FE182" s="120"/>
      <c r="FF182" s="120"/>
      <c r="FG182" s="120"/>
      <c r="FH182" s="120"/>
      <c r="FI182" s="120"/>
      <c r="FJ182" s="120"/>
      <c r="FK182" s="120"/>
      <c r="FL182" s="120"/>
      <c r="FM182" s="120"/>
      <c r="FN182" s="120"/>
      <c r="FO182" s="120"/>
      <c r="FP182" s="120"/>
      <c r="FQ182" s="120"/>
      <c r="FR182" s="120"/>
      <c r="FS182" s="120"/>
      <c r="FT182" s="120"/>
      <c r="FU182" s="120"/>
      <c r="FV182" s="120"/>
      <c r="FW182" s="120"/>
      <c r="FX182" s="120"/>
      <c r="FY182" s="120"/>
      <c r="FZ182" s="120"/>
      <c r="GA182" s="120"/>
      <c r="GB182" s="120"/>
      <c r="GC182" s="120"/>
      <c r="GD182" s="120"/>
      <c r="GE182" s="120"/>
      <c r="GF182" s="120"/>
      <c r="GG182" s="120"/>
      <c r="GH182" s="120"/>
      <c r="GI182" s="120"/>
      <c r="GJ182" s="120"/>
      <c r="GK182" s="120"/>
      <c r="GL182" s="120"/>
      <c r="GM182" s="120"/>
      <c r="GN182" s="120"/>
      <c r="GO182" s="120"/>
      <c r="GP182" s="120"/>
      <c r="GQ182" s="120"/>
      <c r="GR182" s="120"/>
      <c r="GS182" s="120"/>
      <c r="GT182" s="120"/>
      <c r="GU182" s="120"/>
      <c r="GV182" s="120"/>
      <c r="GW182" s="120"/>
      <c r="GX182" s="120"/>
      <c r="GY182" s="120"/>
      <c r="GZ182" s="120"/>
      <c r="HA182" s="120"/>
      <c r="HB182" s="120"/>
      <c r="HC182" s="120"/>
    </row>
    <row r="183" spans="1:211" x14ac:dyDescent="0.25">
      <c r="A183" s="122"/>
      <c r="AD183" s="120"/>
      <c r="BF183" s="120"/>
      <c r="CJ183" s="128"/>
      <c r="CK183" s="128"/>
      <c r="CL183" s="128"/>
      <c r="CM183" s="128"/>
      <c r="CN183" s="128"/>
      <c r="CO183" s="128"/>
      <c r="CP183" s="128"/>
      <c r="CQ183" s="128"/>
      <c r="CR183" s="128"/>
      <c r="CS183" s="128"/>
      <c r="CT183" s="128"/>
      <c r="CU183" s="128"/>
      <c r="CV183" s="128"/>
      <c r="CW183" s="128"/>
      <c r="CX183" s="128"/>
      <c r="CY183" s="128"/>
      <c r="CZ183" s="128"/>
      <c r="DA183" s="128"/>
      <c r="DB183" s="128"/>
      <c r="DC183" s="128"/>
      <c r="DD183" s="128"/>
      <c r="DE183" s="128"/>
      <c r="DF183" s="128"/>
      <c r="DG183" s="128"/>
      <c r="DH183" s="128"/>
      <c r="DI183" s="128"/>
      <c r="DJ183" s="128"/>
      <c r="DK183" s="128"/>
      <c r="DL183" s="128"/>
      <c r="DM183" s="128"/>
      <c r="DN183" s="128"/>
      <c r="DO183" s="128"/>
      <c r="DP183" s="128"/>
      <c r="DQ183" s="128"/>
      <c r="DR183" s="128"/>
      <c r="DS183" s="128"/>
      <c r="DT183" s="128"/>
      <c r="DU183" s="128"/>
      <c r="DV183" s="128"/>
      <c r="DW183" s="128"/>
      <c r="DX183" s="128"/>
      <c r="DY183" s="128"/>
      <c r="DZ183" s="128"/>
      <c r="EA183" s="128"/>
      <c r="EB183" s="128"/>
      <c r="EC183" s="128"/>
      <c r="ED183" s="128"/>
      <c r="EE183" s="128"/>
      <c r="EF183" s="128"/>
      <c r="EG183" s="128"/>
      <c r="EH183" s="128"/>
      <c r="EI183" s="128"/>
      <c r="EJ183" s="128"/>
      <c r="EK183" s="128"/>
      <c r="EL183" s="128"/>
      <c r="EM183" s="128"/>
      <c r="EN183" s="128"/>
      <c r="EO183" s="128"/>
      <c r="EP183" s="128"/>
      <c r="EQ183" s="128"/>
      <c r="ER183" s="128"/>
      <c r="ES183" s="128"/>
      <c r="ET183" s="128"/>
      <c r="EU183" s="128"/>
      <c r="EV183" s="128"/>
      <c r="EW183" s="128"/>
      <c r="EX183" s="128"/>
      <c r="EY183" s="128"/>
      <c r="EZ183" s="128"/>
      <c r="FA183" s="128"/>
      <c r="FB183" s="128"/>
      <c r="FC183" s="128"/>
      <c r="FD183" s="128"/>
      <c r="FE183" s="128"/>
      <c r="FF183" s="128"/>
      <c r="FG183" s="128"/>
      <c r="FH183" s="128"/>
      <c r="FI183" s="128"/>
      <c r="FJ183" s="128"/>
      <c r="FK183" s="128"/>
      <c r="FL183" s="128"/>
      <c r="FM183" s="128"/>
      <c r="FN183" s="128"/>
      <c r="FO183" s="128"/>
      <c r="FP183" s="128"/>
      <c r="FQ183" s="128"/>
      <c r="FR183" s="128"/>
      <c r="FS183" s="128"/>
      <c r="FT183" s="128"/>
      <c r="FU183" s="128"/>
      <c r="FV183" s="128"/>
      <c r="FW183" s="128"/>
      <c r="FX183" s="128"/>
      <c r="FY183" s="128"/>
      <c r="FZ183" s="128"/>
      <c r="GA183" s="128"/>
      <c r="GB183" s="128"/>
      <c r="GC183" s="128"/>
      <c r="GD183" s="128"/>
      <c r="GE183" s="128"/>
      <c r="GF183" s="128"/>
      <c r="GG183" s="128"/>
      <c r="GH183" s="128"/>
      <c r="GI183" s="128"/>
      <c r="GJ183" s="128"/>
      <c r="GK183" s="128"/>
      <c r="GL183" s="128"/>
      <c r="GM183" s="128"/>
      <c r="GN183" s="128"/>
      <c r="GO183" s="128"/>
      <c r="GP183" s="128"/>
      <c r="GQ183" s="128"/>
      <c r="GR183" s="128"/>
      <c r="GS183" s="128"/>
      <c r="GT183" s="128"/>
      <c r="GU183" s="128"/>
      <c r="GV183" s="128"/>
      <c r="GW183" s="128"/>
      <c r="GX183" s="128"/>
      <c r="GY183" s="128"/>
      <c r="GZ183" s="128"/>
      <c r="HA183" s="128"/>
      <c r="HB183" s="128"/>
      <c r="HC183" s="128"/>
    </row>
    <row r="184" spans="1:211" x14ac:dyDescent="0.25">
      <c r="A184" s="122"/>
      <c r="AD184" s="120"/>
      <c r="BF184" s="120"/>
    </row>
    <row r="185" spans="1:211" x14ac:dyDescent="0.25">
      <c r="A185" s="122"/>
      <c r="AD185" s="120"/>
      <c r="BF185" s="120"/>
    </row>
    <row r="186" spans="1:211" x14ac:dyDescent="0.25">
      <c r="A186" s="122"/>
      <c r="AD186" s="120"/>
      <c r="BF186" s="120"/>
    </row>
    <row r="187" spans="1:211" s="128" customFormat="1" x14ac:dyDescent="0.25">
      <c r="A187" s="122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  <c r="AP187" s="120"/>
      <c r="AQ187" s="120"/>
      <c r="AR187" s="120"/>
      <c r="AS187" s="120"/>
      <c r="AT187" s="120"/>
      <c r="AU187" s="120"/>
      <c r="AV187" s="120"/>
      <c r="AW187" s="120"/>
      <c r="AX187" s="120"/>
      <c r="AY187" s="120"/>
      <c r="AZ187" s="120"/>
      <c r="BA187" s="120"/>
      <c r="BB187" s="120"/>
      <c r="BC187" s="120"/>
      <c r="BD187" s="120"/>
      <c r="BE187" s="120"/>
      <c r="BF187" s="120"/>
      <c r="BG187" s="120"/>
      <c r="BH187" s="120"/>
      <c r="BI187" s="120"/>
      <c r="BJ187" s="120"/>
      <c r="BK187" s="120"/>
      <c r="BL187" s="120"/>
      <c r="BM187" s="120"/>
      <c r="BN187" s="120"/>
      <c r="BO187" s="120"/>
      <c r="BP187" s="120"/>
      <c r="BQ187" s="120"/>
      <c r="BR187" s="120"/>
      <c r="BS187" s="120"/>
      <c r="BT187" s="120"/>
      <c r="BU187" s="120"/>
      <c r="BV187" s="120"/>
      <c r="BW187" s="120"/>
      <c r="BX187" s="120"/>
      <c r="BY187" s="120"/>
      <c r="BZ187" s="120"/>
      <c r="CA187" s="120"/>
      <c r="CB187" s="120"/>
      <c r="CC187" s="120"/>
      <c r="CD187" s="120"/>
      <c r="CE187" s="120"/>
      <c r="CF187" s="120"/>
      <c r="CG187" s="120"/>
      <c r="CH187" s="120"/>
      <c r="CI187" s="120"/>
      <c r="CJ187" s="120"/>
      <c r="CK187" s="120"/>
      <c r="CL187" s="120"/>
      <c r="CM187" s="120"/>
      <c r="CN187" s="120"/>
      <c r="CO187" s="120"/>
      <c r="CP187" s="120"/>
      <c r="CQ187" s="120"/>
      <c r="CR187" s="120"/>
      <c r="CS187" s="120"/>
      <c r="CT187" s="120"/>
      <c r="CU187" s="120"/>
      <c r="CV187" s="120"/>
      <c r="CW187" s="120"/>
      <c r="CX187" s="120"/>
      <c r="CY187" s="120"/>
      <c r="CZ187" s="120"/>
      <c r="DA187" s="120"/>
      <c r="DB187" s="120"/>
      <c r="DC187" s="120"/>
      <c r="DD187" s="120"/>
      <c r="DE187" s="120"/>
      <c r="DF187" s="120"/>
      <c r="DG187" s="120"/>
      <c r="DH187" s="120"/>
      <c r="DI187" s="120"/>
      <c r="DJ187" s="120"/>
      <c r="DK187" s="120"/>
      <c r="DL187" s="120"/>
      <c r="DM187" s="120"/>
      <c r="DN187" s="120"/>
      <c r="DO187" s="120"/>
      <c r="DP187" s="120"/>
      <c r="DQ187" s="120"/>
      <c r="DR187" s="120"/>
      <c r="DS187" s="120"/>
      <c r="DT187" s="120"/>
      <c r="DU187" s="120"/>
      <c r="DV187" s="120"/>
      <c r="DW187" s="120"/>
      <c r="DX187" s="120"/>
      <c r="DY187" s="120"/>
      <c r="DZ187" s="120"/>
      <c r="EA187" s="120"/>
      <c r="EB187" s="120"/>
      <c r="EC187" s="120"/>
      <c r="ED187" s="120"/>
      <c r="EE187" s="120"/>
      <c r="EF187" s="120"/>
      <c r="EG187" s="120"/>
      <c r="EH187" s="120"/>
      <c r="EI187" s="120"/>
      <c r="EJ187" s="120"/>
      <c r="EK187" s="120"/>
      <c r="EL187" s="120"/>
      <c r="EM187" s="120"/>
      <c r="EN187" s="120"/>
      <c r="EO187" s="120"/>
      <c r="EP187" s="120"/>
      <c r="EQ187" s="120"/>
      <c r="ER187" s="120"/>
      <c r="ES187" s="120"/>
      <c r="ET187" s="120"/>
      <c r="EU187" s="120"/>
      <c r="EV187" s="120"/>
      <c r="EW187" s="120"/>
      <c r="EX187" s="120"/>
      <c r="EY187" s="120"/>
      <c r="EZ187" s="120"/>
      <c r="FA187" s="120"/>
      <c r="FB187" s="120"/>
      <c r="FC187" s="120"/>
      <c r="FD187" s="120"/>
      <c r="FE187" s="120"/>
      <c r="FF187" s="120"/>
      <c r="FG187" s="120"/>
      <c r="FH187" s="120"/>
      <c r="FI187" s="120"/>
      <c r="FJ187" s="120"/>
      <c r="FK187" s="120"/>
      <c r="FL187" s="120"/>
      <c r="FM187" s="120"/>
      <c r="FN187" s="120"/>
      <c r="FO187" s="120"/>
      <c r="FP187" s="120"/>
      <c r="FQ187" s="120"/>
      <c r="FR187" s="120"/>
      <c r="FS187" s="120"/>
      <c r="FT187" s="120"/>
      <c r="FU187" s="120"/>
      <c r="FV187" s="120"/>
      <c r="FW187" s="120"/>
      <c r="FX187" s="120"/>
      <c r="FY187" s="120"/>
      <c r="FZ187" s="120"/>
      <c r="GA187" s="120"/>
      <c r="GB187" s="120"/>
      <c r="GC187" s="120"/>
      <c r="GD187" s="120"/>
      <c r="GE187" s="120"/>
      <c r="GF187" s="120"/>
      <c r="GG187" s="120"/>
      <c r="GH187" s="120"/>
      <c r="GI187" s="120"/>
      <c r="GJ187" s="120"/>
      <c r="GK187" s="120"/>
      <c r="GL187" s="120"/>
      <c r="GM187" s="120"/>
      <c r="GN187" s="120"/>
      <c r="GO187" s="120"/>
      <c r="GP187" s="120"/>
      <c r="GQ187" s="120"/>
      <c r="GR187" s="120"/>
      <c r="GS187" s="120"/>
      <c r="GT187" s="120"/>
      <c r="GU187" s="120"/>
      <c r="GV187" s="120"/>
      <c r="GW187" s="120"/>
      <c r="GX187" s="120"/>
      <c r="GY187" s="120"/>
      <c r="GZ187" s="120"/>
      <c r="HA187" s="120"/>
      <c r="HB187" s="120"/>
      <c r="HC187" s="120"/>
    </row>
    <row r="188" spans="1:211" x14ac:dyDescent="0.25">
      <c r="A188" s="122"/>
      <c r="AD188" s="120"/>
      <c r="BF188" s="120"/>
      <c r="CJ188" s="128"/>
      <c r="CK188" s="128"/>
      <c r="CL188" s="128"/>
      <c r="CM188" s="128"/>
      <c r="CN188" s="128"/>
      <c r="CO188" s="128"/>
      <c r="CP188" s="128"/>
      <c r="CQ188" s="128"/>
      <c r="CR188" s="128"/>
      <c r="CS188" s="128"/>
      <c r="CT188" s="128"/>
      <c r="CU188" s="128"/>
      <c r="CV188" s="128"/>
      <c r="CW188" s="128"/>
      <c r="CX188" s="128"/>
      <c r="CY188" s="128"/>
      <c r="CZ188" s="128"/>
      <c r="DA188" s="128"/>
      <c r="DB188" s="128"/>
      <c r="DC188" s="128"/>
      <c r="DD188" s="128"/>
      <c r="DE188" s="128"/>
      <c r="DF188" s="128"/>
      <c r="DG188" s="128"/>
      <c r="DH188" s="128"/>
      <c r="DI188" s="128"/>
      <c r="DJ188" s="128"/>
      <c r="DK188" s="128"/>
      <c r="DL188" s="128"/>
      <c r="DM188" s="128"/>
      <c r="DN188" s="128"/>
      <c r="DO188" s="128"/>
      <c r="DP188" s="128"/>
      <c r="DQ188" s="128"/>
      <c r="DR188" s="128"/>
      <c r="DS188" s="128"/>
      <c r="DT188" s="128"/>
      <c r="DU188" s="128"/>
      <c r="DV188" s="128"/>
      <c r="DW188" s="128"/>
      <c r="DX188" s="128"/>
      <c r="DY188" s="128"/>
      <c r="DZ188" s="128"/>
      <c r="EA188" s="128"/>
      <c r="EB188" s="128"/>
      <c r="EC188" s="128"/>
      <c r="ED188" s="128"/>
      <c r="EE188" s="128"/>
      <c r="EF188" s="128"/>
      <c r="EG188" s="128"/>
      <c r="EH188" s="128"/>
      <c r="EI188" s="128"/>
      <c r="EJ188" s="128"/>
      <c r="EK188" s="128"/>
      <c r="EL188" s="128"/>
      <c r="EM188" s="128"/>
      <c r="EN188" s="128"/>
      <c r="EO188" s="128"/>
      <c r="EP188" s="128"/>
      <c r="EQ188" s="128"/>
      <c r="ER188" s="128"/>
      <c r="ES188" s="128"/>
      <c r="ET188" s="128"/>
      <c r="EU188" s="128"/>
      <c r="EV188" s="128"/>
      <c r="EW188" s="128"/>
      <c r="EX188" s="128"/>
      <c r="EY188" s="128"/>
      <c r="EZ188" s="128"/>
      <c r="FA188" s="128"/>
      <c r="FB188" s="128"/>
      <c r="FC188" s="128"/>
      <c r="FD188" s="128"/>
      <c r="FE188" s="128"/>
      <c r="FF188" s="128"/>
      <c r="FG188" s="128"/>
      <c r="FH188" s="128"/>
      <c r="FI188" s="128"/>
      <c r="FJ188" s="128"/>
      <c r="FK188" s="128"/>
      <c r="FL188" s="128"/>
      <c r="FM188" s="128"/>
      <c r="FN188" s="128"/>
      <c r="FO188" s="128"/>
      <c r="FP188" s="128"/>
      <c r="FQ188" s="128"/>
      <c r="FR188" s="128"/>
      <c r="FS188" s="128"/>
      <c r="FT188" s="128"/>
      <c r="FU188" s="128"/>
      <c r="FV188" s="128"/>
      <c r="FW188" s="128"/>
      <c r="FX188" s="128"/>
      <c r="FY188" s="128"/>
      <c r="FZ188" s="128"/>
      <c r="GA188" s="128"/>
      <c r="GB188" s="128"/>
      <c r="GC188" s="128"/>
      <c r="GD188" s="128"/>
      <c r="GE188" s="128"/>
      <c r="GF188" s="128"/>
      <c r="GG188" s="128"/>
      <c r="GH188" s="128"/>
      <c r="GI188" s="128"/>
      <c r="GJ188" s="128"/>
      <c r="GK188" s="128"/>
      <c r="GL188" s="128"/>
      <c r="GM188" s="128"/>
      <c r="GN188" s="128"/>
      <c r="GO188" s="128"/>
      <c r="GP188" s="128"/>
      <c r="GQ188" s="128"/>
      <c r="GR188" s="128"/>
      <c r="GS188" s="128"/>
      <c r="GT188" s="128"/>
      <c r="GU188" s="128"/>
      <c r="GV188" s="128"/>
      <c r="GW188" s="128"/>
      <c r="GX188" s="128"/>
      <c r="GY188" s="128"/>
      <c r="GZ188" s="128"/>
      <c r="HA188" s="128"/>
      <c r="HB188" s="128"/>
      <c r="HC188" s="128"/>
    </row>
    <row r="189" spans="1:211" x14ac:dyDescent="0.25">
      <c r="A189" s="122"/>
      <c r="AD189" s="120"/>
      <c r="BF189" s="120"/>
    </row>
    <row r="190" spans="1:211" x14ac:dyDescent="0.25">
      <c r="A190" s="122"/>
      <c r="AD190" s="120"/>
      <c r="BF190" s="120"/>
    </row>
    <row r="191" spans="1:211" x14ac:dyDescent="0.25">
      <c r="A191" s="122"/>
      <c r="AD191" s="120"/>
      <c r="BF191" s="120"/>
    </row>
    <row r="192" spans="1:211" s="128" customFormat="1" x14ac:dyDescent="0.25">
      <c r="A192" s="122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0"/>
      <c r="AQ192" s="120"/>
      <c r="AR192" s="120"/>
      <c r="AS192" s="120"/>
      <c r="AT192" s="120"/>
      <c r="AU192" s="120"/>
      <c r="AV192" s="120"/>
      <c r="AW192" s="120"/>
      <c r="AX192" s="120"/>
      <c r="AY192" s="120"/>
      <c r="AZ192" s="120"/>
      <c r="BA192" s="120"/>
      <c r="BB192" s="120"/>
      <c r="BC192" s="120"/>
      <c r="BD192" s="120"/>
      <c r="BE192" s="120"/>
      <c r="BF192" s="120"/>
      <c r="BG192" s="120"/>
      <c r="BH192" s="120"/>
      <c r="BI192" s="120"/>
      <c r="BJ192" s="120"/>
      <c r="BK192" s="120"/>
      <c r="BL192" s="120"/>
      <c r="BM192" s="120"/>
      <c r="BN192" s="120"/>
      <c r="BO192" s="120"/>
      <c r="BP192" s="120"/>
      <c r="BQ192" s="120"/>
      <c r="BR192" s="120"/>
      <c r="BS192" s="120"/>
      <c r="BT192" s="120"/>
      <c r="BU192" s="120"/>
      <c r="BV192" s="120"/>
      <c r="BW192" s="120"/>
      <c r="BX192" s="120"/>
      <c r="BY192" s="120"/>
      <c r="BZ192" s="120"/>
      <c r="CA192" s="120"/>
      <c r="CB192" s="120"/>
      <c r="CC192" s="120"/>
      <c r="CD192" s="120"/>
      <c r="CE192" s="120"/>
      <c r="CF192" s="120"/>
      <c r="CG192" s="120"/>
      <c r="CH192" s="120"/>
      <c r="CI192" s="120"/>
      <c r="CJ192" s="120"/>
      <c r="CK192" s="120"/>
      <c r="CL192" s="120"/>
      <c r="CM192" s="120"/>
      <c r="CN192" s="120"/>
      <c r="CO192" s="120"/>
      <c r="CP192" s="120"/>
      <c r="CQ192" s="120"/>
      <c r="CR192" s="120"/>
      <c r="CS192" s="120"/>
      <c r="CT192" s="120"/>
      <c r="CU192" s="120"/>
      <c r="CV192" s="120"/>
      <c r="CW192" s="120"/>
      <c r="CX192" s="120"/>
      <c r="CY192" s="120"/>
      <c r="CZ192" s="120"/>
      <c r="DA192" s="120"/>
      <c r="DB192" s="120"/>
      <c r="DC192" s="120"/>
      <c r="DD192" s="120"/>
      <c r="DE192" s="120"/>
      <c r="DF192" s="120"/>
      <c r="DG192" s="120"/>
      <c r="DH192" s="120"/>
      <c r="DI192" s="120"/>
      <c r="DJ192" s="120"/>
      <c r="DK192" s="120"/>
      <c r="DL192" s="120"/>
      <c r="DM192" s="120"/>
      <c r="DN192" s="120"/>
      <c r="DO192" s="120"/>
      <c r="DP192" s="120"/>
      <c r="DQ192" s="120"/>
      <c r="DR192" s="120"/>
      <c r="DS192" s="120"/>
      <c r="DT192" s="120"/>
      <c r="DU192" s="120"/>
      <c r="DV192" s="120"/>
      <c r="DW192" s="120"/>
      <c r="DX192" s="120"/>
      <c r="DY192" s="120"/>
      <c r="DZ192" s="120"/>
      <c r="EA192" s="120"/>
      <c r="EB192" s="120"/>
      <c r="EC192" s="120"/>
      <c r="ED192" s="120"/>
      <c r="EE192" s="120"/>
      <c r="EF192" s="120"/>
      <c r="EG192" s="120"/>
      <c r="EH192" s="120"/>
      <c r="EI192" s="120"/>
      <c r="EJ192" s="120"/>
      <c r="EK192" s="120"/>
      <c r="EL192" s="120"/>
      <c r="EM192" s="120"/>
      <c r="EN192" s="120"/>
      <c r="EO192" s="120"/>
      <c r="EP192" s="120"/>
      <c r="EQ192" s="120"/>
      <c r="ER192" s="120"/>
      <c r="ES192" s="120"/>
      <c r="ET192" s="120"/>
      <c r="EU192" s="120"/>
      <c r="EV192" s="120"/>
      <c r="EW192" s="120"/>
      <c r="EX192" s="120"/>
      <c r="EY192" s="120"/>
      <c r="EZ192" s="120"/>
      <c r="FA192" s="120"/>
      <c r="FB192" s="120"/>
      <c r="FC192" s="120"/>
      <c r="FD192" s="120"/>
      <c r="FE192" s="120"/>
      <c r="FF192" s="120"/>
      <c r="FG192" s="120"/>
      <c r="FH192" s="120"/>
      <c r="FI192" s="120"/>
      <c r="FJ192" s="120"/>
      <c r="FK192" s="120"/>
      <c r="FL192" s="120"/>
      <c r="FM192" s="120"/>
      <c r="FN192" s="120"/>
      <c r="FO192" s="120"/>
      <c r="FP192" s="120"/>
      <c r="FQ192" s="120"/>
      <c r="FR192" s="120"/>
      <c r="FS192" s="120"/>
      <c r="FT192" s="120"/>
      <c r="FU192" s="120"/>
      <c r="FV192" s="120"/>
      <c r="FW192" s="120"/>
      <c r="FX192" s="120"/>
      <c r="FY192" s="120"/>
      <c r="FZ192" s="120"/>
      <c r="GA192" s="120"/>
      <c r="GB192" s="120"/>
      <c r="GC192" s="120"/>
      <c r="GD192" s="120"/>
      <c r="GE192" s="120"/>
      <c r="GF192" s="120"/>
      <c r="GG192" s="120"/>
      <c r="GH192" s="120"/>
      <c r="GI192" s="120"/>
      <c r="GJ192" s="120"/>
      <c r="GK192" s="120"/>
      <c r="GL192" s="120"/>
      <c r="GM192" s="120"/>
      <c r="GN192" s="120"/>
      <c r="GO192" s="120"/>
      <c r="GP192" s="120"/>
      <c r="GQ192" s="120"/>
      <c r="GR192" s="120"/>
      <c r="GS192" s="120"/>
      <c r="GT192" s="120"/>
      <c r="GU192" s="120"/>
      <c r="GV192" s="120"/>
      <c r="GW192" s="120"/>
      <c r="GX192" s="120"/>
      <c r="GY192" s="120"/>
      <c r="GZ192" s="120"/>
      <c r="HA192" s="120"/>
      <c r="HB192" s="120"/>
      <c r="HC192" s="120"/>
    </row>
    <row r="193" spans="1:211" x14ac:dyDescent="0.25">
      <c r="A193" s="122"/>
      <c r="AD193" s="120"/>
      <c r="BF193" s="120"/>
      <c r="CJ193" s="128"/>
      <c r="CK193" s="128"/>
      <c r="CL193" s="128"/>
      <c r="CM193" s="128"/>
      <c r="CN193" s="128"/>
      <c r="CO193" s="128"/>
      <c r="CP193" s="128"/>
      <c r="CQ193" s="128"/>
      <c r="CR193" s="128"/>
      <c r="CS193" s="128"/>
      <c r="CT193" s="128"/>
      <c r="CU193" s="128"/>
      <c r="CV193" s="128"/>
      <c r="CW193" s="128"/>
      <c r="CX193" s="128"/>
      <c r="CY193" s="128"/>
      <c r="CZ193" s="128"/>
      <c r="DA193" s="128"/>
      <c r="DB193" s="128"/>
      <c r="DC193" s="128"/>
      <c r="DD193" s="128"/>
      <c r="DE193" s="128"/>
      <c r="DF193" s="128"/>
      <c r="DG193" s="128"/>
      <c r="DH193" s="128"/>
      <c r="DI193" s="128"/>
      <c r="DJ193" s="128"/>
      <c r="DK193" s="128"/>
      <c r="DL193" s="128"/>
      <c r="DM193" s="128"/>
      <c r="DN193" s="128"/>
      <c r="DO193" s="128"/>
      <c r="DP193" s="128"/>
      <c r="DQ193" s="128"/>
      <c r="DR193" s="128"/>
      <c r="DS193" s="128"/>
      <c r="DT193" s="128"/>
      <c r="DU193" s="128"/>
      <c r="DV193" s="128"/>
      <c r="DW193" s="128"/>
      <c r="DX193" s="128"/>
      <c r="DY193" s="128"/>
      <c r="DZ193" s="128"/>
      <c r="EA193" s="128"/>
      <c r="EB193" s="128"/>
      <c r="EC193" s="128"/>
      <c r="ED193" s="128"/>
      <c r="EE193" s="128"/>
      <c r="EF193" s="128"/>
      <c r="EG193" s="128"/>
      <c r="EH193" s="128"/>
      <c r="EI193" s="128"/>
      <c r="EJ193" s="128"/>
      <c r="EK193" s="128"/>
      <c r="EL193" s="128"/>
      <c r="EM193" s="128"/>
      <c r="EN193" s="128"/>
      <c r="EO193" s="128"/>
      <c r="EP193" s="128"/>
      <c r="EQ193" s="128"/>
      <c r="ER193" s="128"/>
      <c r="ES193" s="128"/>
      <c r="ET193" s="128"/>
      <c r="EU193" s="128"/>
      <c r="EV193" s="128"/>
      <c r="EW193" s="128"/>
      <c r="EX193" s="128"/>
      <c r="EY193" s="128"/>
      <c r="EZ193" s="128"/>
      <c r="FA193" s="128"/>
      <c r="FB193" s="128"/>
      <c r="FC193" s="128"/>
      <c r="FD193" s="128"/>
      <c r="FE193" s="128"/>
      <c r="FF193" s="128"/>
      <c r="FG193" s="128"/>
      <c r="FH193" s="128"/>
      <c r="FI193" s="128"/>
      <c r="FJ193" s="128"/>
      <c r="FK193" s="128"/>
      <c r="FL193" s="128"/>
      <c r="FM193" s="128"/>
      <c r="FN193" s="128"/>
      <c r="FO193" s="128"/>
      <c r="FP193" s="128"/>
      <c r="FQ193" s="128"/>
      <c r="FR193" s="128"/>
      <c r="FS193" s="128"/>
      <c r="FT193" s="128"/>
      <c r="FU193" s="128"/>
      <c r="FV193" s="128"/>
      <c r="FW193" s="128"/>
      <c r="FX193" s="128"/>
      <c r="FY193" s="128"/>
      <c r="FZ193" s="128"/>
      <c r="GA193" s="128"/>
      <c r="GB193" s="128"/>
      <c r="GC193" s="128"/>
      <c r="GD193" s="128"/>
      <c r="GE193" s="128"/>
      <c r="GF193" s="128"/>
      <c r="GG193" s="128"/>
      <c r="GH193" s="128"/>
      <c r="GI193" s="128"/>
      <c r="GJ193" s="128"/>
      <c r="GK193" s="128"/>
      <c r="GL193" s="128"/>
      <c r="GM193" s="128"/>
      <c r="GN193" s="128"/>
      <c r="GO193" s="128"/>
      <c r="GP193" s="128"/>
      <c r="GQ193" s="128"/>
      <c r="GR193" s="128"/>
      <c r="GS193" s="128"/>
      <c r="GT193" s="128"/>
      <c r="GU193" s="128"/>
      <c r="GV193" s="128"/>
      <c r="GW193" s="128"/>
      <c r="GX193" s="128"/>
      <c r="GY193" s="128"/>
      <c r="GZ193" s="128"/>
      <c r="HA193" s="128"/>
      <c r="HB193" s="128"/>
      <c r="HC193" s="128"/>
    </row>
    <row r="194" spans="1:211" x14ac:dyDescent="0.25">
      <c r="A194" s="122"/>
      <c r="AD194" s="120"/>
      <c r="BF194" s="120"/>
    </row>
    <row r="195" spans="1:211" x14ac:dyDescent="0.25">
      <c r="A195" s="122"/>
      <c r="AD195" s="120"/>
      <c r="BF195" s="120"/>
    </row>
    <row r="196" spans="1:211" x14ac:dyDescent="0.25">
      <c r="A196" s="122"/>
      <c r="AD196" s="120"/>
      <c r="BF196" s="120"/>
    </row>
    <row r="197" spans="1:211" s="128" customFormat="1" x14ac:dyDescent="0.25">
      <c r="A197" s="122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120"/>
      <c r="AS197" s="120"/>
      <c r="AT197" s="120"/>
      <c r="AU197" s="120"/>
      <c r="AV197" s="120"/>
      <c r="AW197" s="120"/>
      <c r="AX197" s="120"/>
      <c r="AY197" s="120"/>
      <c r="AZ197" s="120"/>
      <c r="BA197" s="120"/>
      <c r="BB197" s="120"/>
      <c r="BC197" s="120"/>
      <c r="BD197" s="120"/>
      <c r="BE197" s="120"/>
      <c r="BF197" s="120"/>
      <c r="BG197" s="120"/>
      <c r="BH197" s="120"/>
      <c r="BI197" s="120"/>
      <c r="BJ197" s="120"/>
      <c r="BK197" s="120"/>
      <c r="BL197" s="120"/>
      <c r="BM197" s="120"/>
      <c r="BN197" s="120"/>
      <c r="BO197" s="120"/>
      <c r="BP197" s="120"/>
      <c r="BQ197" s="120"/>
      <c r="BR197" s="120"/>
      <c r="BS197" s="120"/>
      <c r="BT197" s="120"/>
      <c r="BU197" s="120"/>
      <c r="BV197" s="120"/>
      <c r="BW197" s="120"/>
      <c r="BX197" s="120"/>
      <c r="BY197" s="120"/>
      <c r="BZ197" s="120"/>
      <c r="CA197" s="120"/>
      <c r="CB197" s="120"/>
      <c r="CC197" s="120"/>
      <c r="CD197" s="120"/>
      <c r="CE197" s="120"/>
      <c r="CF197" s="120"/>
      <c r="CG197" s="120"/>
      <c r="CH197" s="120"/>
      <c r="CI197" s="120"/>
      <c r="CJ197" s="120"/>
      <c r="CK197" s="120"/>
      <c r="CL197" s="120"/>
      <c r="CM197" s="120"/>
      <c r="CN197" s="120"/>
      <c r="CO197" s="120"/>
      <c r="CP197" s="120"/>
      <c r="CQ197" s="120"/>
      <c r="CR197" s="120"/>
      <c r="CS197" s="120"/>
      <c r="CT197" s="120"/>
      <c r="CU197" s="120"/>
      <c r="CV197" s="120"/>
      <c r="CW197" s="120"/>
      <c r="CX197" s="120"/>
      <c r="CY197" s="120"/>
      <c r="CZ197" s="120"/>
      <c r="DA197" s="120"/>
      <c r="DB197" s="120"/>
      <c r="DC197" s="120"/>
      <c r="DD197" s="120"/>
      <c r="DE197" s="120"/>
      <c r="DF197" s="120"/>
      <c r="DG197" s="120"/>
      <c r="DH197" s="120"/>
      <c r="DI197" s="120"/>
      <c r="DJ197" s="120"/>
      <c r="DK197" s="120"/>
      <c r="DL197" s="120"/>
      <c r="DM197" s="120"/>
      <c r="DN197" s="120"/>
      <c r="DO197" s="120"/>
      <c r="DP197" s="120"/>
      <c r="DQ197" s="120"/>
      <c r="DR197" s="120"/>
      <c r="DS197" s="120"/>
      <c r="DT197" s="120"/>
      <c r="DU197" s="120"/>
      <c r="DV197" s="120"/>
      <c r="DW197" s="120"/>
      <c r="DX197" s="120"/>
      <c r="DY197" s="120"/>
      <c r="DZ197" s="120"/>
      <c r="EA197" s="120"/>
      <c r="EB197" s="120"/>
      <c r="EC197" s="120"/>
      <c r="ED197" s="120"/>
      <c r="EE197" s="120"/>
      <c r="EF197" s="120"/>
      <c r="EG197" s="120"/>
      <c r="EH197" s="120"/>
      <c r="EI197" s="120"/>
      <c r="EJ197" s="120"/>
      <c r="EK197" s="120"/>
      <c r="EL197" s="120"/>
      <c r="EM197" s="120"/>
      <c r="EN197" s="120"/>
      <c r="EO197" s="120"/>
      <c r="EP197" s="120"/>
      <c r="EQ197" s="120"/>
      <c r="ER197" s="120"/>
      <c r="ES197" s="120"/>
      <c r="ET197" s="120"/>
      <c r="EU197" s="120"/>
      <c r="EV197" s="120"/>
      <c r="EW197" s="120"/>
      <c r="EX197" s="120"/>
      <c r="EY197" s="120"/>
      <c r="EZ197" s="120"/>
      <c r="FA197" s="120"/>
      <c r="FB197" s="120"/>
      <c r="FC197" s="120"/>
      <c r="FD197" s="120"/>
      <c r="FE197" s="120"/>
      <c r="FF197" s="120"/>
      <c r="FG197" s="120"/>
      <c r="FH197" s="120"/>
      <c r="FI197" s="120"/>
      <c r="FJ197" s="120"/>
      <c r="FK197" s="120"/>
      <c r="FL197" s="120"/>
      <c r="FM197" s="120"/>
      <c r="FN197" s="120"/>
      <c r="FO197" s="120"/>
      <c r="FP197" s="120"/>
      <c r="FQ197" s="120"/>
      <c r="FR197" s="120"/>
      <c r="FS197" s="120"/>
      <c r="FT197" s="120"/>
      <c r="FU197" s="120"/>
      <c r="FV197" s="120"/>
      <c r="FW197" s="120"/>
      <c r="FX197" s="120"/>
      <c r="FY197" s="120"/>
      <c r="FZ197" s="120"/>
      <c r="GA197" s="120"/>
      <c r="GB197" s="120"/>
      <c r="GC197" s="120"/>
      <c r="GD197" s="120"/>
      <c r="GE197" s="120"/>
      <c r="GF197" s="120"/>
      <c r="GG197" s="120"/>
      <c r="GH197" s="120"/>
      <c r="GI197" s="120"/>
      <c r="GJ197" s="120"/>
      <c r="GK197" s="120"/>
      <c r="GL197" s="120"/>
      <c r="GM197" s="120"/>
      <c r="GN197" s="120"/>
      <c r="GO197" s="120"/>
      <c r="GP197" s="120"/>
      <c r="GQ197" s="120"/>
      <c r="GR197" s="120"/>
      <c r="GS197" s="120"/>
      <c r="GT197" s="120"/>
      <c r="GU197" s="120"/>
      <c r="GV197" s="120"/>
      <c r="GW197" s="120"/>
      <c r="GX197" s="120"/>
      <c r="GY197" s="120"/>
      <c r="GZ197" s="120"/>
      <c r="HA197" s="120"/>
      <c r="HB197" s="120"/>
      <c r="HC197" s="120"/>
    </row>
    <row r="198" spans="1:211" x14ac:dyDescent="0.25">
      <c r="A198" s="122"/>
      <c r="AD198" s="120"/>
      <c r="BF198" s="120"/>
      <c r="CJ198" s="128"/>
      <c r="CK198" s="128"/>
      <c r="CL198" s="128"/>
      <c r="CM198" s="128"/>
      <c r="CN198" s="128"/>
      <c r="CO198" s="128"/>
      <c r="CP198" s="128"/>
      <c r="CQ198" s="128"/>
      <c r="CR198" s="128"/>
      <c r="CS198" s="128"/>
      <c r="CT198" s="128"/>
      <c r="CU198" s="128"/>
      <c r="CV198" s="128"/>
      <c r="CW198" s="128"/>
      <c r="CX198" s="128"/>
      <c r="CY198" s="128"/>
      <c r="CZ198" s="128"/>
      <c r="DA198" s="128"/>
      <c r="DB198" s="128"/>
      <c r="DC198" s="128"/>
      <c r="DD198" s="128"/>
      <c r="DE198" s="128"/>
      <c r="DF198" s="128"/>
      <c r="DG198" s="128"/>
      <c r="DH198" s="128"/>
      <c r="DI198" s="128"/>
      <c r="DJ198" s="128"/>
      <c r="DK198" s="128"/>
      <c r="DL198" s="128"/>
      <c r="DM198" s="128"/>
      <c r="DN198" s="128"/>
      <c r="DO198" s="128"/>
      <c r="DP198" s="128"/>
      <c r="DQ198" s="128"/>
      <c r="DR198" s="128"/>
      <c r="DS198" s="128"/>
      <c r="DT198" s="128"/>
      <c r="DU198" s="128"/>
      <c r="DV198" s="128"/>
      <c r="DW198" s="128"/>
      <c r="DX198" s="128"/>
      <c r="DY198" s="128"/>
      <c r="DZ198" s="128"/>
      <c r="EA198" s="128"/>
      <c r="EB198" s="128"/>
      <c r="EC198" s="128"/>
      <c r="ED198" s="128"/>
      <c r="EE198" s="128"/>
      <c r="EF198" s="128"/>
      <c r="EG198" s="128"/>
      <c r="EH198" s="128"/>
      <c r="EI198" s="128"/>
      <c r="EJ198" s="128"/>
      <c r="EK198" s="128"/>
      <c r="EL198" s="128"/>
      <c r="EM198" s="128"/>
      <c r="EN198" s="128"/>
      <c r="EO198" s="128"/>
      <c r="EP198" s="128"/>
      <c r="EQ198" s="128"/>
      <c r="ER198" s="128"/>
      <c r="ES198" s="128"/>
      <c r="ET198" s="128"/>
      <c r="EU198" s="128"/>
      <c r="EV198" s="128"/>
      <c r="EW198" s="128"/>
      <c r="EX198" s="128"/>
      <c r="EY198" s="128"/>
      <c r="EZ198" s="128"/>
      <c r="FA198" s="128"/>
      <c r="FB198" s="128"/>
      <c r="FC198" s="128"/>
      <c r="FD198" s="128"/>
      <c r="FE198" s="128"/>
      <c r="FF198" s="128"/>
      <c r="FG198" s="128"/>
      <c r="FH198" s="128"/>
      <c r="FI198" s="128"/>
      <c r="FJ198" s="128"/>
      <c r="FK198" s="128"/>
      <c r="FL198" s="128"/>
      <c r="FM198" s="128"/>
      <c r="FN198" s="128"/>
      <c r="FO198" s="128"/>
      <c r="FP198" s="128"/>
      <c r="FQ198" s="128"/>
      <c r="FR198" s="128"/>
      <c r="FS198" s="128"/>
      <c r="FT198" s="128"/>
      <c r="FU198" s="128"/>
      <c r="FV198" s="128"/>
      <c r="FW198" s="128"/>
      <c r="FX198" s="128"/>
      <c r="FY198" s="128"/>
      <c r="FZ198" s="128"/>
      <c r="GA198" s="128"/>
      <c r="GB198" s="128"/>
      <c r="GC198" s="128"/>
      <c r="GD198" s="128"/>
      <c r="GE198" s="128"/>
      <c r="GF198" s="128"/>
      <c r="GG198" s="128"/>
      <c r="GH198" s="128"/>
      <c r="GI198" s="128"/>
      <c r="GJ198" s="128"/>
      <c r="GK198" s="128"/>
      <c r="GL198" s="128"/>
      <c r="GM198" s="128"/>
      <c r="GN198" s="128"/>
      <c r="GO198" s="128"/>
      <c r="GP198" s="128"/>
      <c r="GQ198" s="128"/>
      <c r="GR198" s="128"/>
      <c r="GS198" s="128"/>
      <c r="GT198" s="128"/>
      <c r="GU198" s="128"/>
      <c r="GV198" s="128"/>
      <c r="GW198" s="128"/>
      <c r="GX198" s="128"/>
      <c r="GY198" s="128"/>
      <c r="GZ198" s="128"/>
      <c r="HA198" s="128"/>
      <c r="HB198" s="128"/>
      <c r="HC198" s="128"/>
    </row>
    <row r="199" spans="1:211" x14ac:dyDescent="0.25">
      <c r="A199" s="122"/>
      <c r="AD199" s="120"/>
      <c r="BF199" s="120"/>
    </row>
    <row r="200" spans="1:211" x14ac:dyDescent="0.25">
      <c r="A200" s="122"/>
      <c r="AD200" s="120"/>
      <c r="BF200" s="120"/>
    </row>
    <row r="201" spans="1:211" x14ac:dyDescent="0.25">
      <c r="A201" s="122"/>
      <c r="AD201" s="120"/>
      <c r="BF201" s="120"/>
    </row>
    <row r="202" spans="1:211" s="128" customFormat="1" x14ac:dyDescent="0.25">
      <c r="A202" s="122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0"/>
      <c r="AQ202" s="120"/>
      <c r="AR202" s="120"/>
      <c r="AS202" s="120"/>
      <c r="AT202" s="120"/>
      <c r="AU202" s="120"/>
      <c r="AV202" s="120"/>
      <c r="AW202" s="120"/>
      <c r="AX202" s="120"/>
      <c r="AY202" s="120"/>
      <c r="AZ202" s="120"/>
      <c r="BA202" s="120"/>
      <c r="BB202" s="120"/>
      <c r="BC202" s="120"/>
      <c r="BD202" s="120"/>
      <c r="BE202" s="120"/>
      <c r="BF202" s="120"/>
      <c r="BG202" s="120"/>
      <c r="BH202" s="120"/>
      <c r="BI202" s="120"/>
      <c r="BJ202" s="120"/>
      <c r="BK202" s="120"/>
      <c r="BL202" s="120"/>
      <c r="BM202" s="120"/>
      <c r="BN202" s="120"/>
      <c r="BO202" s="120"/>
      <c r="BP202" s="120"/>
      <c r="BQ202" s="120"/>
      <c r="BR202" s="120"/>
      <c r="BS202" s="120"/>
      <c r="BT202" s="120"/>
      <c r="BU202" s="120"/>
      <c r="BV202" s="120"/>
      <c r="BW202" s="120"/>
      <c r="BX202" s="120"/>
      <c r="BY202" s="120"/>
      <c r="BZ202" s="120"/>
      <c r="CA202" s="120"/>
      <c r="CB202" s="120"/>
      <c r="CC202" s="120"/>
      <c r="CD202" s="120"/>
      <c r="CE202" s="120"/>
      <c r="CF202" s="120"/>
      <c r="CG202" s="120"/>
      <c r="CH202" s="120"/>
      <c r="CI202" s="120"/>
    </row>
    <row r="203" spans="1:211" x14ac:dyDescent="0.25">
      <c r="A203" s="122"/>
    </row>
    <row r="204" spans="1:211" x14ac:dyDescent="0.25">
      <c r="A204" s="122"/>
    </row>
    <row r="205" spans="1:211" x14ac:dyDescent="0.25">
      <c r="A205" s="122"/>
      <c r="AG205" s="134"/>
    </row>
    <row r="206" spans="1:211" x14ac:dyDescent="0.25">
      <c r="A206" s="122"/>
    </row>
    <row r="207" spans="1:211" x14ac:dyDescent="0.25">
      <c r="A207" s="122"/>
    </row>
    <row r="208" spans="1:211" x14ac:dyDescent="0.25">
      <c r="A208" s="122"/>
    </row>
    <row r="209" spans="1:1" x14ac:dyDescent="0.25">
      <c r="A209" s="122"/>
    </row>
    <row r="210" spans="1:1" x14ac:dyDescent="0.25">
      <c r="A210" s="122"/>
    </row>
    <row r="211" spans="1:1" x14ac:dyDescent="0.25">
      <c r="A211" s="122"/>
    </row>
    <row r="212" spans="1:1" x14ac:dyDescent="0.25">
      <c r="A212" s="122"/>
    </row>
    <row r="213" spans="1:1" x14ac:dyDescent="0.25">
      <c r="A213" s="122"/>
    </row>
    <row r="214" spans="1:1" x14ac:dyDescent="0.25">
      <c r="A214" s="122"/>
    </row>
    <row r="215" spans="1:1" x14ac:dyDescent="0.25">
      <c r="A215" s="122"/>
    </row>
    <row r="216" spans="1:1" x14ac:dyDescent="0.25">
      <c r="A216" s="122"/>
    </row>
    <row r="217" spans="1:1" x14ac:dyDescent="0.25">
      <c r="A217" s="122"/>
    </row>
    <row r="218" spans="1:1" x14ac:dyDescent="0.25">
      <c r="A218" s="122"/>
    </row>
    <row r="219" spans="1:1" x14ac:dyDescent="0.25">
      <c r="A219" s="122"/>
    </row>
    <row r="220" spans="1:1" x14ac:dyDescent="0.25">
      <c r="A220" s="122"/>
    </row>
    <row r="221" spans="1:1" x14ac:dyDescent="0.25">
      <c r="A221" s="122"/>
    </row>
    <row r="222" spans="1:1" x14ac:dyDescent="0.25">
      <c r="A222" s="122"/>
    </row>
    <row r="223" spans="1:1" x14ac:dyDescent="0.25">
      <c r="A223" s="122"/>
    </row>
    <row r="224" spans="1:1" x14ac:dyDescent="0.25">
      <c r="A224" s="122"/>
    </row>
    <row r="225" spans="1:1" x14ac:dyDescent="0.25">
      <c r="A225" s="122"/>
    </row>
    <row r="226" spans="1:1" x14ac:dyDescent="0.25">
      <c r="A226" s="122"/>
    </row>
    <row r="227" spans="1:1" x14ac:dyDescent="0.25">
      <c r="A227" s="122"/>
    </row>
    <row r="228" spans="1:1" x14ac:dyDescent="0.25">
      <c r="A228" s="122"/>
    </row>
    <row r="229" spans="1:1" x14ac:dyDescent="0.25">
      <c r="A229" s="122"/>
    </row>
    <row r="230" spans="1:1" x14ac:dyDescent="0.25">
      <c r="A230" s="122"/>
    </row>
    <row r="231" spans="1:1" x14ac:dyDescent="0.25">
      <c r="A231" s="122"/>
    </row>
    <row r="232" spans="1:1" x14ac:dyDescent="0.25">
      <c r="A232" s="122"/>
    </row>
    <row r="233" spans="1:1" x14ac:dyDescent="0.25">
      <c r="A233" s="122"/>
    </row>
    <row r="234" spans="1:1" x14ac:dyDescent="0.25">
      <c r="A234" s="122"/>
    </row>
    <row r="235" spans="1:1" x14ac:dyDescent="0.25">
      <c r="A235" s="122"/>
    </row>
    <row r="236" spans="1:1" x14ac:dyDescent="0.25">
      <c r="A236" s="122"/>
    </row>
    <row r="237" spans="1:1" x14ac:dyDescent="0.25">
      <c r="A237" s="122"/>
    </row>
    <row r="238" spans="1:1" x14ac:dyDescent="0.25">
      <c r="A238" s="122"/>
    </row>
    <row r="239" spans="1:1" x14ac:dyDescent="0.25">
      <c r="A239" s="122"/>
    </row>
    <row r="240" spans="1:1" x14ac:dyDescent="0.25">
      <c r="A240" s="122"/>
    </row>
    <row r="241" spans="1:1" x14ac:dyDescent="0.25">
      <c r="A241" s="122"/>
    </row>
    <row r="242" spans="1:1" x14ac:dyDescent="0.25">
      <c r="A242" s="122"/>
    </row>
    <row r="243" spans="1:1" x14ac:dyDescent="0.25">
      <c r="A243" s="122"/>
    </row>
    <row r="244" spans="1:1" x14ac:dyDescent="0.25">
      <c r="A244" s="122"/>
    </row>
    <row r="245" spans="1:1" x14ac:dyDescent="0.25">
      <c r="A245" s="122"/>
    </row>
    <row r="246" spans="1:1" x14ac:dyDescent="0.25">
      <c r="A246" s="122"/>
    </row>
    <row r="247" spans="1:1" x14ac:dyDescent="0.25">
      <c r="A247" s="122"/>
    </row>
    <row r="248" spans="1:1" x14ac:dyDescent="0.25">
      <c r="A248" s="122"/>
    </row>
    <row r="249" spans="1:1" x14ac:dyDescent="0.25">
      <c r="A249" s="122"/>
    </row>
    <row r="250" spans="1:1" x14ac:dyDescent="0.25">
      <c r="A250" s="122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276A-63F5-45F0-AF9C-37CE107E8ED5}">
  <sheetPr>
    <tabColor rgb="FFFFC000"/>
  </sheetPr>
  <dimension ref="A1:GU18"/>
  <sheetViews>
    <sheetView tabSelected="1" zoomScale="110" zoomScaleNormal="110" workbookViewId="0">
      <selection activeCell="A2" sqref="A2"/>
    </sheetView>
  </sheetViews>
  <sheetFormatPr defaultColWidth="4.140625" defaultRowHeight="15" x14ac:dyDescent="0.25"/>
  <cols>
    <col min="1" max="1" width="8.85546875" style="43" customWidth="1"/>
    <col min="2" max="2" width="11.42578125" style="99" customWidth="1"/>
    <col min="3" max="3" width="26" style="43" customWidth="1"/>
    <col min="4" max="4" width="12.7109375" style="43" customWidth="1"/>
    <col min="5" max="6" width="8.7109375" style="43" customWidth="1"/>
    <col min="7" max="7" width="6" style="43" customWidth="1"/>
    <col min="8" max="8" width="10.85546875" style="99" customWidth="1"/>
    <col min="9" max="9" width="10.42578125" style="43" customWidth="1"/>
    <col min="10" max="10" width="14.42578125" style="98" customWidth="1"/>
    <col min="11" max="11" width="8.85546875" style="43" customWidth="1"/>
    <col min="12" max="203" width="4.140625" style="98"/>
    <col min="204" max="16384" width="4.140625" style="43"/>
  </cols>
  <sheetData>
    <row r="1" spans="1:203" ht="45.6" customHeight="1" x14ac:dyDescent="0.25">
      <c r="A1" s="43" t="s">
        <v>297</v>
      </c>
      <c r="B1" s="43" t="s">
        <v>304</v>
      </c>
      <c r="C1" s="43" t="s">
        <v>220</v>
      </c>
      <c r="D1" s="98" t="s">
        <v>298</v>
      </c>
      <c r="E1" s="98" t="s">
        <v>305</v>
      </c>
      <c r="F1" s="98" t="s">
        <v>306</v>
      </c>
      <c r="G1" s="98" t="s">
        <v>301</v>
      </c>
      <c r="H1" s="98" t="s">
        <v>307</v>
      </c>
      <c r="I1" s="98" t="s">
        <v>308</v>
      </c>
      <c r="J1" s="98" t="s">
        <v>309</v>
      </c>
      <c r="K1" s="98" t="s">
        <v>310</v>
      </c>
      <c r="L1" s="98" t="s">
        <v>27</v>
      </c>
      <c r="M1" s="98" t="s">
        <v>28</v>
      </c>
      <c r="N1" s="98" t="s">
        <v>29</v>
      </c>
      <c r="O1" s="98" t="s">
        <v>311</v>
      </c>
      <c r="P1" s="98" t="s">
        <v>312</v>
      </c>
      <c r="Q1" s="98" t="s">
        <v>313</v>
      </c>
      <c r="R1" s="98" t="s">
        <v>314</v>
      </c>
      <c r="S1" s="98" t="s">
        <v>315</v>
      </c>
      <c r="T1" s="98" t="s">
        <v>316</v>
      </c>
      <c r="U1" s="98" t="s">
        <v>317</v>
      </c>
      <c r="V1" s="98" t="s">
        <v>318</v>
      </c>
      <c r="W1" s="98" t="s">
        <v>319</v>
      </c>
      <c r="X1" s="98" t="s">
        <v>320</v>
      </c>
      <c r="Y1" s="98" t="s">
        <v>321</v>
      </c>
      <c r="Z1" s="98" t="s">
        <v>322</v>
      </c>
      <c r="AA1" s="98" t="s">
        <v>323</v>
      </c>
      <c r="AB1" s="98" t="s">
        <v>324</v>
      </c>
      <c r="AC1" s="98" t="s">
        <v>325</v>
      </c>
      <c r="AD1" s="98" t="s">
        <v>326</v>
      </c>
      <c r="AE1" s="98" t="s">
        <v>327</v>
      </c>
      <c r="AF1" s="98" t="s">
        <v>328</v>
      </c>
      <c r="AG1" s="98" t="s">
        <v>329</v>
      </c>
      <c r="AH1" s="98" t="s">
        <v>330</v>
      </c>
      <c r="AI1" s="98" t="s">
        <v>331</v>
      </c>
      <c r="AJ1" s="98" t="s">
        <v>332</v>
      </c>
      <c r="AK1" s="98" t="s">
        <v>333</v>
      </c>
      <c r="AL1" s="98" t="s">
        <v>334</v>
      </c>
      <c r="AM1" s="98" t="s">
        <v>335</v>
      </c>
      <c r="AN1" s="98" t="s">
        <v>336</v>
      </c>
      <c r="AO1" s="98" t="s">
        <v>337</v>
      </c>
      <c r="AP1" s="98" t="s">
        <v>338</v>
      </c>
      <c r="AQ1" s="98" t="s">
        <v>339</v>
      </c>
      <c r="AR1" s="98" t="s">
        <v>340</v>
      </c>
      <c r="AS1" s="98" t="s">
        <v>341</v>
      </c>
      <c r="AT1" s="98" t="s">
        <v>342</v>
      </c>
      <c r="AU1" s="98" t="s">
        <v>343</v>
      </c>
      <c r="AV1" s="98" t="s">
        <v>344</v>
      </c>
      <c r="AW1" s="98" t="s">
        <v>345</v>
      </c>
      <c r="AX1" s="98" t="s">
        <v>346</v>
      </c>
      <c r="AY1" s="98" t="s">
        <v>347</v>
      </c>
      <c r="AZ1" s="98" t="s">
        <v>348</v>
      </c>
      <c r="BA1" s="98" t="s">
        <v>349</v>
      </c>
      <c r="BB1" s="98" t="s">
        <v>350</v>
      </c>
      <c r="BC1" s="98" t="s">
        <v>351</v>
      </c>
      <c r="BD1" s="98" t="s">
        <v>352</v>
      </c>
      <c r="BE1" s="98" t="s">
        <v>353</v>
      </c>
      <c r="BF1" s="98" t="s">
        <v>354</v>
      </c>
      <c r="BG1" s="98" t="s">
        <v>355</v>
      </c>
      <c r="BH1" s="98" t="s">
        <v>356</v>
      </c>
      <c r="BI1" s="98" t="s">
        <v>357</v>
      </c>
      <c r="BJ1" s="98" t="s">
        <v>358</v>
      </c>
      <c r="BK1" s="98" t="s">
        <v>359</v>
      </c>
      <c r="BL1" s="98" t="s">
        <v>360</v>
      </c>
      <c r="BM1" s="98" t="s">
        <v>361</v>
      </c>
      <c r="BN1" s="98" t="s">
        <v>362</v>
      </c>
      <c r="BO1" s="98" t="s">
        <v>363</v>
      </c>
      <c r="BP1" s="98" t="s">
        <v>364</v>
      </c>
      <c r="BQ1" s="98" t="s">
        <v>365</v>
      </c>
      <c r="BR1" s="98" t="s">
        <v>366</v>
      </c>
      <c r="BS1" s="98" t="s">
        <v>367</v>
      </c>
      <c r="BT1" s="98" t="s">
        <v>368</v>
      </c>
      <c r="BU1" s="98" t="s">
        <v>369</v>
      </c>
      <c r="BV1" s="98" t="s">
        <v>370</v>
      </c>
      <c r="BW1" s="98" t="s">
        <v>371</v>
      </c>
      <c r="BX1" s="98" t="s">
        <v>372</v>
      </c>
      <c r="BY1" s="98" t="s">
        <v>373</v>
      </c>
      <c r="BZ1" s="98" t="s">
        <v>374</v>
      </c>
      <c r="CA1" s="98" t="s">
        <v>375</v>
      </c>
      <c r="CB1" s="98" t="s">
        <v>376</v>
      </c>
      <c r="CC1" s="98" t="s">
        <v>377</v>
      </c>
      <c r="CD1" s="98" t="s">
        <v>378</v>
      </c>
      <c r="CE1" s="98" t="s">
        <v>379</v>
      </c>
      <c r="CF1" s="98" t="s">
        <v>380</v>
      </c>
      <c r="CG1" s="98" t="s">
        <v>381</v>
      </c>
      <c r="CH1" s="98" t="s">
        <v>382</v>
      </c>
      <c r="CI1" s="98" t="s">
        <v>383</v>
      </c>
      <c r="CJ1" s="98" t="s">
        <v>384</v>
      </c>
      <c r="CK1" s="98" t="s">
        <v>385</v>
      </c>
      <c r="CL1" s="98" t="s">
        <v>386</v>
      </c>
      <c r="CM1" s="98" t="s">
        <v>387</v>
      </c>
      <c r="CN1" s="98" t="s">
        <v>388</v>
      </c>
      <c r="CO1" s="98" t="s">
        <v>389</v>
      </c>
      <c r="CP1" s="98" t="s">
        <v>390</v>
      </c>
      <c r="CQ1" s="98" t="s">
        <v>391</v>
      </c>
      <c r="CR1" s="98" t="s">
        <v>392</v>
      </c>
      <c r="CS1" s="98" t="s">
        <v>393</v>
      </c>
      <c r="CT1" s="98" t="s">
        <v>394</v>
      </c>
      <c r="CU1" s="98" t="s">
        <v>395</v>
      </c>
      <c r="CV1" s="98" t="s">
        <v>396</v>
      </c>
      <c r="CW1" s="98" t="s">
        <v>397</v>
      </c>
      <c r="CX1" s="98" t="s">
        <v>398</v>
      </c>
      <c r="CY1" s="98" t="s">
        <v>399</v>
      </c>
      <c r="CZ1" s="98" t="s">
        <v>400</v>
      </c>
      <c r="DA1" s="98" t="s">
        <v>401</v>
      </c>
      <c r="DB1" s="98" t="s">
        <v>402</v>
      </c>
      <c r="DC1" s="98" t="s">
        <v>403</v>
      </c>
      <c r="DD1" s="98" t="s">
        <v>404</v>
      </c>
      <c r="DE1" s="98" t="s">
        <v>405</v>
      </c>
      <c r="DF1" s="98" t="s">
        <v>406</v>
      </c>
      <c r="DG1" s="98" t="s">
        <v>407</v>
      </c>
      <c r="DH1" s="98" t="s">
        <v>408</v>
      </c>
      <c r="DI1" s="98" t="s">
        <v>409</v>
      </c>
      <c r="DJ1" s="98" t="s">
        <v>410</v>
      </c>
      <c r="DK1" s="98" t="s">
        <v>411</v>
      </c>
      <c r="DL1" s="98" t="s">
        <v>412</v>
      </c>
      <c r="DM1" s="98" t="s">
        <v>413</v>
      </c>
      <c r="DN1" s="98" t="s">
        <v>414</v>
      </c>
      <c r="DO1" s="98" t="s">
        <v>415</v>
      </c>
      <c r="DP1" s="98" t="s">
        <v>416</v>
      </c>
      <c r="DQ1" s="98" t="s">
        <v>417</v>
      </c>
      <c r="DR1" s="98" t="s">
        <v>418</v>
      </c>
      <c r="DS1" s="98" t="s">
        <v>419</v>
      </c>
      <c r="DT1" s="98" t="s">
        <v>420</v>
      </c>
      <c r="DU1" s="98" t="s">
        <v>421</v>
      </c>
      <c r="DV1" s="98" t="s">
        <v>422</v>
      </c>
      <c r="DW1" s="98" t="s">
        <v>423</v>
      </c>
      <c r="DX1" s="98" t="s">
        <v>424</v>
      </c>
      <c r="DY1" s="98" t="s">
        <v>425</v>
      </c>
      <c r="DZ1" s="98" t="s">
        <v>426</v>
      </c>
      <c r="EA1" s="98" t="s">
        <v>427</v>
      </c>
      <c r="EB1" s="98" t="s">
        <v>428</v>
      </c>
      <c r="EC1" s="98" t="s">
        <v>429</v>
      </c>
      <c r="ED1" s="98" t="s">
        <v>430</v>
      </c>
      <c r="EE1" s="98" t="s">
        <v>431</v>
      </c>
      <c r="EF1" s="98" t="s">
        <v>432</v>
      </c>
      <c r="EG1" s="98" t="s">
        <v>433</v>
      </c>
      <c r="EH1" s="98" t="s">
        <v>434</v>
      </c>
      <c r="EI1" s="98" t="s">
        <v>435</v>
      </c>
      <c r="EJ1" s="98" t="s">
        <v>436</v>
      </c>
      <c r="EK1" s="98" t="s">
        <v>437</v>
      </c>
      <c r="EL1" s="98" t="s">
        <v>438</v>
      </c>
      <c r="EM1" s="98" t="s">
        <v>439</v>
      </c>
      <c r="EN1" s="98" t="s">
        <v>440</v>
      </c>
      <c r="EO1" s="98" t="s">
        <v>441</v>
      </c>
      <c r="EP1" s="98" t="s">
        <v>442</v>
      </c>
      <c r="EQ1" s="98" t="s">
        <v>443</v>
      </c>
      <c r="ER1" s="98" t="s">
        <v>444</v>
      </c>
      <c r="ES1" s="98" t="s">
        <v>445</v>
      </c>
      <c r="ET1" s="98" t="s">
        <v>446</v>
      </c>
      <c r="EU1" s="98" t="s">
        <v>447</v>
      </c>
      <c r="EV1" s="98" t="s">
        <v>448</v>
      </c>
      <c r="EW1" s="98" t="s">
        <v>449</v>
      </c>
      <c r="EX1" s="98" t="s">
        <v>450</v>
      </c>
      <c r="EY1" s="98" t="s">
        <v>451</v>
      </c>
      <c r="EZ1" s="98" t="s">
        <v>452</v>
      </c>
      <c r="FA1" s="98" t="s">
        <v>453</v>
      </c>
      <c r="FB1" s="98" t="s">
        <v>454</v>
      </c>
      <c r="FC1" s="98" t="s">
        <v>455</v>
      </c>
      <c r="FD1" s="98" t="s">
        <v>456</v>
      </c>
      <c r="FE1" s="98" t="s">
        <v>457</v>
      </c>
      <c r="FF1" s="98" t="s">
        <v>458</v>
      </c>
      <c r="FG1" s="98" t="s">
        <v>459</v>
      </c>
      <c r="FH1" s="98" t="s">
        <v>460</v>
      </c>
      <c r="FI1" s="98" t="s">
        <v>461</v>
      </c>
      <c r="FJ1" s="98" t="s">
        <v>462</v>
      </c>
      <c r="FK1" s="98" t="s">
        <v>463</v>
      </c>
      <c r="FL1" s="98" t="s">
        <v>464</v>
      </c>
      <c r="FM1" s="98" t="s">
        <v>465</v>
      </c>
      <c r="FN1" s="98" t="s">
        <v>466</v>
      </c>
      <c r="FO1" s="98" t="s">
        <v>467</v>
      </c>
      <c r="FP1" s="98" t="s">
        <v>468</v>
      </c>
      <c r="FQ1" s="98" t="s">
        <v>469</v>
      </c>
      <c r="FR1" s="98" t="s">
        <v>470</v>
      </c>
      <c r="FS1" s="98" t="s">
        <v>471</v>
      </c>
      <c r="FT1" s="98" t="s">
        <v>472</v>
      </c>
      <c r="FU1" s="98" t="s">
        <v>473</v>
      </c>
      <c r="FV1" s="98" t="s">
        <v>474</v>
      </c>
      <c r="FW1" s="98" t="s">
        <v>475</v>
      </c>
      <c r="FX1" s="98" t="s">
        <v>476</v>
      </c>
      <c r="FY1" s="98" t="s">
        <v>477</v>
      </c>
      <c r="FZ1" s="98" t="s">
        <v>478</v>
      </c>
      <c r="GA1" s="98" t="s">
        <v>479</v>
      </c>
      <c r="GB1" s="98" t="s">
        <v>480</v>
      </c>
      <c r="GC1" s="98" t="s">
        <v>481</v>
      </c>
      <c r="GD1" s="98" t="s">
        <v>482</v>
      </c>
      <c r="GE1" s="98" t="s">
        <v>483</v>
      </c>
      <c r="GF1" s="98" t="s">
        <v>484</v>
      </c>
      <c r="GG1" s="98" t="s">
        <v>485</v>
      </c>
      <c r="GH1" s="98" t="s">
        <v>486</v>
      </c>
      <c r="GI1" s="98" t="s">
        <v>487</v>
      </c>
      <c r="GJ1" s="98" t="s">
        <v>488</v>
      </c>
      <c r="GK1" s="98" t="s">
        <v>489</v>
      </c>
      <c r="GL1" s="98" t="s">
        <v>490</v>
      </c>
      <c r="GM1" s="98" t="s">
        <v>491</v>
      </c>
      <c r="GN1" s="98" t="s">
        <v>492</v>
      </c>
      <c r="GO1" s="98" t="s">
        <v>493</v>
      </c>
      <c r="GP1" s="98" t="s">
        <v>494</v>
      </c>
      <c r="GQ1" s="98" t="s">
        <v>495</v>
      </c>
      <c r="GR1" s="98" t="s">
        <v>496</v>
      </c>
      <c r="GS1" s="98" t="s">
        <v>497</v>
      </c>
      <c r="GT1" s="98" t="s">
        <v>498</v>
      </c>
      <c r="GU1" s="98" t="s">
        <v>499</v>
      </c>
    </row>
    <row r="2" spans="1:203" x14ac:dyDescent="0.25">
      <c r="A2" s="43">
        <v>1</v>
      </c>
      <c r="B2" s="99">
        <v>46141</v>
      </c>
      <c r="C2" s="43" t="s">
        <v>500</v>
      </c>
      <c r="D2" s="43" t="s">
        <v>501</v>
      </c>
      <c r="E2" s="43">
        <v>3</v>
      </c>
      <c r="F2" s="43" t="s">
        <v>296</v>
      </c>
      <c r="G2" s="43" t="s">
        <v>302</v>
      </c>
      <c r="H2" s="99">
        <v>46147</v>
      </c>
      <c r="I2" s="43" t="s">
        <v>215</v>
      </c>
      <c r="J2" s="98" t="s">
        <v>502</v>
      </c>
      <c r="K2" s="43">
        <f>SUM(L2:GV2)</f>
        <v>6</v>
      </c>
      <c r="L2" s="98">
        <v>1</v>
      </c>
      <c r="M2" s="98">
        <v>1</v>
      </c>
      <c r="N2" s="98">
        <v>1</v>
      </c>
      <c r="O2" s="98">
        <v>1</v>
      </c>
      <c r="P2" s="98">
        <v>1</v>
      </c>
      <c r="Q2" s="98">
        <v>1</v>
      </c>
      <c r="R2" s="98">
        <v>0</v>
      </c>
    </row>
    <row r="3" spans="1:203" x14ac:dyDescent="0.25">
      <c r="A3" s="43">
        <v>2</v>
      </c>
      <c r="B3" s="99">
        <v>46143</v>
      </c>
      <c r="C3" s="43" t="s">
        <v>500</v>
      </c>
      <c r="D3" s="43" t="s">
        <v>503</v>
      </c>
      <c r="E3" s="43">
        <v>3</v>
      </c>
      <c r="F3" s="43" t="s">
        <v>296</v>
      </c>
      <c r="G3" s="43" t="s">
        <v>303</v>
      </c>
      <c r="H3" s="99">
        <v>46147</v>
      </c>
      <c r="I3" s="43" t="s">
        <v>215</v>
      </c>
      <c r="J3" s="98" t="s">
        <v>502</v>
      </c>
      <c r="K3" s="43">
        <f t="shared" ref="K3:K15" si="0">SUM(L3:GV3)</f>
        <v>4</v>
      </c>
      <c r="L3" s="98">
        <v>1</v>
      </c>
      <c r="M3" s="98">
        <v>1</v>
      </c>
      <c r="N3" s="98">
        <v>1</v>
      </c>
      <c r="O3" s="98">
        <v>1</v>
      </c>
      <c r="P3" s="98">
        <v>0</v>
      </c>
    </row>
    <row r="4" spans="1:203" x14ac:dyDescent="0.25">
      <c r="A4" s="43">
        <v>3</v>
      </c>
      <c r="B4" s="99">
        <v>46143</v>
      </c>
      <c r="C4" s="43" t="s">
        <v>500</v>
      </c>
      <c r="D4" s="43" t="s">
        <v>503</v>
      </c>
      <c r="E4" s="43">
        <v>4</v>
      </c>
      <c r="F4" s="43" t="s">
        <v>296</v>
      </c>
      <c r="G4" s="43" t="s">
        <v>303</v>
      </c>
      <c r="H4" s="99">
        <v>46147</v>
      </c>
      <c r="I4" s="43" t="s">
        <v>215</v>
      </c>
      <c r="J4" s="98" t="s">
        <v>502</v>
      </c>
      <c r="K4" s="43">
        <f t="shared" si="0"/>
        <v>4</v>
      </c>
      <c r="L4" s="98">
        <v>1</v>
      </c>
      <c r="M4" s="98">
        <v>1</v>
      </c>
      <c r="N4" s="98">
        <v>1</v>
      </c>
      <c r="O4" s="98">
        <v>1</v>
      </c>
      <c r="P4" s="98">
        <v>0</v>
      </c>
    </row>
    <row r="5" spans="1:203" x14ac:dyDescent="0.25">
      <c r="A5" s="43">
        <v>4</v>
      </c>
      <c r="B5" s="99">
        <v>46143</v>
      </c>
      <c r="C5" s="43" t="s">
        <v>500</v>
      </c>
      <c r="D5" s="43" t="s">
        <v>504</v>
      </c>
      <c r="E5" s="43">
        <v>7</v>
      </c>
      <c r="F5" s="43" t="s">
        <v>296</v>
      </c>
      <c r="G5" s="43" t="s">
        <v>303</v>
      </c>
      <c r="H5" s="99">
        <v>46147</v>
      </c>
      <c r="I5" s="43" t="s">
        <v>215</v>
      </c>
      <c r="J5" s="98" t="s">
        <v>502</v>
      </c>
      <c r="K5" s="43">
        <f t="shared" si="0"/>
        <v>4</v>
      </c>
      <c r="L5" s="98">
        <v>1</v>
      </c>
      <c r="M5" s="98">
        <v>1</v>
      </c>
      <c r="N5" s="98">
        <v>1</v>
      </c>
      <c r="O5" s="98">
        <v>1</v>
      </c>
      <c r="P5" s="98">
        <v>0</v>
      </c>
    </row>
    <row r="6" spans="1:203" x14ac:dyDescent="0.25">
      <c r="A6" s="43">
        <v>5</v>
      </c>
      <c r="B6" s="99">
        <v>46143</v>
      </c>
      <c r="C6" s="43" t="s">
        <v>500</v>
      </c>
      <c r="D6" s="43" t="s">
        <v>504</v>
      </c>
      <c r="E6" s="43">
        <v>1</v>
      </c>
      <c r="F6" s="43" t="s">
        <v>252</v>
      </c>
      <c r="G6" s="43" t="s">
        <v>302</v>
      </c>
      <c r="H6" s="99">
        <v>46148</v>
      </c>
      <c r="I6" s="43" t="s">
        <v>215</v>
      </c>
      <c r="J6" s="98" t="s">
        <v>502</v>
      </c>
      <c r="K6" s="43">
        <f t="shared" si="0"/>
        <v>5</v>
      </c>
      <c r="L6" s="98">
        <v>1</v>
      </c>
      <c r="M6" s="98">
        <v>1</v>
      </c>
      <c r="N6" s="98">
        <v>1</v>
      </c>
      <c r="O6" s="98">
        <v>1</v>
      </c>
      <c r="P6" s="98">
        <v>1</v>
      </c>
      <c r="Q6" s="98">
        <v>0</v>
      </c>
    </row>
    <row r="7" spans="1:203" ht="30" x14ac:dyDescent="0.25">
      <c r="A7" s="43">
        <v>6</v>
      </c>
      <c r="B7" s="99">
        <v>46143</v>
      </c>
      <c r="C7" s="43" t="s">
        <v>500</v>
      </c>
      <c r="D7" s="43" t="s">
        <v>501</v>
      </c>
      <c r="E7" s="43">
        <v>2</v>
      </c>
      <c r="F7" s="43" t="s">
        <v>296</v>
      </c>
      <c r="G7" s="43" t="s">
        <v>302</v>
      </c>
      <c r="H7" s="99">
        <v>46154</v>
      </c>
      <c r="I7" s="43" t="s">
        <v>214</v>
      </c>
      <c r="J7" s="98" t="s">
        <v>505</v>
      </c>
      <c r="K7" s="43">
        <f t="shared" si="0"/>
        <v>11</v>
      </c>
      <c r="L7" s="98">
        <v>1</v>
      </c>
      <c r="M7" s="98">
        <v>1</v>
      </c>
      <c r="N7" s="98">
        <v>1</v>
      </c>
      <c r="O7" s="98">
        <v>1</v>
      </c>
      <c r="P7" s="98">
        <v>1</v>
      </c>
      <c r="Q7" s="98">
        <v>1</v>
      </c>
      <c r="R7" s="98">
        <v>1</v>
      </c>
      <c r="S7" s="98">
        <v>1</v>
      </c>
      <c r="T7" s="98">
        <v>1</v>
      </c>
      <c r="U7" s="98">
        <v>1</v>
      </c>
      <c r="V7" s="98">
        <v>1</v>
      </c>
      <c r="W7" s="98">
        <v>0</v>
      </c>
    </row>
    <row r="8" spans="1:203" ht="30" x14ac:dyDescent="0.25">
      <c r="A8" s="43">
        <v>7</v>
      </c>
      <c r="B8" s="99">
        <v>46143</v>
      </c>
      <c r="C8" s="43" t="s">
        <v>500</v>
      </c>
      <c r="D8" s="43" t="s">
        <v>503</v>
      </c>
      <c r="E8" s="43">
        <v>1</v>
      </c>
      <c r="F8" s="43" t="s">
        <v>289</v>
      </c>
      <c r="G8" s="43" t="s">
        <v>303</v>
      </c>
      <c r="H8" s="99">
        <v>46153</v>
      </c>
      <c r="I8" s="43" t="s">
        <v>214</v>
      </c>
      <c r="J8" s="98" t="s">
        <v>505</v>
      </c>
      <c r="K8" s="43">
        <f t="shared" si="0"/>
        <v>10</v>
      </c>
      <c r="L8" s="98">
        <v>1</v>
      </c>
      <c r="M8" s="98">
        <v>1</v>
      </c>
      <c r="N8" s="98">
        <v>1</v>
      </c>
      <c r="O8" s="98">
        <v>1</v>
      </c>
      <c r="P8" s="98">
        <v>1</v>
      </c>
      <c r="Q8" s="98">
        <v>1</v>
      </c>
      <c r="R8" s="98">
        <v>1</v>
      </c>
      <c r="S8" s="98">
        <v>1</v>
      </c>
      <c r="T8" s="98">
        <v>1</v>
      </c>
      <c r="U8" s="98">
        <v>1</v>
      </c>
      <c r="V8" s="98">
        <v>0</v>
      </c>
    </row>
    <row r="9" spans="1:203" x14ac:dyDescent="0.25">
      <c r="A9" s="43">
        <v>8</v>
      </c>
      <c r="B9" s="99">
        <v>46169</v>
      </c>
      <c r="C9" s="43" t="s">
        <v>500</v>
      </c>
      <c r="D9" s="43" t="s">
        <v>506</v>
      </c>
      <c r="E9" s="43">
        <v>2</v>
      </c>
      <c r="F9" s="43" t="s">
        <v>296</v>
      </c>
      <c r="G9" s="43" t="s">
        <v>302</v>
      </c>
      <c r="H9" s="99">
        <v>46175</v>
      </c>
      <c r="I9" s="43" t="s">
        <v>215</v>
      </c>
      <c r="J9" s="98" t="s">
        <v>502</v>
      </c>
      <c r="K9" s="43">
        <f t="shared" si="0"/>
        <v>6</v>
      </c>
      <c r="L9" s="98">
        <v>1</v>
      </c>
      <c r="M9" s="98">
        <v>1</v>
      </c>
      <c r="N9" s="98">
        <v>1</v>
      </c>
      <c r="O9" s="98">
        <v>1</v>
      </c>
      <c r="P9" s="98">
        <v>1</v>
      </c>
      <c r="Q9" s="98">
        <v>1</v>
      </c>
      <c r="R9" s="98">
        <v>0</v>
      </c>
    </row>
    <row r="10" spans="1:203" x14ac:dyDescent="0.25">
      <c r="A10" s="43">
        <v>9</v>
      </c>
      <c r="B10" s="99">
        <v>46169</v>
      </c>
      <c r="C10" s="43" t="s">
        <v>500</v>
      </c>
      <c r="D10" s="43" t="s">
        <v>506</v>
      </c>
      <c r="E10" s="43">
        <v>5</v>
      </c>
      <c r="F10" s="43" t="s">
        <v>296</v>
      </c>
      <c r="G10" s="43" t="s">
        <v>302</v>
      </c>
      <c r="H10" s="99">
        <v>46175</v>
      </c>
      <c r="I10" s="43" t="s">
        <v>215</v>
      </c>
      <c r="J10" s="98" t="s">
        <v>502</v>
      </c>
      <c r="K10" s="43">
        <f t="shared" si="0"/>
        <v>6</v>
      </c>
      <c r="L10" s="98">
        <v>1</v>
      </c>
      <c r="M10" s="98">
        <v>1</v>
      </c>
      <c r="N10" s="98">
        <v>1</v>
      </c>
      <c r="O10" s="98">
        <v>1</v>
      </c>
      <c r="P10" s="98">
        <v>1</v>
      </c>
      <c r="Q10" s="98">
        <v>1</v>
      </c>
      <c r="R10" s="98">
        <v>0</v>
      </c>
    </row>
    <row r="11" spans="1:203" x14ac:dyDescent="0.25">
      <c r="A11" s="43">
        <v>10</v>
      </c>
      <c r="B11" s="99">
        <v>46169</v>
      </c>
      <c r="C11" s="43" t="s">
        <v>500</v>
      </c>
      <c r="D11" s="43" t="s">
        <v>506</v>
      </c>
      <c r="E11" s="43">
        <v>5</v>
      </c>
      <c r="F11" s="43" t="s">
        <v>289</v>
      </c>
      <c r="G11" s="43" t="s">
        <v>507</v>
      </c>
      <c r="H11" s="99">
        <v>46175</v>
      </c>
      <c r="I11" s="43" t="s">
        <v>215</v>
      </c>
      <c r="J11" s="98" t="s">
        <v>502</v>
      </c>
      <c r="K11" s="43">
        <f t="shared" si="0"/>
        <v>6</v>
      </c>
      <c r="L11" s="98">
        <v>1</v>
      </c>
      <c r="M11" s="98">
        <v>1</v>
      </c>
      <c r="N11" s="98">
        <v>1</v>
      </c>
      <c r="O11" s="98">
        <v>1</v>
      </c>
      <c r="P11" s="98">
        <v>1</v>
      </c>
      <c r="Q11" s="98">
        <v>1</v>
      </c>
      <c r="R11" s="98">
        <v>0</v>
      </c>
    </row>
    <row r="12" spans="1:203" x14ac:dyDescent="0.25">
      <c r="A12" s="43">
        <v>11</v>
      </c>
      <c r="B12" s="99">
        <v>46169</v>
      </c>
      <c r="C12" s="43" t="s">
        <v>500</v>
      </c>
      <c r="D12" s="43" t="s">
        <v>506</v>
      </c>
      <c r="E12" s="43">
        <v>6</v>
      </c>
      <c r="F12" s="43" t="s">
        <v>289</v>
      </c>
      <c r="G12" s="43" t="s">
        <v>507</v>
      </c>
      <c r="H12" s="99">
        <v>46175</v>
      </c>
      <c r="I12" s="43" t="s">
        <v>215</v>
      </c>
      <c r="J12" s="98" t="s">
        <v>502</v>
      </c>
      <c r="K12" s="43">
        <f t="shared" si="0"/>
        <v>6</v>
      </c>
      <c r="L12" s="98">
        <v>1</v>
      </c>
      <c r="M12" s="98">
        <v>1</v>
      </c>
      <c r="N12" s="98">
        <v>1</v>
      </c>
      <c r="O12" s="98">
        <v>1</v>
      </c>
      <c r="P12" s="98">
        <v>1</v>
      </c>
      <c r="Q12" s="98">
        <v>1</v>
      </c>
      <c r="R12" s="98">
        <v>0</v>
      </c>
    </row>
    <row r="13" spans="1:203" x14ac:dyDescent="0.25">
      <c r="A13" s="43">
        <v>12</v>
      </c>
      <c r="B13" s="99">
        <v>46178</v>
      </c>
      <c r="C13" s="43" t="s">
        <v>500</v>
      </c>
      <c r="D13" s="43" t="s">
        <v>508</v>
      </c>
      <c r="E13" s="43">
        <v>2</v>
      </c>
      <c r="F13" s="43" t="s">
        <v>252</v>
      </c>
      <c r="G13" s="43" t="s">
        <v>303</v>
      </c>
      <c r="H13" s="99">
        <v>46181</v>
      </c>
      <c r="I13" s="43" t="s">
        <v>215</v>
      </c>
      <c r="J13" s="98" t="s">
        <v>502</v>
      </c>
      <c r="K13" s="43">
        <f t="shared" si="0"/>
        <v>3</v>
      </c>
      <c r="L13" s="98">
        <v>1</v>
      </c>
      <c r="M13" s="98">
        <v>1</v>
      </c>
      <c r="N13" s="98">
        <v>1</v>
      </c>
      <c r="O13" s="98">
        <v>0</v>
      </c>
    </row>
    <row r="14" spans="1:203" x14ac:dyDescent="0.25">
      <c r="A14" s="43">
        <v>13</v>
      </c>
      <c r="B14" s="99">
        <v>46220</v>
      </c>
      <c r="C14" s="43" t="s">
        <v>511</v>
      </c>
      <c r="D14" s="43" t="s">
        <v>509</v>
      </c>
      <c r="E14" s="43">
        <v>4</v>
      </c>
      <c r="F14" s="43" t="s">
        <v>296</v>
      </c>
      <c r="G14" s="43" t="s">
        <v>303</v>
      </c>
      <c r="H14" s="99">
        <v>46221</v>
      </c>
      <c r="I14" s="43" t="s">
        <v>215</v>
      </c>
      <c r="J14" s="98" t="s">
        <v>502</v>
      </c>
      <c r="K14" s="43">
        <f t="shared" si="0"/>
        <v>1</v>
      </c>
      <c r="L14" s="98">
        <v>1</v>
      </c>
      <c r="M14" s="98">
        <v>0</v>
      </c>
    </row>
    <row r="15" spans="1:203" x14ac:dyDescent="0.25">
      <c r="A15" s="43">
        <v>14</v>
      </c>
      <c r="B15" s="99">
        <v>46220</v>
      </c>
      <c r="C15" s="43" t="s">
        <v>511</v>
      </c>
      <c r="D15" s="43" t="s">
        <v>509</v>
      </c>
      <c r="E15" s="43">
        <v>10</v>
      </c>
      <c r="F15" s="43" t="s">
        <v>296</v>
      </c>
      <c r="G15" s="43" t="s">
        <v>303</v>
      </c>
      <c r="H15" s="99">
        <v>46221</v>
      </c>
      <c r="I15" s="43" t="s">
        <v>215</v>
      </c>
      <c r="J15" s="98" t="s">
        <v>502</v>
      </c>
      <c r="K15" s="43">
        <f t="shared" si="0"/>
        <v>1</v>
      </c>
      <c r="L15" s="98">
        <v>1</v>
      </c>
      <c r="M15" s="98">
        <v>0</v>
      </c>
    </row>
    <row r="16" spans="1:203" x14ac:dyDescent="0.25">
      <c r="A16" s="43">
        <v>15</v>
      </c>
      <c r="B16" s="99">
        <v>46220</v>
      </c>
      <c r="C16" s="43" t="s">
        <v>511</v>
      </c>
      <c r="D16" s="43" t="s">
        <v>512</v>
      </c>
      <c r="E16" s="43">
        <v>6</v>
      </c>
      <c r="F16" s="43" t="s">
        <v>252</v>
      </c>
      <c r="G16" s="43" t="s">
        <v>302</v>
      </c>
      <c r="H16" s="99">
        <v>46221</v>
      </c>
      <c r="I16" s="43" t="s">
        <v>215</v>
      </c>
      <c r="J16" s="98" t="s">
        <v>502</v>
      </c>
      <c r="K16" s="43">
        <f t="shared" ref="K16" si="1">SUM(L16:GV16)</f>
        <v>1</v>
      </c>
      <c r="L16" s="98">
        <v>1</v>
      </c>
      <c r="M16" s="98">
        <v>0</v>
      </c>
    </row>
    <row r="18" spans="5:5" x14ac:dyDescent="0.25">
      <c r="E18" s="43" t="s">
        <v>510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6D67-8FBA-4086-8F86-BAC8C266BC04}">
  <sheetPr>
    <tabColor theme="5"/>
  </sheetPr>
  <dimension ref="A1:HC215"/>
  <sheetViews>
    <sheetView zoomScale="80" zoomScaleNormal="80" workbookViewId="0">
      <selection activeCell="AC26" sqref="AC26"/>
    </sheetView>
  </sheetViews>
  <sheetFormatPr defaultColWidth="9.140625" defaultRowHeight="15" x14ac:dyDescent="0.25"/>
  <cols>
    <col min="1" max="1" width="5.7109375" style="42" customWidth="1"/>
    <col min="2" max="2" width="11.28515625" style="42" bestFit="1" customWidth="1"/>
    <col min="3" max="3" width="21.42578125" style="42" bestFit="1" customWidth="1"/>
    <col min="4" max="4" width="7.28515625" style="42" hidden="1" customWidth="1"/>
    <col min="5" max="6" width="8.85546875" style="42" hidden="1" customWidth="1"/>
    <col min="7" max="8" width="14" style="42" hidden="1" customWidth="1"/>
    <col min="9" max="14" width="10.28515625" style="42" hidden="1" customWidth="1"/>
    <col min="15" max="16" width="13.28515625" style="42" hidden="1" customWidth="1"/>
    <col min="17" max="20" width="10.28515625" style="42" hidden="1" customWidth="1"/>
    <col min="21" max="22" width="9.140625" style="42" hidden="1" customWidth="1"/>
    <col min="23" max="24" width="9.140625" style="42"/>
    <col min="25" max="25" width="25.28515625" style="42" bestFit="1" customWidth="1"/>
    <col min="26" max="27" width="12.28515625" style="42" customWidth="1"/>
    <col min="28" max="28" width="12.28515625" style="44" customWidth="1"/>
    <col min="29" max="29" width="8.140625" style="75" customWidth="1"/>
    <col min="30" max="30" width="8.5703125" style="45" customWidth="1"/>
    <col min="31" max="31" width="9.85546875" style="42" customWidth="1"/>
    <col min="32" max="32" width="16.140625" style="42" customWidth="1"/>
    <col min="33" max="33" width="9.140625" style="42"/>
    <col min="34" max="34" width="12.28515625" style="42" customWidth="1"/>
    <col min="35" max="35" width="8.140625" style="42" customWidth="1"/>
    <col min="36" max="36" width="19.7109375" style="42" customWidth="1"/>
    <col min="37" max="37" width="9.140625" style="42" customWidth="1"/>
    <col min="38" max="57" width="9.140625" style="42"/>
    <col min="58" max="58" width="14" style="42" customWidth="1"/>
    <col min="59" max="157" width="9.140625" style="42"/>
    <col min="158" max="208" width="9.85546875" style="42" customWidth="1"/>
    <col min="209" max="211" width="12.28515625" style="42" customWidth="1"/>
    <col min="212" max="16384" width="9.140625" style="42"/>
  </cols>
  <sheetData>
    <row r="1" spans="1:211" s="71" customFormat="1" ht="14.45" customHeight="1" x14ac:dyDescent="0.25">
      <c r="A1" s="38" t="s">
        <v>38</v>
      </c>
      <c r="B1" s="95" t="s">
        <v>39</v>
      </c>
      <c r="C1" s="101" t="s">
        <v>40</v>
      </c>
      <c r="D1" s="109" t="s">
        <v>41</v>
      </c>
      <c r="E1" s="109" t="s">
        <v>513</v>
      </c>
      <c r="F1" s="109" t="s">
        <v>514</v>
      </c>
      <c r="G1" s="109" t="s">
        <v>515</v>
      </c>
      <c r="H1" s="109" t="s">
        <v>516</v>
      </c>
      <c r="I1" s="109" t="s">
        <v>517</v>
      </c>
      <c r="J1" s="109" t="s">
        <v>518</v>
      </c>
      <c r="K1" s="109" t="s">
        <v>519</v>
      </c>
      <c r="L1" s="109" t="s">
        <v>520</v>
      </c>
      <c r="M1" s="109" t="s">
        <v>521</v>
      </c>
      <c r="N1" s="106" t="s">
        <v>42</v>
      </c>
      <c r="O1" s="106" t="s">
        <v>522</v>
      </c>
      <c r="P1" s="106" t="s">
        <v>523</v>
      </c>
      <c r="Q1" s="106" t="s">
        <v>524</v>
      </c>
      <c r="R1" s="106" t="s">
        <v>525</v>
      </c>
      <c r="S1" s="106" t="s">
        <v>526</v>
      </c>
      <c r="T1" s="106" t="s">
        <v>527</v>
      </c>
      <c r="U1" s="106" t="s">
        <v>528</v>
      </c>
      <c r="V1" s="101" t="s">
        <v>43</v>
      </c>
      <c r="W1" s="40" t="s">
        <v>44</v>
      </c>
      <c r="X1" s="38" t="s">
        <v>45</v>
      </c>
      <c r="Y1" s="20" t="s">
        <v>46</v>
      </c>
      <c r="Z1" s="20" t="s">
        <v>529</v>
      </c>
      <c r="AA1" s="20" t="s">
        <v>530</v>
      </c>
      <c r="AB1" s="20" t="s">
        <v>531</v>
      </c>
      <c r="AC1" s="100" t="s">
        <v>47</v>
      </c>
      <c r="AD1" s="112" t="s">
        <v>48</v>
      </c>
      <c r="AE1" s="108" t="s">
        <v>49</v>
      </c>
      <c r="AF1" s="21" t="s">
        <v>50</v>
      </c>
      <c r="AG1" s="20" t="s">
        <v>52</v>
      </c>
      <c r="AH1" s="20" t="s">
        <v>532</v>
      </c>
      <c r="AI1" s="21" t="s">
        <v>4</v>
      </c>
      <c r="AJ1" s="21" t="s">
        <v>51</v>
      </c>
      <c r="AK1" s="20" t="s">
        <v>227</v>
      </c>
      <c r="AL1" s="21" t="s">
        <v>53</v>
      </c>
      <c r="AM1" s="110" t="s">
        <v>8</v>
      </c>
      <c r="AN1" s="110" t="s">
        <v>9</v>
      </c>
      <c r="AO1" s="110" t="s">
        <v>10</v>
      </c>
      <c r="AP1" s="110" t="s">
        <v>11</v>
      </c>
      <c r="AQ1" s="110" t="s">
        <v>12</v>
      </c>
      <c r="AR1" s="110" t="s">
        <v>13</v>
      </c>
      <c r="AS1" s="110" t="s">
        <v>14</v>
      </c>
      <c r="AT1" s="110" t="s">
        <v>15</v>
      </c>
      <c r="AU1" s="110" t="s">
        <v>16</v>
      </c>
      <c r="AV1" s="110" t="s">
        <v>17</v>
      </c>
      <c r="AW1" s="110" t="s">
        <v>18</v>
      </c>
      <c r="AX1" s="110" t="s">
        <v>19</v>
      </c>
      <c r="AY1" s="110" t="s">
        <v>20</v>
      </c>
      <c r="AZ1" s="110" t="s">
        <v>21</v>
      </c>
      <c r="BA1" s="110" t="s">
        <v>22</v>
      </c>
      <c r="BB1" s="110" t="s">
        <v>23</v>
      </c>
      <c r="BC1" s="110" t="s">
        <v>24</v>
      </c>
      <c r="BD1" s="110" t="s">
        <v>25</v>
      </c>
      <c r="BE1" s="21" t="s">
        <v>26</v>
      </c>
      <c r="BF1" s="21" t="s">
        <v>54</v>
      </c>
      <c r="BG1" s="21" t="s">
        <v>55</v>
      </c>
      <c r="BH1" s="21" t="s">
        <v>56</v>
      </c>
      <c r="BI1" s="21" t="s">
        <v>57</v>
      </c>
      <c r="BJ1" s="21" t="s">
        <v>58</v>
      </c>
      <c r="BK1" s="21" t="s">
        <v>59</v>
      </c>
      <c r="BL1" s="21" t="s">
        <v>60</v>
      </c>
      <c r="BM1" s="21" t="s">
        <v>61</v>
      </c>
      <c r="BN1" s="21" t="s">
        <v>62</v>
      </c>
      <c r="BO1" s="21" t="s">
        <v>63</v>
      </c>
      <c r="BP1" s="21" t="s">
        <v>64</v>
      </c>
      <c r="BQ1" s="21" t="s">
        <v>65</v>
      </c>
      <c r="BR1" s="21" t="s">
        <v>66</v>
      </c>
      <c r="BS1" s="21" t="s">
        <v>67</v>
      </c>
      <c r="BT1" s="21" t="s">
        <v>68</v>
      </c>
      <c r="BU1" s="21" t="s">
        <v>69</v>
      </c>
      <c r="BV1" s="21" t="s">
        <v>70</v>
      </c>
      <c r="BW1" s="21" t="s">
        <v>71</v>
      </c>
      <c r="BX1" s="21" t="s">
        <v>72</v>
      </c>
      <c r="BY1" s="21" t="s">
        <v>73</v>
      </c>
      <c r="BZ1" s="21" t="s">
        <v>74</v>
      </c>
      <c r="CA1" s="21" t="s">
        <v>75</v>
      </c>
      <c r="CB1" s="21" t="s">
        <v>76</v>
      </c>
      <c r="CC1" s="21" t="s">
        <v>77</v>
      </c>
      <c r="CD1" s="21" t="s">
        <v>78</v>
      </c>
      <c r="CE1" s="21" t="s">
        <v>79</v>
      </c>
      <c r="CF1" s="21" t="s">
        <v>80</v>
      </c>
      <c r="CG1" s="21" t="s">
        <v>81</v>
      </c>
      <c r="CH1" s="21" t="s">
        <v>82</v>
      </c>
      <c r="CI1" s="21" t="s">
        <v>83</v>
      </c>
      <c r="CJ1" s="21" t="s">
        <v>84</v>
      </c>
      <c r="CK1" s="21" t="s">
        <v>85</v>
      </c>
      <c r="CL1" s="21" t="s">
        <v>86</v>
      </c>
      <c r="CM1" s="21" t="s">
        <v>87</v>
      </c>
      <c r="CN1" s="21" t="s">
        <v>88</v>
      </c>
      <c r="CO1" s="21" t="s">
        <v>89</v>
      </c>
      <c r="CP1" s="21" t="s">
        <v>90</v>
      </c>
      <c r="CQ1" s="21" t="s">
        <v>91</v>
      </c>
      <c r="CR1" s="21" t="s">
        <v>92</v>
      </c>
      <c r="CS1" s="21" t="s">
        <v>93</v>
      </c>
      <c r="CT1" s="21" t="s">
        <v>94</v>
      </c>
      <c r="CU1" s="21" t="s">
        <v>95</v>
      </c>
      <c r="CV1" s="21" t="s">
        <v>96</v>
      </c>
      <c r="CW1" s="21" t="s">
        <v>97</v>
      </c>
      <c r="CX1" s="21" t="s">
        <v>98</v>
      </c>
      <c r="CY1" s="21" t="s">
        <v>99</v>
      </c>
      <c r="CZ1" s="21" t="s">
        <v>100</v>
      </c>
      <c r="DA1" s="21" t="s">
        <v>101</v>
      </c>
      <c r="DB1" s="21" t="s">
        <v>102</v>
      </c>
      <c r="DC1" s="21" t="s">
        <v>103</v>
      </c>
      <c r="DD1" s="21" t="s">
        <v>104</v>
      </c>
      <c r="DE1" s="21" t="s">
        <v>105</v>
      </c>
      <c r="DF1" s="21" t="s">
        <v>106</v>
      </c>
      <c r="DG1" s="21" t="s">
        <v>107</v>
      </c>
      <c r="DH1" s="21" t="s">
        <v>108</v>
      </c>
      <c r="DI1" s="21" t="s">
        <v>109</v>
      </c>
      <c r="DJ1" s="21" t="s">
        <v>110</v>
      </c>
      <c r="DK1" s="21" t="s">
        <v>111</v>
      </c>
      <c r="DL1" s="21" t="s">
        <v>112</v>
      </c>
      <c r="DM1" s="21" t="s">
        <v>113</v>
      </c>
      <c r="DN1" s="21" t="s">
        <v>114</v>
      </c>
      <c r="DO1" s="21" t="s">
        <v>115</v>
      </c>
      <c r="DP1" s="21" t="s">
        <v>116</v>
      </c>
      <c r="DQ1" s="21" t="s">
        <v>117</v>
      </c>
      <c r="DR1" s="21" t="s">
        <v>118</v>
      </c>
      <c r="DS1" s="21" t="s">
        <v>119</v>
      </c>
      <c r="DT1" s="21" t="s">
        <v>120</v>
      </c>
      <c r="DU1" s="21" t="s">
        <v>121</v>
      </c>
      <c r="DV1" s="21" t="s">
        <v>122</v>
      </c>
      <c r="DW1" s="21" t="s">
        <v>123</v>
      </c>
      <c r="DX1" s="21" t="s">
        <v>124</v>
      </c>
      <c r="DY1" s="21" t="s">
        <v>125</v>
      </c>
      <c r="DZ1" s="21" t="s">
        <v>126</v>
      </c>
      <c r="EA1" s="21" t="s">
        <v>127</v>
      </c>
      <c r="EB1" s="21" t="s">
        <v>128</v>
      </c>
      <c r="EC1" s="21" t="s">
        <v>129</v>
      </c>
      <c r="ED1" s="21" t="s">
        <v>130</v>
      </c>
      <c r="EE1" s="21" t="s">
        <v>131</v>
      </c>
      <c r="EF1" s="21" t="s">
        <v>132</v>
      </c>
      <c r="EG1" s="21" t="s">
        <v>133</v>
      </c>
      <c r="EH1" s="21" t="s">
        <v>134</v>
      </c>
      <c r="EI1" s="21" t="s">
        <v>135</v>
      </c>
      <c r="EJ1" s="21" t="s">
        <v>136</v>
      </c>
      <c r="EK1" s="21" t="s">
        <v>137</v>
      </c>
      <c r="EL1" s="21" t="s">
        <v>138</v>
      </c>
      <c r="EM1" s="21" t="s">
        <v>139</v>
      </c>
      <c r="EN1" s="21" t="s">
        <v>140</v>
      </c>
      <c r="EO1" s="21" t="s">
        <v>141</v>
      </c>
      <c r="EP1" s="21" t="s">
        <v>142</v>
      </c>
      <c r="EQ1" s="21" t="s">
        <v>143</v>
      </c>
      <c r="ER1" s="21" t="s">
        <v>144</v>
      </c>
      <c r="ES1" s="21" t="s">
        <v>145</v>
      </c>
      <c r="ET1" s="21" t="s">
        <v>146</v>
      </c>
      <c r="EU1" s="21" t="s">
        <v>147</v>
      </c>
      <c r="EV1" s="21" t="s">
        <v>148</v>
      </c>
      <c r="EW1" s="21" t="s">
        <v>149</v>
      </c>
      <c r="EX1" s="21" t="s">
        <v>150</v>
      </c>
      <c r="EY1" s="21" t="s">
        <v>151</v>
      </c>
      <c r="EZ1" s="21" t="s">
        <v>152</v>
      </c>
      <c r="FA1" s="21" t="s">
        <v>153</v>
      </c>
      <c r="FB1" s="21" t="s">
        <v>154</v>
      </c>
      <c r="FC1" s="21" t="s">
        <v>155</v>
      </c>
      <c r="FD1" s="21" t="s">
        <v>156</v>
      </c>
      <c r="FE1" s="21" t="s">
        <v>157</v>
      </c>
      <c r="FF1" s="21" t="s">
        <v>158</v>
      </c>
      <c r="FG1" s="21" t="s">
        <v>159</v>
      </c>
      <c r="FH1" s="21" t="s">
        <v>160</v>
      </c>
      <c r="FI1" s="21" t="s">
        <v>161</v>
      </c>
      <c r="FJ1" s="21" t="s">
        <v>162</v>
      </c>
      <c r="FK1" s="21" t="s">
        <v>163</v>
      </c>
      <c r="FL1" s="21" t="s">
        <v>164</v>
      </c>
      <c r="FM1" s="21" t="s">
        <v>165</v>
      </c>
      <c r="FN1" s="21" t="s">
        <v>166</v>
      </c>
      <c r="FO1" s="21" t="s">
        <v>167</v>
      </c>
      <c r="FP1" s="21" t="s">
        <v>168</v>
      </c>
      <c r="FQ1" s="21" t="s">
        <v>169</v>
      </c>
      <c r="FR1" s="21" t="s">
        <v>170</v>
      </c>
      <c r="FS1" s="21" t="s">
        <v>171</v>
      </c>
      <c r="FT1" s="21" t="s">
        <v>172</v>
      </c>
      <c r="FU1" s="21" t="s">
        <v>173</v>
      </c>
      <c r="FV1" s="21" t="s">
        <v>174</v>
      </c>
      <c r="FW1" s="21" t="s">
        <v>175</v>
      </c>
      <c r="FX1" s="21" t="s">
        <v>176</v>
      </c>
      <c r="FY1" s="21" t="s">
        <v>177</v>
      </c>
      <c r="FZ1" s="21" t="s">
        <v>178</v>
      </c>
      <c r="GA1" s="21" t="s">
        <v>179</v>
      </c>
      <c r="GB1" s="21" t="s">
        <v>180</v>
      </c>
      <c r="GC1" s="21" t="s">
        <v>181</v>
      </c>
      <c r="GD1" s="21" t="s">
        <v>182</v>
      </c>
      <c r="GE1" s="21" t="s">
        <v>183</v>
      </c>
      <c r="GF1" s="21" t="s">
        <v>184</v>
      </c>
      <c r="GG1" s="21" t="s">
        <v>185</v>
      </c>
      <c r="GH1" s="21" t="s">
        <v>186</v>
      </c>
      <c r="GI1" s="21" t="s">
        <v>187</v>
      </c>
      <c r="GJ1" s="21" t="s">
        <v>188</v>
      </c>
      <c r="GK1" s="21" t="s">
        <v>189</v>
      </c>
      <c r="GL1" s="21" t="s">
        <v>190</v>
      </c>
      <c r="GM1" s="21" t="s">
        <v>191</v>
      </c>
      <c r="GN1" s="21" t="s">
        <v>192</v>
      </c>
      <c r="GO1" s="21" t="s">
        <v>193</v>
      </c>
      <c r="GP1" s="21" t="s">
        <v>194</v>
      </c>
      <c r="GQ1" s="21" t="s">
        <v>195</v>
      </c>
      <c r="GR1" s="21" t="s">
        <v>196</v>
      </c>
      <c r="GS1" s="21" t="s">
        <v>197</v>
      </c>
      <c r="GT1" s="21" t="s">
        <v>198</v>
      </c>
      <c r="GU1" s="21" t="s">
        <v>199</v>
      </c>
      <c r="GV1" s="21" t="s">
        <v>200</v>
      </c>
      <c r="GW1" s="21" t="s">
        <v>201</v>
      </c>
      <c r="GX1" s="21" t="s">
        <v>202</v>
      </c>
      <c r="GY1" s="21" t="s">
        <v>203</v>
      </c>
      <c r="GZ1" s="21" t="s">
        <v>204</v>
      </c>
      <c r="HA1" s="71" t="s">
        <v>533</v>
      </c>
      <c r="HB1" s="71" t="s">
        <v>534</v>
      </c>
      <c r="HC1" s="71" t="s">
        <v>535</v>
      </c>
    </row>
    <row r="2" spans="1:211" s="71" customFormat="1" ht="31.15" customHeight="1" x14ac:dyDescent="0.25">
      <c r="A2" s="38"/>
      <c r="B2" s="95"/>
      <c r="C2" s="101"/>
      <c r="D2" s="106" t="s">
        <v>205</v>
      </c>
      <c r="E2" s="106"/>
      <c r="F2" s="107" t="s">
        <v>206</v>
      </c>
      <c r="G2" s="107"/>
      <c r="H2" s="106" t="s">
        <v>207</v>
      </c>
      <c r="I2" s="106"/>
      <c r="J2" s="106" t="s">
        <v>208</v>
      </c>
      <c r="K2" s="106"/>
      <c r="L2" s="106" t="s">
        <v>209</v>
      </c>
      <c r="M2" s="106"/>
      <c r="N2" s="107" t="s">
        <v>206</v>
      </c>
      <c r="O2" s="107"/>
      <c r="P2" s="106" t="s">
        <v>207</v>
      </c>
      <c r="Q2" s="106"/>
      <c r="R2" s="106" t="s">
        <v>208</v>
      </c>
      <c r="S2" s="106"/>
      <c r="T2" s="106" t="s">
        <v>209</v>
      </c>
      <c r="U2" s="106"/>
      <c r="V2" s="101"/>
      <c r="W2" s="40"/>
      <c r="X2" s="38"/>
      <c r="Y2" s="40" t="s">
        <v>220</v>
      </c>
      <c r="Z2" s="20" t="s">
        <v>211</v>
      </c>
      <c r="AA2" s="20"/>
      <c r="AB2" s="20"/>
      <c r="AC2" s="100"/>
      <c r="AD2" s="112"/>
      <c r="AE2" s="108"/>
      <c r="AF2" s="21"/>
      <c r="AG2" s="20" t="s">
        <v>212</v>
      </c>
      <c r="AH2" s="20" t="s">
        <v>213</v>
      </c>
      <c r="AI2" s="21"/>
      <c r="AJ2" s="21"/>
      <c r="AK2" s="20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</row>
    <row r="3" spans="1:211" ht="22.9" customHeight="1" x14ac:dyDescent="0.25">
      <c r="A3" s="38"/>
      <c r="B3" s="95"/>
      <c r="C3" s="101"/>
      <c r="D3" s="43" t="s">
        <v>214</v>
      </c>
      <c r="E3" s="43" t="s">
        <v>215</v>
      </c>
      <c r="F3" s="43" t="s">
        <v>214</v>
      </c>
      <c r="G3" s="43" t="s">
        <v>215</v>
      </c>
      <c r="H3" s="43" t="s">
        <v>214</v>
      </c>
      <c r="I3" s="43" t="s">
        <v>215</v>
      </c>
      <c r="J3" s="43" t="s">
        <v>214</v>
      </c>
      <c r="K3" s="43" t="s">
        <v>215</v>
      </c>
      <c r="L3" s="43" t="s">
        <v>214</v>
      </c>
      <c r="M3" s="43" t="s">
        <v>215</v>
      </c>
      <c r="N3" s="43" t="s">
        <v>214</v>
      </c>
      <c r="O3" s="43" t="s">
        <v>215</v>
      </c>
      <c r="P3" s="43" t="s">
        <v>214</v>
      </c>
      <c r="Q3" s="43" t="s">
        <v>215</v>
      </c>
      <c r="R3" s="43" t="s">
        <v>214</v>
      </c>
      <c r="S3" s="43" t="s">
        <v>215</v>
      </c>
      <c r="T3" s="43" t="s">
        <v>214</v>
      </c>
      <c r="U3" s="43" t="s">
        <v>215</v>
      </c>
      <c r="V3" s="101"/>
      <c r="W3" s="40"/>
      <c r="X3" s="38"/>
      <c r="Y3" s="40"/>
      <c r="Z3" s="40" t="s">
        <v>216</v>
      </c>
      <c r="AA3" s="40" t="s">
        <v>217</v>
      </c>
      <c r="AB3" s="41" t="s">
        <v>218</v>
      </c>
      <c r="AC3" s="75">
        <v>1</v>
      </c>
      <c r="AD3" s="45" t="s">
        <v>221</v>
      </c>
      <c r="AE3" s="42">
        <v>3</v>
      </c>
      <c r="AF3" s="42">
        <v>10.27</v>
      </c>
      <c r="AG3" s="42">
        <v>10.050000000000001</v>
      </c>
      <c r="AH3" s="42">
        <v>10.15</v>
      </c>
      <c r="AI3" s="42">
        <v>1</v>
      </c>
      <c r="AK3" s="42">
        <v>0</v>
      </c>
    </row>
    <row r="4" spans="1:211" x14ac:dyDescent="0.25">
      <c r="A4" s="42">
        <v>1</v>
      </c>
      <c r="B4" s="70">
        <v>46141</v>
      </c>
      <c r="C4" s="42" t="s">
        <v>279</v>
      </c>
      <c r="W4" s="42" t="s">
        <v>252</v>
      </c>
      <c r="Y4" s="42" t="s">
        <v>280</v>
      </c>
      <c r="Z4" s="42">
        <v>100</v>
      </c>
      <c r="AA4" s="42">
        <v>500</v>
      </c>
      <c r="AB4" s="44">
        <v>80</v>
      </c>
      <c r="AC4" s="47"/>
      <c r="AD4" s="48"/>
      <c r="AE4" s="49"/>
      <c r="AF4" s="49"/>
      <c r="AG4" s="57"/>
      <c r="AH4" s="57"/>
      <c r="AI4" s="49"/>
      <c r="AJ4" s="77" t="s">
        <v>31</v>
      </c>
      <c r="AK4" s="42">
        <v>14.02</v>
      </c>
    </row>
    <row r="5" spans="1:211" x14ac:dyDescent="0.25">
      <c r="AC5" s="47"/>
      <c r="AD5" s="48"/>
      <c r="AE5" s="49"/>
      <c r="AF5" s="49"/>
      <c r="AG5" s="57"/>
      <c r="AH5" s="57"/>
      <c r="AI5" s="49"/>
      <c r="AJ5" s="77" t="s">
        <v>33</v>
      </c>
    </row>
    <row r="6" spans="1:211" x14ac:dyDescent="0.25">
      <c r="AC6" s="47"/>
      <c r="AD6" s="48"/>
      <c r="AE6" s="49"/>
      <c r="AF6" s="49"/>
      <c r="AG6" s="57"/>
      <c r="AH6" s="57"/>
      <c r="AI6" s="49"/>
      <c r="AJ6" s="77" t="s">
        <v>35</v>
      </c>
      <c r="AK6" s="42" t="s">
        <v>227</v>
      </c>
    </row>
    <row r="7" spans="1:211" s="60" customFormat="1" x14ac:dyDescent="0.25">
      <c r="AB7" s="61"/>
      <c r="AC7" s="62"/>
      <c r="AD7" s="63"/>
      <c r="AE7" s="64"/>
      <c r="AF7" s="64"/>
      <c r="AG7" s="65"/>
      <c r="AH7" s="65"/>
      <c r="AI7" s="64"/>
      <c r="AJ7" s="78" t="s">
        <v>37</v>
      </c>
    </row>
    <row r="8" spans="1:211" x14ac:dyDescent="0.25">
      <c r="AI8" s="42">
        <v>2</v>
      </c>
      <c r="AK8" s="42">
        <v>0</v>
      </c>
    </row>
    <row r="9" spans="1:211" x14ac:dyDescent="0.25">
      <c r="AC9" s="47"/>
      <c r="AD9" s="48"/>
      <c r="AE9" s="49"/>
      <c r="AF9" s="49"/>
      <c r="AG9" s="57"/>
      <c r="AH9" s="57"/>
      <c r="AI9" s="49"/>
      <c r="AJ9" s="77" t="s">
        <v>31</v>
      </c>
      <c r="AK9" s="42">
        <v>14.02</v>
      </c>
    </row>
    <row r="10" spans="1:211" x14ac:dyDescent="0.25">
      <c r="AC10" s="47"/>
      <c r="AD10" s="48"/>
      <c r="AE10" s="49"/>
      <c r="AF10" s="49"/>
      <c r="AG10" s="57"/>
      <c r="AH10" s="57"/>
      <c r="AI10" s="49"/>
      <c r="AJ10" s="77" t="s">
        <v>33</v>
      </c>
    </row>
    <row r="11" spans="1:211" x14ac:dyDescent="0.25">
      <c r="AC11" s="47"/>
      <c r="AD11" s="48"/>
      <c r="AE11" s="49"/>
      <c r="AF11" s="49"/>
      <c r="AG11" s="57"/>
      <c r="AH11" s="57"/>
      <c r="AI11" s="49"/>
      <c r="AJ11" s="77" t="s">
        <v>35</v>
      </c>
      <c r="AK11" s="42" t="s">
        <v>227</v>
      </c>
    </row>
    <row r="12" spans="1:211" s="60" customFormat="1" x14ac:dyDescent="0.25">
      <c r="AB12" s="61"/>
      <c r="AC12" s="62"/>
      <c r="AD12" s="63"/>
      <c r="AE12" s="64"/>
      <c r="AF12" s="64"/>
      <c r="AG12" s="65"/>
      <c r="AH12" s="65"/>
      <c r="AI12" s="64"/>
      <c r="AJ12" s="78" t="s">
        <v>37</v>
      </c>
    </row>
    <row r="13" spans="1:211" x14ac:dyDescent="0.25">
      <c r="AI13" s="42">
        <v>3</v>
      </c>
      <c r="AK13" s="42">
        <v>0</v>
      </c>
    </row>
    <row r="14" spans="1:211" x14ac:dyDescent="0.25">
      <c r="AC14" s="47"/>
      <c r="AD14" s="48"/>
      <c r="AE14" s="49"/>
      <c r="AF14" s="49"/>
      <c r="AG14" s="57"/>
      <c r="AH14" s="57"/>
      <c r="AI14" s="49"/>
      <c r="AJ14" s="77" t="s">
        <v>31</v>
      </c>
      <c r="AK14" s="42">
        <v>14.02</v>
      </c>
    </row>
    <row r="15" spans="1:211" x14ac:dyDescent="0.25">
      <c r="AC15" s="47"/>
      <c r="AD15" s="48"/>
      <c r="AE15" s="49"/>
      <c r="AF15" s="49"/>
      <c r="AG15" s="57"/>
      <c r="AH15" s="57"/>
      <c r="AI15" s="49"/>
      <c r="AJ15" s="77" t="s">
        <v>33</v>
      </c>
    </row>
    <row r="16" spans="1:211" x14ac:dyDescent="0.25">
      <c r="AC16" s="47"/>
      <c r="AD16" s="48"/>
      <c r="AE16" s="49"/>
      <c r="AF16" s="49"/>
      <c r="AG16" s="57"/>
      <c r="AH16" s="57"/>
      <c r="AI16" s="49"/>
      <c r="AJ16" s="77" t="s">
        <v>35</v>
      </c>
      <c r="AK16" s="42" t="s">
        <v>227</v>
      </c>
    </row>
    <row r="17" spans="28:38" s="56" customFormat="1" x14ac:dyDescent="0.25">
      <c r="AB17" s="51"/>
      <c r="AC17" s="52"/>
      <c r="AD17" s="53"/>
      <c r="AE17" s="54"/>
      <c r="AF17" s="54"/>
      <c r="AG17" s="58"/>
      <c r="AH17" s="58"/>
      <c r="AI17" s="54"/>
      <c r="AJ17" s="79" t="s">
        <v>37</v>
      </c>
    </row>
    <row r="18" spans="28:38" x14ac:dyDescent="0.25">
      <c r="AC18" s="75">
        <v>2</v>
      </c>
      <c r="AD18" s="45" t="s">
        <v>228</v>
      </c>
      <c r="AE18" s="42">
        <v>3</v>
      </c>
      <c r="AF18" s="42">
        <v>10.39</v>
      </c>
      <c r="AG18" s="42">
        <v>10.17</v>
      </c>
      <c r="AH18" s="42">
        <v>10.26</v>
      </c>
      <c r="AI18" s="42">
        <v>1</v>
      </c>
      <c r="AK18" s="42">
        <v>0</v>
      </c>
    </row>
    <row r="19" spans="28:38" x14ac:dyDescent="0.25">
      <c r="AC19" s="47"/>
      <c r="AD19" s="48"/>
      <c r="AE19" s="49"/>
      <c r="AF19" s="49"/>
      <c r="AG19" s="57"/>
      <c r="AH19" s="57"/>
      <c r="AI19" s="49"/>
      <c r="AJ19" s="77" t="s">
        <v>31</v>
      </c>
      <c r="AK19" s="42">
        <v>14.03</v>
      </c>
    </row>
    <row r="20" spans="28:38" x14ac:dyDescent="0.25">
      <c r="AC20" s="47"/>
      <c r="AD20" s="48"/>
      <c r="AE20" s="49"/>
      <c r="AF20" s="49"/>
      <c r="AG20" s="57"/>
      <c r="AH20" s="57"/>
      <c r="AI20" s="49"/>
      <c r="AJ20" s="77" t="s">
        <v>33</v>
      </c>
    </row>
    <row r="21" spans="28:38" x14ac:dyDescent="0.25">
      <c r="AC21" s="47"/>
      <c r="AD21" s="48"/>
      <c r="AE21" s="49"/>
      <c r="AF21" s="49"/>
      <c r="AG21" s="57"/>
      <c r="AH21" s="57"/>
      <c r="AI21" s="49"/>
      <c r="AJ21" s="77" t="s">
        <v>35</v>
      </c>
      <c r="AK21" s="42" t="s">
        <v>227</v>
      </c>
    </row>
    <row r="22" spans="28:38" s="60" customFormat="1" x14ac:dyDescent="0.25">
      <c r="AB22" s="61"/>
      <c r="AC22" s="62"/>
      <c r="AD22" s="63"/>
      <c r="AE22" s="64"/>
      <c r="AF22" s="64"/>
      <c r="AG22" s="65"/>
      <c r="AH22" s="65"/>
      <c r="AI22" s="64"/>
      <c r="AJ22" s="78" t="s">
        <v>37</v>
      </c>
    </row>
    <row r="23" spans="28:38" x14ac:dyDescent="0.25">
      <c r="AI23" s="42">
        <v>2</v>
      </c>
      <c r="AK23" s="42">
        <v>0</v>
      </c>
    </row>
    <row r="24" spans="28:38" x14ac:dyDescent="0.25">
      <c r="AC24" s="47"/>
      <c r="AD24" s="48"/>
      <c r="AE24" s="49"/>
      <c r="AF24" s="49"/>
      <c r="AG24" s="57"/>
      <c r="AH24" s="57"/>
      <c r="AI24" s="49"/>
      <c r="AJ24" s="77" t="s">
        <v>31</v>
      </c>
      <c r="AK24" s="42">
        <v>14.03</v>
      </c>
    </row>
    <row r="25" spans="28:38" x14ac:dyDescent="0.25">
      <c r="AC25" s="47"/>
      <c r="AD25" s="48"/>
      <c r="AE25" s="49"/>
      <c r="AF25" s="49"/>
      <c r="AG25" s="57"/>
      <c r="AH25" s="57"/>
      <c r="AI25" s="49"/>
      <c r="AJ25" s="77" t="s">
        <v>33</v>
      </c>
    </row>
    <row r="26" spans="28:38" x14ac:dyDescent="0.25">
      <c r="AC26" s="47"/>
      <c r="AD26" s="48"/>
      <c r="AE26" s="49"/>
      <c r="AF26" s="49"/>
      <c r="AG26" s="57"/>
      <c r="AH26" s="57"/>
      <c r="AI26" s="49"/>
      <c r="AJ26" s="77" t="s">
        <v>35</v>
      </c>
      <c r="AK26" s="42" t="s">
        <v>227</v>
      </c>
    </row>
    <row r="27" spans="28:38" s="60" customFormat="1" x14ac:dyDescent="0.25">
      <c r="AB27" s="61"/>
      <c r="AC27" s="62"/>
      <c r="AD27" s="63"/>
      <c r="AE27" s="64"/>
      <c r="AF27" s="64"/>
      <c r="AG27" s="65"/>
      <c r="AH27" s="65"/>
      <c r="AI27" s="64"/>
      <c r="AJ27" s="78" t="s">
        <v>37</v>
      </c>
    </row>
    <row r="28" spans="28:38" s="74" customFormat="1" x14ac:dyDescent="0.25">
      <c r="AB28" s="72"/>
      <c r="AC28" s="76"/>
      <c r="AD28" s="73"/>
      <c r="AI28" s="74">
        <v>3</v>
      </c>
      <c r="AL28" s="74">
        <v>1</v>
      </c>
    </row>
    <row r="29" spans="28:38" x14ac:dyDescent="0.25">
      <c r="AC29" s="47"/>
      <c r="AD29" s="48"/>
      <c r="AE29" s="49"/>
      <c r="AF29" s="49"/>
      <c r="AG29" s="57"/>
      <c r="AH29" s="57"/>
      <c r="AI29" s="49"/>
      <c r="AJ29" s="77" t="s">
        <v>31</v>
      </c>
      <c r="AL29" s="42">
        <v>14.03</v>
      </c>
    </row>
    <row r="30" spans="28:38" x14ac:dyDescent="0.25">
      <c r="AC30" s="47"/>
      <c r="AD30" s="48"/>
      <c r="AE30" s="49"/>
      <c r="AF30" s="49"/>
      <c r="AG30" s="57"/>
      <c r="AH30" s="57"/>
      <c r="AI30" s="49"/>
      <c r="AJ30" s="77" t="s">
        <v>33</v>
      </c>
    </row>
    <row r="31" spans="28:38" x14ac:dyDescent="0.25">
      <c r="AC31" s="47"/>
      <c r="AD31" s="48"/>
      <c r="AE31" s="49"/>
      <c r="AF31" s="49"/>
      <c r="AG31" s="57"/>
      <c r="AH31" s="57"/>
      <c r="AI31" s="49"/>
      <c r="AJ31" s="77" t="s">
        <v>35</v>
      </c>
    </row>
    <row r="32" spans="28:38" s="56" customFormat="1" x14ac:dyDescent="0.25">
      <c r="AB32" s="51"/>
      <c r="AC32" s="52"/>
      <c r="AD32" s="53"/>
      <c r="AE32" s="54"/>
      <c r="AF32" s="54"/>
      <c r="AG32" s="58"/>
      <c r="AH32" s="58"/>
      <c r="AI32" s="54"/>
      <c r="AJ32" s="79" t="s">
        <v>37</v>
      </c>
      <c r="AL32" s="56" t="s">
        <v>229</v>
      </c>
    </row>
    <row r="33" spans="28:63" x14ac:dyDescent="0.25">
      <c r="AC33" s="75">
        <v>3</v>
      </c>
      <c r="AD33" s="45" t="s">
        <v>230</v>
      </c>
      <c r="AE33" s="42">
        <v>3</v>
      </c>
      <c r="AF33" s="42">
        <v>10.53</v>
      </c>
      <c r="AG33" s="42">
        <v>10.26</v>
      </c>
      <c r="AH33" s="42">
        <v>10.38</v>
      </c>
      <c r="AI33" s="42">
        <v>1</v>
      </c>
      <c r="AS33" s="42">
        <v>1</v>
      </c>
      <c r="AW33" s="42">
        <v>1</v>
      </c>
      <c r="AX33" s="42">
        <v>1</v>
      </c>
      <c r="BA33" s="42">
        <v>1</v>
      </c>
      <c r="BD33" s="42">
        <v>1</v>
      </c>
      <c r="BG33" s="42">
        <v>1</v>
      </c>
      <c r="BH33" s="42">
        <v>1</v>
      </c>
      <c r="BI33" s="42">
        <v>1</v>
      </c>
      <c r="BJ33" s="42">
        <v>1</v>
      </c>
      <c r="BK33" s="42">
        <v>1</v>
      </c>
    </row>
    <row r="34" spans="28:63" x14ac:dyDescent="0.25">
      <c r="AC34" s="47"/>
      <c r="AD34" s="48"/>
      <c r="AE34" s="49"/>
      <c r="AF34" s="49"/>
      <c r="AG34" s="57"/>
      <c r="AH34" s="57"/>
      <c r="AI34" s="49"/>
      <c r="AJ34" s="77" t="s">
        <v>31</v>
      </c>
      <c r="AS34" s="42">
        <v>14.05</v>
      </c>
      <c r="AW34" s="42">
        <v>15.24</v>
      </c>
      <c r="AX34" s="42">
        <v>16.440000000000001</v>
      </c>
      <c r="BA34" s="42">
        <v>19.22</v>
      </c>
      <c r="BD34" s="42">
        <v>20.16</v>
      </c>
      <c r="BG34" s="42">
        <v>9.0299999999999994</v>
      </c>
    </row>
    <row r="35" spans="28:63" x14ac:dyDescent="0.25">
      <c r="AC35" s="47"/>
      <c r="AD35" s="48"/>
      <c r="AE35" s="49"/>
      <c r="AF35" s="49"/>
      <c r="AG35" s="57"/>
      <c r="AH35" s="57"/>
      <c r="AI35" s="49"/>
      <c r="AJ35" s="77" t="s">
        <v>33</v>
      </c>
      <c r="BK35" s="80" t="s">
        <v>281</v>
      </c>
    </row>
    <row r="36" spans="28:63" x14ac:dyDescent="0.25">
      <c r="AC36" s="47"/>
      <c r="AD36" s="48"/>
      <c r="AE36" s="49"/>
      <c r="AF36" s="49"/>
      <c r="AG36" s="57"/>
      <c r="AH36" s="57"/>
      <c r="AI36" s="49"/>
      <c r="AJ36" s="77" t="s">
        <v>35</v>
      </c>
    </row>
    <row r="37" spans="28:63" s="60" customFormat="1" x14ac:dyDescent="0.25">
      <c r="AB37" s="61"/>
      <c r="AC37" s="62"/>
      <c r="AD37" s="63"/>
      <c r="AE37" s="64"/>
      <c r="AF37" s="64"/>
      <c r="AG37" s="65"/>
      <c r="AH37" s="65"/>
      <c r="AI37" s="64"/>
      <c r="AJ37" s="78" t="s">
        <v>37</v>
      </c>
      <c r="AS37" s="60" t="s">
        <v>226</v>
      </c>
      <c r="AW37" s="60" t="s">
        <v>226</v>
      </c>
      <c r="AX37" s="60" t="s">
        <v>226</v>
      </c>
      <c r="BA37" s="60" t="s">
        <v>226</v>
      </c>
      <c r="BD37" s="60" t="s">
        <v>226</v>
      </c>
      <c r="BG37" s="60" t="s">
        <v>282</v>
      </c>
      <c r="BH37" s="60" t="s">
        <v>282</v>
      </c>
      <c r="BI37" s="60" t="s">
        <v>229</v>
      </c>
      <c r="BJ37" s="60" t="s">
        <v>229</v>
      </c>
      <c r="BK37" s="60" t="s">
        <v>229</v>
      </c>
    </row>
    <row r="38" spans="28:63" x14ac:dyDescent="0.25">
      <c r="AI38" s="42">
        <v>2</v>
      </c>
      <c r="AL38" s="42">
        <v>1</v>
      </c>
    </row>
    <row r="39" spans="28:63" x14ac:dyDescent="0.25">
      <c r="AC39" s="47"/>
      <c r="AD39" s="48"/>
      <c r="AE39" s="49"/>
      <c r="AF39" s="49"/>
      <c r="AG39" s="57"/>
      <c r="AH39" s="57"/>
      <c r="AI39" s="49"/>
      <c r="AJ39" s="77" t="s">
        <v>31</v>
      </c>
      <c r="AL39" s="42">
        <v>14.07</v>
      </c>
    </row>
    <row r="40" spans="28:63" x14ac:dyDescent="0.25">
      <c r="AC40" s="47"/>
      <c r="AD40" s="48"/>
      <c r="AE40" s="49"/>
      <c r="AF40" s="49"/>
      <c r="AG40" s="57"/>
      <c r="AH40" s="57"/>
      <c r="AI40" s="49"/>
      <c r="AJ40" s="77" t="s">
        <v>33</v>
      </c>
    </row>
    <row r="41" spans="28:63" x14ac:dyDescent="0.25">
      <c r="AC41" s="47"/>
      <c r="AD41" s="48"/>
      <c r="AE41" s="49"/>
      <c r="AF41" s="49"/>
      <c r="AG41" s="57"/>
      <c r="AH41" s="57"/>
      <c r="AI41" s="49"/>
      <c r="AJ41" s="77" t="s">
        <v>35</v>
      </c>
    </row>
    <row r="42" spans="28:63" s="60" customFormat="1" x14ac:dyDescent="0.25">
      <c r="AB42" s="61"/>
      <c r="AC42" s="62"/>
      <c r="AD42" s="63"/>
      <c r="AE42" s="64"/>
      <c r="AF42" s="64"/>
      <c r="AG42" s="65"/>
      <c r="AH42" s="65"/>
      <c r="AI42" s="64"/>
      <c r="AJ42" s="78" t="s">
        <v>37</v>
      </c>
      <c r="AL42" s="60" t="s">
        <v>229</v>
      </c>
    </row>
    <row r="43" spans="28:63" x14ac:dyDescent="0.25">
      <c r="AI43" s="42">
        <v>3</v>
      </c>
      <c r="AK43" s="42">
        <v>0</v>
      </c>
    </row>
    <row r="44" spans="28:63" x14ac:dyDescent="0.25">
      <c r="AC44" s="47"/>
      <c r="AD44" s="48"/>
      <c r="AE44" s="49"/>
      <c r="AF44" s="49"/>
      <c r="AG44" s="57"/>
      <c r="AH44" s="57"/>
      <c r="AI44" s="49"/>
      <c r="AJ44" s="77" t="s">
        <v>31</v>
      </c>
      <c r="AK44" s="42">
        <v>14.07</v>
      </c>
    </row>
    <row r="45" spans="28:63" x14ac:dyDescent="0.25">
      <c r="AC45" s="47"/>
      <c r="AD45" s="48"/>
      <c r="AE45" s="49"/>
      <c r="AF45" s="49"/>
      <c r="AG45" s="57"/>
      <c r="AH45" s="57"/>
      <c r="AI45" s="49"/>
      <c r="AJ45" s="77" t="s">
        <v>33</v>
      </c>
    </row>
    <row r="46" spans="28:63" x14ac:dyDescent="0.25">
      <c r="AC46" s="47"/>
      <c r="AD46" s="48"/>
      <c r="AE46" s="49"/>
      <c r="AF46" s="49"/>
      <c r="AG46" s="57"/>
      <c r="AH46" s="57"/>
      <c r="AI46" s="49"/>
      <c r="AJ46" s="77" t="s">
        <v>35</v>
      </c>
      <c r="AK46" s="42" t="s">
        <v>227</v>
      </c>
    </row>
    <row r="47" spans="28:63" s="56" customFormat="1" x14ac:dyDescent="0.25">
      <c r="AB47" s="51"/>
      <c r="AC47" s="52"/>
      <c r="AD47" s="53"/>
      <c r="AE47" s="54"/>
      <c r="AF47" s="54"/>
      <c r="AG47" s="58"/>
      <c r="AH47" s="58"/>
      <c r="AI47" s="54"/>
      <c r="AJ47" s="79" t="s">
        <v>37</v>
      </c>
    </row>
    <row r="48" spans="28:63" x14ac:dyDescent="0.25">
      <c r="AC48" s="75">
        <v>4</v>
      </c>
      <c r="AD48" s="45" t="s">
        <v>231</v>
      </c>
      <c r="AE48" s="42">
        <v>3</v>
      </c>
      <c r="AF48" s="42">
        <v>11.07</v>
      </c>
      <c r="AG48" s="42">
        <v>10.38</v>
      </c>
      <c r="AH48" s="42">
        <v>10.53</v>
      </c>
      <c r="AI48" s="42">
        <v>1</v>
      </c>
      <c r="AR48" s="42">
        <v>1</v>
      </c>
      <c r="AV48" s="42">
        <v>1</v>
      </c>
      <c r="AW48" s="42">
        <v>1</v>
      </c>
    </row>
    <row r="49" spans="28:49" x14ac:dyDescent="0.25">
      <c r="AC49" s="47"/>
      <c r="AD49" s="48"/>
      <c r="AE49" s="49"/>
      <c r="AF49" s="49"/>
      <c r="AG49" s="57"/>
      <c r="AH49" s="57"/>
      <c r="AI49" s="49"/>
      <c r="AJ49" s="77" t="s">
        <v>31</v>
      </c>
      <c r="AR49" s="42">
        <v>14.08</v>
      </c>
      <c r="AV49" s="42">
        <v>15.25</v>
      </c>
      <c r="AW49" s="42">
        <v>16.46</v>
      </c>
    </row>
    <row r="50" spans="28:49" x14ac:dyDescent="0.25">
      <c r="AC50" s="47"/>
      <c r="AD50" s="48"/>
      <c r="AE50" s="49"/>
      <c r="AF50" s="49"/>
      <c r="AG50" s="57"/>
      <c r="AH50" s="57"/>
      <c r="AI50" s="49"/>
      <c r="AJ50" s="77" t="s">
        <v>33</v>
      </c>
      <c r="AW50" s="67" t="s">
        <v>225</v>
      </c>
    </row>
    <row r="51" spans="28:49" x14ac:dyDescent="0.25">
      <c r="AC51" s="47"/>
      <c r="AD51" s="48"/>
      <c r="AE51" s="49"/>
      <c r="AF51" s="49"/>
      <c r="AG51" s="57"/>
      <c r="AH51" s="57"/>
      <c r="AI51" s="49"/>
      <c r="AJ51" s="77" t="s">
        <v>35</v>
      </c>
    </row>
    <row r="52" spans="28:49" s="60" customFormat="1" x14ac:dyDescent="0.25">
      <c r="AB52" s="61"/>
      <c r="AC52" s="62"/>
      <c r="AD52" s="63"/>
      <c r="AE52" s="64"/>
      <c r="AF52" s="64"/>
      <c r="AG52" s="65"/>
      <c r="AH52" s="65"/>
      <c r="AI52" s="64"/>
      <c r="AJ52" s="78" t="s">
        <v>37</v>
      </c>
      <c r="AR52" s="60" t="s">
        <v>226</v>
      </c>
      <c r="AV52" s="60" t="s">
        <v>226</v>
      </c>
    </row>
    <row r="53" spans="28:49" x14ac:dyDescent="0.25">
      <c r="AI53" s="42">
        <v>2</v>
      </c>
      <c r="AK53" s="42">
        <v>0</v>
      </c>
    </row>
    <row r="54" spans="28:49" x14ac:dyDescent="0.25">
      <c r="AC54" s="47"/>
      <c r="AD54" s="48"/>
      <c r="AE54" s="49"/>
      <c r="AF54" s="49"/>
      <c r="AG54" s="57"/>
      <c r="AH54" s="57"/>
      <c r="AI54" s="49"/>
      <c r="AJ54" s="77" t="s">
        <v>31</v>
      </c>
      <c r="AK54" s="42">
        <v>14.09</v>
      </c>
    </row>
    <row r="55" spans="28:49" x14ac:dyDescent="0.25">
      <c r="AC55" s="47"/>
      <c r="AD55" s="48"/>
      <c r="AE55" s="49"/>
      <c r="AF55" s="49"/>
      <c r="AG55" s="57"/>
      <c r="AH55" s="57"/>
      <c r="AI55" s="49"/>
      <c r="AJ55" s="77" t="s">
        <v>33</v>
      </c>
    </row>
    <row r="56" spans="28:49" x14ac:dyDescent="0.25">
      <c r="AC56" s="47"/>
      <c r="AD56" s="48"/>
      <c r="AE56" s="49"/>
      <c r="AF56" s="49"/>
      <c r="AG56" s="57"/>
      <c r="AH56" s="57"/>
      <c r="AI56" s="49"/>
      <c r="AJ56" s="77" t="s">
        <v>35</v>
      </c>
      <c r="AK56" s="42" t="s">
        <v>227</v>
      </c>
    </row>
    <row r="57" spans="28:49" s="60" customFormat="1" x14ac:dyDescent="0.25">
      <c r="AB57" s="61"/>
      <c r="AC57" s="62"/>
      <c r="AD57" s="63"/>
      <c r="AE57" s="64"/>
      <c r="AF57" s="64"/>
      <c r="AG57" s="65"/>
      <c r="AH57" s="65"/>
      <c r="AI57" s="64"/>
      <c r="AJ57" s="78" t="s">
        <v>37</v>
      </c>
    </row>
    <row r="58" spans="28:49" x14ac:dyDescent="0.25">
      <c r="AI58" s="42">
        <v>3</v>
      </c>
      <c r="AM58" s="42">
        <v>1</v>
      </c>
    </row>
    <row r="59" spans="28:49" x14ac:dyDescent="0.25">
      <c r="AC59" s="47"/>
      <c r="AD59" s="48"/>
      <c r="AE59" s="49"/>
      <c r="AF59" s="49"/>
      <c r="AG59" s="57"/>
      <c r="AH59" s="57"/>
      <c r="AI59" s="49"/>
      <c r="AJ59" s="77" t="s">
        <v>31</v>
      </c>
      <c r="AM59" s="42">
        <v>14.09</v>
      </c>
    </row>
    <row r="60" spans="28:49" x14ac:dyDescent="0.25">
      <c r="AC60" s="47"/>
      <c r="AD60" s="48"/>
      <c r="AE60" s="49"/>
      <c r="AF60" s="49"/>
      <c r="AG60" s="57"/>
      <c r="AH60" s="57"/>
      <c r="AI60" s="49"/>
      <c r="AJ60" s="77" t="s">
        <v>33</v>
      </c>
    </row>
    <row r="61" spans="28:49" x14ac:dyDescent="0.25">
      <c r="AC61" s="47"/>
      <c r="AD61" s="48"/>
      <c r="AE61" s="49"/>
      <c r="AF61" s="49"/>
      <c r="AG61" s="57"/>
      <c r="AH61" s="57"/>
      <c r="AI61" s="49"/>
      <c r="AJ61" s="77" t="s">
        <v>35</v>
      </c>
    </row>
    <row r="62" spans="28:49" s="56" customFormat="1" x14ac:dyDescent="0.25">
      <c r="AB62" s="51"/>
      <c r="AC62" s="52"/>
      <c r="AD62" s="53"/>
      <c r="AE62" s="54"/>
      <c r="AF62" s="54"/>
      <c r="AG62" s="58"/>
      <c r="AH62" s="58"/>
      <c r="AI62" s="54"/>
      <c r="AJ62" s="79" t="s">
        <v>37</v>
      </c>
      <c r="AM62" s="56" t="s">
        <v>229</v>
      </c>
    </row>
    <row r="63" spans="28:49" x14ac:dyDescent="0.25">
      <c r="AC63" s="75">
        <v>5</v>
      </c>
      <c r="AD63" s="45" t="s">
        <v>232</v>
      </c>
      <c r="AE63" s="42">
        <v>3</v>
      </c>
      <c r="AF63" s="59">
        <v>11.2</v>
      </c>
      <c r="AG63" s="42">
        <v>10.56</v>
      </c>
      <c r="AH63" s="42">
        <v>11.08</v>
      </c>
      <c r="AI63" s="42">
        <v>1</v>
      </c>
      <c r="AL63" s="42">
        <v>1</v>
      </c>
    </row>
    <row r="64" spans="28:49" x14ac:dyDescent="0.25">
      <c r="AC64" s="47"/>
      <c r="AD64" s="48"/>
      <c r="AE64" s="49"/>
      <c r="AF64" s="49"/>
      <c r="AG64" s="57"/>
      <c r="AH64" s="57"/>
      <c r="AI64" s="49"/>
      <c r="AJ64" s="77" t="s">
        <v>31</v>
      </c>
      <c r="AL64" s="59">
        <v>14.1</v>
      </c>
    </row>
    <row r="65" spans="28:51" x14ac:dyDescent="0.25">
      <c r="AC65" s="47"/>
      <c r="AD65" s="48"/>
      <c r="AE65" s="49"/>
      <c r="AF65" s="49"/>
      <c r="AG65" s="57"/>
      <c r="AH65" s="57"/>
      <c r="AI65" s="49"/>
      <c r="AJ65" s="77" t="s">
        <v>33</v>
      </c>
    </row>
    <row r="66" spans="28:51" x14ac:dyDescent="0.25">
      <c r="AC66" s="47"/>
      <c r="AD66" s="48"/>
      <c r="AE66" s="49"/>
      <c r="AF66" s="49"/>
      <c r="AG66" s="57"/>
      <c r="AH66" s="57"/>
      <c r="AI66" s="49"/>
      <c r="AJ66" s="77" t="s">
        <v>35</v>
      </c>
    </row>
    <row r="67" spans="28:51" s="60" customFormat="1" x14ac:dyDescent="0.25">
      <c r="AB67" s="61"/>
      <c r="AC67" s="62"/>
      <c r="AD67" s="63"/>
      <c r="AE67" s="64"/>
      <c r="AF67" s="64"/>
      <c r="AG67" s="65"/>
      <c r="AH67" s="65"/>
      <c r="AI67" s="64"/>
      <c r="AJ67" s="78" t="s">
        <v>37</v>
      </c>
      <c r="AL67" s="60" t="s">
        <v>229</v>
      </c>
    </row>
    <row r="68" spans="28:51" x14ac:dyDescent="0.25">
      <c r="AI68" s="42">
        <v>2</v>
      </c>
      <c r="AL68" s="42">
        <v>1</v>
      </c>
    </row>
    <row r="69" spans="28:51" x14ac:dyDescent="0.25">
      <c r="AC69" s="47"/>
      <c r="AD69" s="48"/>
      <c r="AE69" s="49"/>
      <c r="AF69" s="49"/>
      <c r="AG69" s="57"/>
      <c r="AH69" s="57"/>
      <c r="AI69" s="49"/>
      <c r="AJ69" s="77" t="s">
        <v>31</v>
      </c>
      <c r="AL69" s="59">
        <v>14.1</v>
      </c>
    </row>
    <row r="70" spans="28:51" x14ac:dyDescent="0.25">
      <c r="AC70" s="47"/>
      <c r="AD70" s="48"/>
      <c r="AE70" s="49"/>
      <c r="AF70" s="49"/>
      <c r="AG70" s="57"/>
      <c r="AH70" s="57"/>
      <c r="AI70" s="49"/>
      <c r="AJ70" s="77" t="s">
        <v>33</v>
      </c>
    </row>
    <row r="71" spans="28:51" x14ac:dyDescent="0.25">
      <c r="AC71" s="47"/>
      <c r="AD71" s="48"/>
      <c r="AE71" s="49"/>
      <c r="AF71" s="49"/>
      <c r="AG71" s="57"/>
      <c r="AH71" s="57"/>
      <c r="AI71" s="49"/>
      <c r="AJ71" s="77" t="s">
        <v>35</v>
      </c>
    </row>
    <row r="72" spans="28:51" s="60" customFormat="1" x14ac:dyDescent="0.25">
      <c r="AB72" s="61"/>
      <c r="AC72" s="62"/>
      <c r="AD72" s="63"/>
      <c r="AE72" s="64"/>
      <c r="AF72" s="64"/>
      <c r="AG72" s="65"/>
      <c r="AH72" s="65"/>
      <c r="AI72" s="64"/>
      <c r="AJ72" s="78" t="s">
        <v>37</v>
      </c>
      <c r="AL72" s="60" t="s">
        <v>229</v>
      </c>
    </row>
    <row r="73" spans="28:51" x14ac:dyDescent="0.25">
      <c r="AI73" s="42">
        <v>3</v>
      </c>
      <c r="AR73" s="42">
        <v>1</v>
      </c>
      <c r="AV73" s="42">
        <v>1</v>
      </c>
      <c r="AX73" s="42">
        <v>1</v>
      </c>
      <c r="AY73" s="42">
        <v>1</v>
      </c>
    </row>
    <row r="74" spans="28:51" x14ac:dyDescent="0.25">
      <c r="AC74" s="47"/>
      <c r="AD74" s="48"/>
      <c r="AE74" s="49"/>
      <c r="AF74" s="49"/>
      <c r="AG74" s="57"/>
      <c r="AH74" s="57"/>
      <c r="AI74" s="49"/>
      <c r="AJ74" s="77" t="s">
        <v>31</v>
      </c>
      <c r="AR74" s="42">
        <v>14.11</v>
      </c>
      <c r="AV74" s="42">
        <v>15.27</v>
      </c>
      <c r="AX74" s="42">
        <v>16.47</v>
      </c>
      <c r="AY74" s="42">
        <v>19.22</v>
      </c>
    </row>
    <row r="75" spans="28:51" x14ac:dyDescent="0.25">
      <c r="AC75" s="47"/>
      <c r="AD75" s="48"/>
      <c r="AE75" s="49"/>
      <c r="AF75" s="49"/>
      <c r="AG75" s="57"/>
      <c r="AH75" s="57"/>
      <c r="AI75" s="49"/>
      <c r="AJ75" s="77" t="s">
        <v>33</v>
      </c>
      <c r="AY75" s="67" t="s">
        <v>225</v>
      </c>
    </row>
    <row r="76" spans="28:51" x14ac:dyDescent="0.25">
      <c r="AC76" s="47"/>
      <c r="AD76" s="48"/>
      <c r="AE76" s="49"/>
      <c r="AF76" s="49"/>
      <c r="AG76" s="57"/>
      <c r="AH76" s="57"/>
      <c r="AI76" s="49"/>
      <c r="AJ76" s="77" t="s">
        <v>35</v>
      </c>
    </row>
    <row r="77" spans="28:51" s="56" customFormat="1" x14ac:dyDescent="0.25">
      <c r="AB77" s="51"/>
      <c r="AC77" s="52"/>
      <c r="AD77" s="53"/>
      <c r="AE77" s="54"/>
      <c r="AF77" s="54"/>
      <c r="AG77" s="58"/>
      <c r="AH77" s="58"/>
      <c r="AI77" s="54"/>
      <c r="AJ77" s="79" t="s">
        <v>37</v>
      </c>
      <c r="AR77" s="56" t="s">
        <v>226</v>
      </c>
      <c r="AV77" s="56" t="s">
        <v>226</v>
      </c>
      <c r="AX77" s="56" t="s">
        <v>226</v>
      </c>
      <c r="AY77" s="56" t="s">
        <v>282</v>
      </c>
    </row>
    <row r="78" spans="28:51" x14ac:dyDescent="0.25">
      <c r="AC78" s="75">
        <v>6</v>
      </c>
      <c r="AD78" s="45" t="s">
        <v>233</v>
      </c>
      <c r="AE78" s="42">
        <v>3</v>
      </c>
      <c r="AF78" s="42">
        <v>11.45</v>
      </c>
      <c r="AG78" s="59">
        <v>11.2</v>
      </c>
      <c r="AH78" s="42">
        <v>11.32</v>
      </c>
      <c r="AI78" s="42">
        <v>1</v>
      </c>
      <c r="AK78" s="42">
        <v>0</v>
      </c>
    </row>
    <row r="79" spans="28:51" x14ac:dyDescent="0.25">
      <c r="AC79" s="47"/>
      <c r="AD79" s="48"/>
      <c r="AE79" s="49"/>
      <c r="AF79" s="49"/>
      <c r="AG79" s="57"/>
      <c r="AH79" s="57"/>
      <c r="AI79" s="49"/>
      <c r="AJ79" s="77" t="s">
        <v>31</v>
      </c>
      <c r="AK79" s="42">
        <v>15.13</v>
      </c>
    </row>
    <row r="80" spans="28:51" x14ac:dyDescent="0.25">
      <c r="AC80" s="47"/>
      <c r="AD80" s="48"/>
      <c r="AE80" s="49"/>
      <c r="AF80" s="49"/>
      <c r="AG80" s="57"/>
      <c r="AH80" s="57"/>
      <c r="AI80" s="49"/>
      <c r="AJ80" s="77" t="s">
        <v>33</v>
      </c>
    </row>
    <row r="81" spans="28:48" x14ac:dyDescent="0.25">
      <c r="AC81" s="47"/>
      <c r="AD81" s="48"/>
      <c r="AE81" s="49"/>
      <c r="AF81" s="49"/>
      <c r="AG81" s="57"/>
      <c r="AH81" s="57"/>
      <c r="AI81" s="49"/>
      <c r="AJ81" s="77" t="s">
        <v>35</v>
      </c>
      <c r="AK81" s="42" t="s">
        <v>227</v>
      </c>
    </row>
    <row r="82" spans="28:48" s="60" customFormat="1" x14ac:dyDescent="0.25">
      <c r="AB82" s="61"/>
      <c r="AC82" s="62"/>
      <c r="AD82" s="63"/>
      <c r="AE82" s="64"/>
      <c r="AF82" s="64"/>
      <c r="AG82" s="65"/>
      <c r="AH82" s="65"/>
      <c r="AI82" s="64"/>
      <c r="AJ82" s="78" t="s">
        <v>37</v>
      </c>
    </row>
    <row r="83" spans="28:48" x14ac:dyDescent="0.25">
      <c r="AI83" s="42">
        <v>2</v>
      </c>
      <c r="AR83" s="42">
        <v>1</v>
      </c>
      <c r="AU83" s="42">
        <v>1</v>
      </c>
      <c r="AV83" s="42">
        <v>0</v>
      </c>
    </row>
    <row r="84" spans="28:48" x14ac:dyDescent="0.25">
      <c r="AC84" s="47"/>
      <c r="AD84" s="48"/>
      <c r="AE84" s="49"/>
      <c r="AF84" s="49"/>
      <c r="AG84" s="57"/>
      <c r="AH84" s="57"/>
      <c r="AI84" s="49"/>
      <c r="AJ84" s="77" t="s">
        <v>31</v>
      </c>
      <c r="AR84" s="42">
        <v>15.14</v>
      </c>
      <c r="AU84" s="42">
        <v>16.489999999999998</v>
      </c>
      <c r="AV84" s="42">
        <v>19.25</v>
      </c>
    </row>
    <row r="85" spans="28:48" x14ac:dyDescent="0.25">
      <c r="AC85" s="47"/>
      <c r="AD85" s="48"/>
      <c r="AE85" s="49"/>
      <c r="AF85" s="49"/>
      <c r="AG85" s="57"/>
      <c r="AH85" s="57"/>
      <c r="AI85" s="49"/>
      <c r="AJ85" s="77" t="s">
        <v>33</v>
      </c>
      <c r="AV85" s="67" t="s">
        <v>225</v>
      </c>
    </row>
    <row r="86" spans="28:48" x14ac:dyDescent="0.25">
      <c r="AC86" s="47"/>
      <c r="AD86" s="48"/>
      <c r="AE86" s="49"/>
      <c r="AF86" s="49"/>
      <c r="AG86" s="57"/>
      <c r="AH86" s="57"/>
      <c r="AI86" s="49"/>
      <c r="AJ86" s="77" t="s">
        <v>35</v>
      </c>
    </row>
    <row r="87" spans="28:48" s="60" customFormat="1" x14ac:dyDescent="0.25">
      <c r="AB87" s="61"/>
      <c r="AC87" s="62"/>
      <c r="AD87" s="63"/>
      <c r="AE87" s="64"/>
      <c r="AF87" s="64"/>
      <c r="AG87" s="65"/>
      <c r="AH87" s="65"/>
      <c r="AI87" s="64"/>
      <c r="AJ87" s="78" t="s">
        <v>37</v>
      </c>
      <c r="AR87" s="60" t="s">
        <v>229</v>
      </c>
      <c r="AU87" s="60" t="s">
        <v>229</v>
      </c>
    </row>
    <row r="88" spans="28:48" x14ac:dyDescent="0.25">
      <c r="AI88" s="42">
        <v>3</v>
      </c>
      <c r="AN88" s="42">
        <v>1</v>
      </c>
    </row>
    <row r="89" spans="28:48" x14ac:dyDescent="0.25">
      <c r="AC89" s="47"/>
      <c r="AD89" s="48"/>
      <c r="AE89" s="49"/>
      <c r="AF89" s="49"/>
      <c r="AG89" s="57"/>
      <c r="AH89" s="57"/>
      <c r="AI89" s="49"/>
      <c r="AJ89" s="77" t="s">
        <v>31</v>
      </c>
      <c r="AN89" s="42">
        <v>15.16</v>
      </c>
    </row>
    <row r="90" spans="28:48" x14ac:dyDescent="0.25">
      <c r="AC90" s="47"/>
      <c r="AD90" s="48"/>
      <c r="AE90" s="49"/>
      <c r="AF90" s="49"/>
      <c r="AG90" s="57"/>
      <c r="AH90" s="57"/>
      <c r="AI90" s="49"/>
      <c r="AJ90" s="77" t="s">
        <v>33</v>
      </c>
    </row>
    <row r="91" spans="28:48" x14ac:dyDescent="0.25">
      <c r="AC91" s="47"/>
      <c r="AD91" s="48"/>
      <c r="AE91" s="49"/>
      <c r="AF91" s="49"/>
      <c r="AG91" s="57"/>
      <c r="AH91" s="57"/>
      <c r="AI91" s="49"/>
      <c r="AJ91" s="77" t="s">
        <v>35</v>
      </c>
    </row>
    <row r="92" spans="28:48" s="56" customFormat="1" x14ac:dyDescent="0.25">
      <c r="AB92" s="51"/>
      <c r="AC92" s="52"/>
      <c r="AD92" s="53"/>
      <c r="AE92" s="54"/>
      <c r="AF92" s="54"/>
      <c r="AG92" s="58"/>
      <c r="AH92" s="58"/>
      <c r="AI92" s="54"/>
      <c r="AJ92" s="79" t="s">
        <v>37</v>
      </c>
      <c r="AN92" s="56" t="s">
        <v>229</v>
      </c>
    </row>
    <row r="93" spans="28:48" x14ac:dyDescent="0.25">
      <c r="AC93" s="75">
        <v>7</v>
      </c>
      <c r="AD93" s="45" t="s">
        <v>234</v>
      </c>
      <c r="AE93" s="42">
        <v>3</v>
      </c>
      <c r="AF93" s="59">
        <v>11.56</v>
      </c>
      <c r="AG93" s="42">
        <v>11.33</v>
      </c>
      <c r="AH93" s="42">
        <v>11.44</v>
      </c>
      <c r="AI93" s="42">
        <v>1</v>
      </c>
      <c r="AL93" s="42">
        <v>1</v>
      </c>
    </row>
    <row r="94" spans="28:48" x14ac:dyDescent="0.25">
      <c r="AC94" s="47"/>
      <c r="AD94" s="48"/>
      <c r="AE94" s="49"/>
      <c r="AF94" s="49"/>
      <c r="AG94" s="57"/>
      <c r="AH94" s="57"/>
      <c r="AI94" s="49"/>
      <c r="AJ94" s="77" t="s">
        <v>31</v>
      </c>
      <c r="AL94" s="42">
        <v>15.17</v>
      </c>
    </row>
    <row r="95" spans="28:48" x14ac:dyDescent="0.25">
      <c r="AC95" s="47"/>
      <c r="AD95" s="48"/>
      <c r="AE95" s="49"/>
      <c r="AF95" s="49"/>
      <c r="AG95" s="57"/>
      <c r="AH95" s="57"/>
      <c r="AI95" s="49"/>
      <c r="AJ95" s="77" t="s">
        <v>33</v>
      </c>
    </row>
    <row r="96" spans="28:48" x14ac:dyDescent="0.25">
      <c r="AC96" s="47"/>
      <c r="AD96" s="48"/>
      <c r="AE96" s="49"/>
      <c r="AF96" s="49"/>
      <c r="AG96" s="57"/>
      <c r="AH96" s="57"/>
      <c r="AI96" s="49"/>
      <c r="AJ96" s="77" t="s">
        <v>35</v>
      </c>
    </row>
    <row r="97" spans="28:38" s="60" customFormat="1" x14ac:dyDescent="0.25">
      <c r="AB97" s="61"/>
      <c r="AC97" s="62"/>
      <c r="AD97" s="63"/>
      <c r="AE97" s="64"/>
      <c r="AF97" s="64"/>
      <c r="AG97" s="65"/>
      <c r="AH97" s="65"/>
      <c r="AI97" s="64"/>
      <c r="AJ97" s="78" t="s">
        <v>37</v>
      </c>
      <c r="AL97" s="60" t="s">
        <v>229</v>
      </c>
    </row>
    <row r="98" spans="28:38" x14ac:dyDescent="0.25">
      <c r="AI98" s="42">
        <v>2</v>
      </c>
      <c r="AL98" s="42">
        <v>1</v>
      </c>
    </row>
    <row r="99" spans="28:38" x14ac:dyDescent="0.25">
      <c r="AC99" s="47"/>
      <c r="AD99" s="48"/>
      <c r="AE99" s="49"/>
      <c r="AF99" s="49"/>
      <c r="AG99" s="57"/>
      <c r="AH99" s="57"/>
      <c r="AI99" s="49"/>
      <c r="AJ99" s="77" t="s">
        <v>31</v>
      </c>
      <c r="AL99" s="42">
        <v>15.17</v>
      </c>
    </row>
    <row r="100" spans="28:38" x14ac:dyDescent="0.25">
      <c r="AC100" s="47"/>
      <c r="AD100" s="48"/>
      <c r="AE100" s="49"/>
      <c r="AF100" s="49"/>
      <c r="AG100" s="57"/>
      <c r="AH100" s="57"/>
      <c r="AI100" s="49"/>
      <c r="AJ100" s="77" t="s">
        <v>33</v>
      </c>
    </row>
    <row r="101" spans="28:38" x14ac:dyDescent="0.25">
      <c r="AC101" s="47"/>
      <c r="AD101" s="48"/>
      <c r="AE101" s="49"/>
      <c r="AF101" s="49"/>
      <c r="AG101" s="57"/>
      <c r="AH101" s="57"/>
      <c r="AI101" s="49"/>
      <c r="AJ101" s="77" t="s">
        <v>35</v>
      </c>
    </row>
    <row r="102" spans="28:38" s="60" customFormat="1" x14ac:dyDescent="0.25">
      <c r="AB102" s="61"/>
      <c r="AC102" s="62"/>
      <c r="AD102" s="63"/>
      <c r="AE102" s="64"/>
      <c r="AF102" s="64"/>
      <c r="AG102" s="65"/>
      <c r="AH102" s="65"/>
      <c r="AI102" s="64"/>
      <c r="AJ102" s="78" t="s">
        <v>37</v>
      </c>
      <c r="AL102" s="60" t="s">
        <v>229</v>
      </c>
    </row>
    <row r="103" spans="28:38" x14ac:dyDescent="0.25">
      <c r="AI103" s="42">
        <v>3</v>
      </c>
      <c r="AL103" s="42">
        <v>1</v>
      </c>
    </row>
    <row r="104" spans="28:38" x14ac:dyDescent="0.25">
      <c r="AC104" s="47"/>
      <c r="AD104" s="48"/>
      <c r="AE104" s="49"/>
      <c r="AF104" s="49"/>
      <c r="AG104" s="57"/>
      <c r="AH104" s="57"/>
      <c r="AI104" s="49"/>
      <c r="AJ104" s="77" t="s">
        <v>31</v>
      </c>
      <c r="AL104" s="42">
        <v>15.17</v>
      </c>
    </row>
    <row r="105" spans="28:38" x14ac:dyDescent="0.25">
      <c r="AC105" s="47"/>
      <c r="AD105" s="48"/>
      <c r="AE105" s="49"/>
      <c r="AF105" s="49"/>
      <c r="AG105" s="57"/>
      <c r="AH105" s="57"/>
      <c r="AI105" s="49"/>
      <c r="AJ105" s="77" t="s">
        <v>33</v>
      </c>
    </row>
    <row r="106" spans="28:38" x14ac:dyDescent="0.25">
      <c r="AC106" s="47"/>
      <c r="AD106" s="48"/>
      <c r="AE106" s="49"/>
      <c r="AF106" s="49"/>
      <c r="AG106" s="57"/>
      <c r="AH106" s="57"/>
      <c r="AI106" s="49"/>
      <c r="AJ106" s="77" t="s">
        <v>35</v>
      </c>
    </row>
    <row r="107" spans="28:38" s="56" customFormat="1" x14ac:dyDescent="0.25">
      <c r="AB107" s="51"/>
      <c r="AC107" s="52"/>
      <c r="AD107" s="53"/>
      <c r="AE107" s="54"/>
      <c r="AF107" s="54"/>
      <c r="AG107" s="58"/>
      <c r="AH107" s="58"/>
      <c r="AI107" s="54"/>
      <c r="AJ107" s="79" t="s">
        <v>37</v>
      </c>
      <c r="AL107" s="56" t="s">
        <v>229</v>
      </c>
    </row>
    <row r="108" spans="28:38" x14ac:dyDescent="0.25">
      <c r="AC108" s="75">
        <v>8</v>
      </c>
      <c r="AD108" s="45" t="s">
        <v>235</v>
      </c>
      <c r="AE108" s="42">
        <v>2</v>
      </c>
      <c r="AF108" s="42">
        <v>12.15</v>
      </c>
      <c r="AG108" s="42">
        <v>11.46</v>
      </c>
      <c r="AH108" s="42">
        <v>11.58</v>
      </c>
      <c r="AI108" s="42">
        <v>1</v>
      </c>
      <c r="AK108" s="42">
        <v>0</v>
      </c>
    </row>
    <row r="109" spans="28:38" x14ac:dyDescent="0.25">
      <c r="AC109" s="47"/>
      <c r="AD109" s="48"/>
      <c r="AE109" s="49"/>
      <c r="AF109" s="49"/>
      <c r="AG109" s="57"/>
      <c r="AH109" s="57"/>
      <c r="AI109" s="49"/>
      <c r="AJ109" s="77" t="s">
        <v>31</v>
      </c>
      <c r="AK109" s="42">
        <v>15.19</v>
      </c>
    </row>
    <row r="110" spans="28:38" x14ac:dyDescent="0.25">
      <c r="AC110" s="47"/>
      <c r="AD110" s="48"/>
      <c r="AE110" s="49"/>
      <c r="AF110" s="49"/>
      <c r="AG110" s="57"/>
      <c r="AH110" s="57"/>
      <c r="AI110" s="49"/>
      <c r="AJ110" s="77" t="s">
        <v>33</v>
      </c>
    </row>
    <row r="111" spans="28:38" x14ac:dyDescent="0.25">
      <c r="AC111" s="47"/>
      <c r="AD111" s="48"/>
      <c r="AE111" s="49"/>
      <c r="AF111" s="49"/>
      <c r="AG111" s="57"/>
      <c r="AH111" s="57"/>
      <c r="AI111" s="49"/>
      <c r="AJ111" s="77" t="s">
        <v>35</v>
      </c>
      <c r="AK111" s="42" t="s">
        <v>227</v>
      </c>
    </row>
    <row r="112" spans="28:38" s="60" customFormat="1" x14ac:dyDescent="0.25">
      <c r="AB112" s="61"/>
      <c r="AC112" s="62"/>
      <c r="AD112" s="63"/>
      <c r="AE112" s="64"/>
      <c r="AF112" s="64"/>
      <c r="AG112" s="65"/>
      <c r="AH112" s="65"/>
      <c r="AI112" s="64"/>
      <c r="AJ112" s="78" t="s">
        <v>37</v>
      </c>
    </row>
    <row r="113" spans="28:39" x14ac:dyDescent="0.25">
      <c r="AI113" s="42">
        <v>2</v>
      </c>
    </row>
    <row r="114" spans="28:39" x14ac:dyDescent="0.25">
      <c r="AC114" s="47"/>
      <c r="AD114" s="48"/>
      <c r="AE114" s="49"/>
      <c r="AF114" s="49"/>
      <c r="AG114" s="57"/>
      <c r="AH114" s="57"/>
      <c r="AI114" s="49"/>
      <c r="AJ114" s="77" t="s">
        <v>31</v>
      </c>
    </row>
    <row r="115" spans="28:39" x14ac:dyDescent="0.25">
      <c r="AC115" s="47"/>
      <c r="AD115" s="48"/>
      <c r="AE115" s="49"/>
      <c r="AF115" s="49"/>
      <c r="AG115" s="57"/>
      <c r="AH115" s="57"/>
      <c r="AI115" s="49"/>
      <c r="AJ115" s="77" t="s">
        <v>33</v>
      </c>
    </row>
    <row r="116" spans="28:39" x14ac:dyDescent="0.25">
      <c r="AC116" s="47"/>
      <c r="AD116" s="48"/>
      <c r="AE116" s="49"/>
      <c r="AF116" s="49"/>
      <c r="AG116" s="57"/>
      <c r="AH116" s="57"/>
      <c r="AI116" s="49"/>
      <c r="AJ116" s="77" t="s">
        <v>35</v>
      </c>
    </row>
    <row r="117" spans="28:39" s="60" customFormat="1" x14ac:dyDescent="0.25">
      <c r="AB117" s="61"/>
      <c r="AC117" s="62"/>
      <c r="AD117" s="63"/>
      <c r="AE117" s="64"/>
      <c r="AF117" s="64"/>
      <c r="AG117" s="65"/>
      <c r="AH117" s="65"/>
      <c r="AI117" s="64"/>
      <c r="AJ117" s="78" t="s">
        <v>37</v>
      </c>
    </row>
    <row r="119" spans="28:39" x14ac:dyDescent="0.25">
      <c r="AC119" s="47"/>
      <c r="AD119" s="48"/>
      <c r="AE119" s="49"/>
      <c r="AF119" s="49"/>
      <c r="AG119" s="57"/>
      <c r="AH119" s="57"/>
      <c r="AI119" s="49"/>
      <c r="AJ119" s="77" t="s">
        <v>31</v>
      </c>
    </row>
    <row r="120" spans="28:39" x14ac:dyDescent="0.25">
      <c r="AC120" s="47"/>
      <c r="AD120" s="48"/>
      <c r="AE120" s="49"/>
      <c r="AF120" s="49"/>
      <c r="AG120" s="57"/>
      <c r="AH120" s="57"/>
      <c r="AI120" s="49"/>
      <c r="AJ120" s="77" t="s">
        <v>33</v>
      </c>
    </row>
    <row r="121" spans="28:39" x14ac:dyDescent="0.25">
      <c r="AC121" s="47"/>
      <c r="AD121" s="48"/>
      <c r="AE121" s="49"/>
      <c r="AF121" s="49"/>
      <c r="AG121" s="57"/>
      <c r="AH121" s="57"/>
      <c r="AI121" s="49"/>
      <c r="AJ121" s="77" t="s">
        <v>35</v>
      </c>
    </row>
    <row r="122" spans="28:39" s="56" customFormat="1" x14ac:dyDescent="0.25">
      <c r="AB122" s="51"/>
      <c r="AC122" s="52"/>
      <c r="AD122" s="53"/>
      <c r="AE122" s="54"/>
      <c r="AF122" s="54"/>
      <c r="AG122" s="58"/>
      <c r="AH122" s="58"/>
      <c r="AI122" s="54"/>
      <c r="AJ122" s="79" t="s">
        <v>37</v>
      </c>
    </row>
    <row r="123" spans="28:39" x14ac:dyDescent="0.25">
      <c r="AC123" s="75">
        <v>9</v>
      </c>
      <c r="AD123" s="45" t="s">
        <v>236</v>
      </c>
      <c r="AE123" s="42">
        <v>3</v>
      </c>
      <c r="AF123" s="42">
        <v>12.22</v>
      </c>
      <c r="AG123" s="59">
        <v>12</v>
      </c>
      <c r="AH123" s="59">
        <v>12.1</v>
      </c>
      <c r="AI123" s="42">
        <v>1</v>
      </c>
      <c r="AM123" s="42">
        <v>1</v>
      </c>
    </row>
    <row r="124" spans="28:39" x14ac:dyDescent="0.25">
      <c r="AC124" s="47"/>
      <c r="AD124" s="48"/>
      <c r="AE124" s="49"/>
      <c r="AF124" s="49"/>
      <c r="AG124" s="57"/>
      <c r="AH124" s="57"/>
      <c r="AI124" s="49"/>
      <c r="AJ124" s="77" t="s">
        <v>31</v>
      </c>
      <c r="AM124" s="59">
        <v>15.2</v>
      </c>
    </row>
    <row r="125" spans="28:39" x14ac:dyDescent="0.25">
      <c r="AC125" s="47"/>
      <c r="AD125" s="48"/>
      <c r="AE125" s="49"/>
      <c r="AF125" s="49"/>
      <c r="AG125" s="57"/>
      <c r="AH125" s="57"/>
      <c r="AI125" s="49"/>
      <c r="AJ125" s="77" t="s">
        <v>33</v>
      </c>
    </row>
    <row r="126" spans="28:39" x14ac:dyDescent="0.25">
      <c r="AC126" s="47"/>
      <c r="AD126" s="48"/>
      <c r="AE126" s="49"/>
      <c r="AF126" s="49"/>
      <c r="AG126" s="57"/>
      <c r="AH126" s="57"/>
      <c r="AI126" s="49"/>
      <c r="AJ126" s="77" t="s">
        <v>35</v>
      </c>
    </row>
    <row r="127" spans="28:39" s="60" customFormat="1" x14ac:dyDescent="0.25">
      <c r="AB127" s="61"/>
      <c r="AC127" s="62"/>
      <c r="AD127" s="63"/>
      <c r="AE127" s="64"/>
      <c r="AF127" s="64"/>
      <c r="AG127" s="65"/>
      <c r="AH127" s="65"/>
      <c r="AI127" s="64"/>
      <c r="AJ127" s="78" t="s">
        <v>37</v>
      </c>
      <c r="AM127" s="60" t="s">
        <v>229</v>
      </c>
    </row>
    <row r="128" spans="28:39" x14ac:dyDescent="0.25">
      <c r="AI128" s="42">
        <v>2</v>
      </c>
      <c r="AK128" s="42">
        <v>0</v>
      </c>
    </row>
    <row r="129" spans="28:38" x14ac:dyDescent="0.25">
      <c r="AC129" s="47"/>
      <c r="AD129" s="48"/>
      <c r="AE129" s="49"/>
      <c r="AF129" s="49"/>
      <c r="AG129" s="57"/>
      <c r="AH129" s="57"/>
      <c r="AI129" s="49"/>
      <c r="AJ129" s="77" t="s">
        <v>31</v>
      </c>
      <c r="AK129" s="42">
        <v>15.12</v>
      </c>
    </row>
    <row r="130" spans="28:38" x14ac:dyDescent="0.25">
      <c r="AC130" s="47"/>
      <c r="AD130" s="48"/>
      <c r="AE130" s="49"/>
      <c r="AF130" s="49"/>
      <c r="AG130" s="57"/>
      <c r="AH130" s="57"/>
      <c r="AI130" s="49"/>
      <c r="AJ130" s="77" t="s">
        <v>33</v>
      </c>
    </row>
    <row r="131" spans="28:38" x14ac:dyDescent="0.25">
      <c r="AC131" s="47"/>
      <c r="AD131" s="48"/>
      <c r="AE131" s="49"/>
      <c r="AF131" s="49"/>
      <c r="AG131" s="57"/>
      <c r="AH131" s="57"/>
      <c r="AI131" s="49"/>
      <c r="AJ131" s="77" t="s">
        <v>35</v>
      </c>
      <c r="AK131" s="42" t="s">
        <v>227</v>
      </c>
    </row>
    <row r="132" spans="28:38" s="60" customFormat="1" x14ac:dyDescent="0.25">
      <c r="AB132" s="61"/>
      <c r="AC132" s="62"/>
      <c r="AD132" s="63"/>
      <c r="AE132" s="64"/>
      <c r="AF132" s="64"/>
      <c r="AG132" s="65"/>
      <c r="AH132" s="65"/>
      <c r="AI132" s="64"/>
      <c r="AJ132" s="78" t="s">
        <v>37</v>
      </c>
    </row>
    <row r="133" spans="28:38" x14ac:dyDescent="0.25">
      <c r="AI133" s="42">
        <v>3</v>
      </c>
      <c r="AK133" s="42">
        <v>0</v>
      </c>
    </row>
    <row r="134" spans="28:38" x14ac:dyDescent="0.25">
      <c r="AC134" s="47"/>
      <c r="AD134" s="48"/>
      <c r="AE134" s="49"/>
      <c r="AF134" s="49"/>
      <c r="AG134" s="57"/>
      <c r="AH134" s="57"/>
      <c r="AI134" s="49"/>
      <c r="AJ134" s="77" t="s">
        <v>31</v>
      </c>
      <c r="AK134" s="42">
        <v>15.12</v>
      </c>
    </row>
    <row r="135" spans="28:38" x14ac:dyDescent="0.25">
      <c r="AC135" s="47"/>
      <c r="AD135" s="48"/>
      <c r="AE135" s="49"/>
      <c r="AF135" s="49"/>
      <c r="AG135" s="57"/>
      <c r="AH135" s="57"/>
      <c r="AI135" s="49"/>
      <c r="AJ135" s="77" t="s">
        <v>33</v>
      </c>
    </row>
    <row r="136" spans="28:38" x14ac:dyDescent="0.25">
      <c r="AC136" s="47"/>
      <c r="AD136" s="48"/>
      <c r="AE136" s="49"/>
      <c r="AF136" s="49"/>
      <c r="AG136" s="57"/>
      <c r="AH136" s="57"/>
      <c r="AI136" s="49"/>
      <c r="AJ136" s="77" t="s">
        <v>35</v>
      </c>
      <c r="AK136" s="42" t="s">
        <v>227</v>
      </c>
    </row>
    <row r="137" spans="28:38" s="56" customFormat="1" x14ac:dyDescent="0.25">
      <c r="AB137" s="51"/>
      <c r="AC137" s="52"/>
      <c r="AD137" s="53"/>
      <c r="AE137" s="54"/>
      <c r="AF137" s="54"/>
      <c r="AG137" s="58"/>
      <c r="AH137" s="58"/>
      <c r="AI137" s="54"/>
      <c r="AJ137" s="79" t="s">
        <v>37</v>
      </c>
    </row>
    <row r="138" spans="28:38" x14ac:dyDescent="0.25">
      <c r="AC138" s="75">
        <v>10</v>
      </c>
      <c r="AD138" s="45" t="s">
        <v>237</v>
      </c>
      <c r="AE138" s="42">
        <v>3</v>
      </c>
      <c r="AF138" s="42">
        <v>12.32</v>
      </c>
      <c r="AG138" s="42">
        <v>12.11</v>
      </c>
      <c r="AH138" s="42">
        <v>12.21</v>
      </c>
      <c r="AI138" s="42">
        <v>1</v>
      </c>
      <c r="AL138" s="42">
        <v>1</v>
      </c>
    </row>
    <row r="139" spans="28:38" x14ac:dyDescent="0.25">
      <c r="AC139" s="47"/>
      <c r="AD139" s="48"/>
      <c r="AE139" s="49"/>
      <c r="AF139" s="49"/>
      <c r="AG139" s="57"/>
      <c r="AH139" s="57"/>
      <c r="AI139" s="49"/>
      <c r="AJ139" s="77" t="s">
        <v>31</v>
      </c>
      <c r="AL139" s="42">
        <v>15.22</v>
      </c>
    </row>
    <row r="140" spans="28:38" x14ac:dyDescent="0.25">
      <c r="AC140" s="47"/>
      <c r="AD140" s="48"/>
      <c r="AE140" s="49"/>
      <c r="AF140" s="49"/>
      <c r="AG140" s="57"/>
      <c r="AH140" s="57"/>
      <c r="AI140" s="49"/>
      <c r="AJ140" s="77" t="s">
        <v>33</v>
      </c>
    </row>
    <row r="141" spans="28:38" x14ac:dyDescent="0.25">
      <c r="AC141" s="47"/>
      <c r="AD141" s="48"/>
      <c r="AE141" s="49"/>
      <c r="AF141" s="49"/>
      <c r="AG141" s="57"/>
      <c r="AH141" s="57"/>
      <c r="AI141" s="49"/>
      <c r="AJ141" s="77" t="s">
        <v>35</v>
      </c>
    </row>
    <row r="142" spans="28:38" s="60" customFormat="1" x14ac:dyDescent="0.25">
      <c r="AB142" s="61"/>
      <c r="AC142" s="62"/>
      <c r="AD142" s="63"/>
      <c r="AE142" s="64"/>
      <c r="AF142" s="64"/>
      <c r="AG142" s="65"/>
      <c r="AH142" s="65"/>
      <c r="AI142" s="64"/>
      <c r="AJ142" s="78" t="s">
        <v>37</v>
      </c>
      <c r="AL142" s="60" t="s">
        <v>229</v>
      </c>
    </row>
    <row r="143" spans="28:38" x14ac:dyDescent="0.25">
      <c r="AI143" s="42">
        <v>2</v>
      </c>
      <c r="AL143" s="42">
        <v>1</v>
      </c>
    </row>
    <row r="144" spans="28:38" x14ac:dyDescent="0.25">
      <c r="AC144" s="47"/>
      <c r="AD144" s="48"/>
      <c r="AE144" s="49"/>
      <c r="AF144" s="49"/>
      <c r="AG144" s="57"/>
      <c r="AH144" s="57"/>
      <c r="AI144" s="49"/>
      <c r="AJ144" s="77" t="s">
        <v>31</v>
      </c>
      <c r="AL144" s="42">
        <v>15.22</v>
      </c>
    </row>
    <row r="145" spans="28:38" x14ac:dyDescent="0.25">
      <c r="AC145" s="47"/>
      <c r="AD145" s="48"/>
      <c r="AE145" s="49"/>
      <c r="AF145" s="49"/>
      <c r="AG145" s="57"/>
      <c r="AH145" s="57"/>
      <c r="AI145" s="49"/>
      <c r="AJ145" s="77" t="s">
        <v>33</v>
      </c>
    </row>
    <row r="146" spans="28:38" x14ac:dyDescent="0.25">
      <c r="AC146" s="47"/>
      <c r="AD146" s="48"/>
      <c r="AE146" s="49"/>
      <c r="AF146" s="49"/>
      <c r="AG146" s="57"/>
      <c r="AH146" s="57"/>
      <c r="AI146" s="49"/>
      <c r="AJ146" s="77" t="s">
        <v>35</v>
      </c>
    </row>
    <row r="147" spans="28:38" s="60" customFormat="1" x14ac:dyDescent="0.25">
      <c r="AB147" s="61"/>
      <c r="AC147" s="62"/>
      <c r="AD147" s="63"/>
      <c r="AE147" s="64"/>
      <c r="AF147" s="64"/>
      <c r="AG147" s="65"/>
      <c r="AH147" s="65"/>
      <c r="AI147" s="64"/>
      <c r="AJ147" s="78" t="s">
        <v>37</v>
      </c>
      <c r="AL147" s="60" t="s">
        <v>229</v>
      </c>
    </row>
    <row r="148" spans="28:38" x14ac:dyDescent="0.25">
      <c r="AI148" s="42">
        <v>3</v>
      </c>
      <c r="AK148" s="42">
        <v>0</v>
      </c>
    </row>
    <row r="149" spans="28:38" x14ac:dyDescent="0.25">
      <c r="AC149" s="47"/>
      <c r="AD149" s="48"/>
      <c r="AE149" s="49"/>
      <c r="AF149" s="49"/>
      <c r="AG149" s="57"/>
      <c r="AH149" s="57"/>
      <c r="AI149" s="49"/>
      <c r="AJ149" s="77" t="s">
        <v>31</v>
      </c>
      <c r="AK149" s="42">
        <v>15.21</v>
      </c>
    </row>
    <row r="150" spans="28:38" x14ac:dyDescent="0.25">
      <c r="AC150" s="47"/>
      <c r="AD150" s="48"/>
      <c r="AE150" s="49"/>
      <c r="AF150" s="49"/>
      <c r="AG150" s="57"/>
      <c r="AH150" s="57"/>
      <c r="AI150" s="49"/>
      <c r="AJ150" s="77" t="s">
        <v>33</v>
      </c>
    </row>
    <row r="151" spans="28:38" x14ac:dyDescent="0.25">
      <c r="AC151" s="47"/>
      <c r="AD151" s="48"/>
      <c r="AE151" s="49"/>
      <c r="AF151" s="49"/>
      <c r="AG151" s="57"/>
      <c r="AH151" s="57"/>
      <c r="AI151" s="49"/>
      <c r="AJ151" s="77" t="s">
        <v>35</v>
      </c>
      <c r="AK151" s="42" t="s">
        <v>227</v>
      </c>
    </row>
    <row r="152" spans="28:38" s="56" customFormat="1" x14ac:dyDescent="0.25">
      <c r="AB152" s="51"/>
      <c r="AC152" s="52"/>
      <c r="AD152" s="53"/>
      <c r="AE152" s="54"/>
      <c r="AF152" s="54"/>
      <c r="AG152" s="58"/>
      <c r="AH152" s="58"/>
      <c r="AI152" s="54"/>
      <c r="AJ152" s="79" t="s">
        <v>37</v>
      </c>
    </row>
    <row r="153" spans="28:38" x14ac:dyDescent="0.25">
      <c r="AD153" s="45" t="s">
        <v>300</v>
      </c>
      <c r="AE153" s="42">
        <f>SUM(AE3:AE152)</f>
        <v>29</v>
      </c>
    </row>
    <row r="154" spans="28:38" x14ac:dyDescent="0.25">
      <c r="AC154" s="47"/>
      <c r="AD154" s="48"/>
      <c r="AE154" s="49"/>
      <c r="AF154" s="49"/>
      <c r="AG154" s="57"/>
      <c r="AH154" s="57"/>
      <c r="AI154" s="49"/>
      <c r="AJ154" s="77" t="s">
        <v>31</v>
      </c>
    </row>
    <row r="155" spans="28:38" x14ac:dyDescent="0.25">
      <c r="AC155" s="47"/>
      <c r="AD155" s="48"/>
      <c r="AE155" s="49"/>
      <c r="AF155" s="49"/>
      <c r="AG155" s="57"/>
      <c r="AH155" s="57"/>
      <c r="AI155" s="49"/>
      <c r="AJ155" s="77" t="s">
        <v>33</v>
      </c>
    </row>
    <row r="156" spans="28:38" x14ac:dyDescent="0.25">
      <c r="AC156" s="47"/>
      <c r="AD156" s="48"/>
      <c r="AE156" s="49"/>
      <c r="AF156" s="49"/>
      <c r="AG156" s="57"/>
      <c r="AH156" s="57"/>
      <c r="AI156" s="49"/>
      <c r="AJ156" s="77" t="s">
        <v>35</v>
      </c>
    </row>
    <row r="157" spans="28:38" s="60" customFormat="1" x14ac:dyDescent="0.25">
      <c r="AB157" s="61"/>
      <c r="AC157" s="62"/>
      <c r="AD157" s="63"/>
      <c r="AE157" s="64"/>
      <c r="AF157" s="64"/>
      <c r="AG157" s="65"/>
      <c r="AH157" s="65"/>
      <c r="AI157" s="64"/>
      <c r="AJ157" s="78" t="s">
        <v>37</v>
      </c>
    </row>
    <row r="159" spans="28:38" x14ac:dyDescent="0.25">
      <c r="AC159" s="47"/>
      <c r="AD159" s="48"/>
      <c r="AE159" s="49"/>
      <c r="AF159" s="49"/>
      <c r="AG159" s="57"/>
      <c r="AH159" s="57"/>
      <c r="AI159" s="49"/>
      <c r="AJ159" s="77" t="s">
        <v>31</v>
      </c>
    </row>
    <row r="160" spans="28:38" x14ac:dyDescent="0.25">
      <c r="AC160" s="47"/>
      <c r="AD160" s="48"/>
      <c r="AE160" s="49"/>
      <c r="AF160" s="49"/>
      <c r="AG160" s="57"/>
      <c r="AH160" s="57"/>
      <c r="AI160" s="49"/>
      <c r="AJ160" s="77" t="s">
        <v>33</v>
      </c>
    </row>
    <row r="161" spans="28:36" x14ac:dyDescent="0.25">
      <c r="AC161" s="47"/>
      <c r="AD161" s="48"/>
      <c r="AE161" s="49"/>
      <c r="AF161" s="49"/>
      <c r="AG161" s="57"/>
      <c r="AH161" s="57"/>
      <c r="AI161" s="49"/>
      <c r="AJ161" s="77" t="s">
        <v>35</v>
      </c>
    </row>
    <row r="162" spans="28:36" s="60" customFormat="1" x14ac:dyDescent="0.25">
      <c r="AB162" s="61"/>
      <c r="AC162" s="62"/>
      <c r="AD162" s="63"/>
      <c r="AE162" s="64"/>
      <c r="AF162" s="64"/>
      <c r="AG162" s="65"/>
      <c r="AH162" s="65"/>
      <c r="AI162" s="64"/>
      <c r="AJ162" s="78" t="s">
        <v>37</v>
      </c>
    </row>
    <row r="164" spans="28:36" x14ac:dyDescent="0.25">
      <c r="AC164" s="47"/>
      <c r="AD164" s="48"/>
      <c r="AE164" s="49"/>
      <c r="AF164" s="49"/>
      <c r="AG164" s="57"/>
      <c r="AH164" s="57"/>
      <c r="AI164" s="49"/>
      <c r="AJ164" s="77" t="s">
        <v>31</v>
      </c>
    </row>
    <row r="165" spans="28:36" x14ac:dyDescent="0.25">
      <c r="AC165" s="47"/>
      <c r="AD165" s="48"/>
      <c r="AE165" s="49"/>
      <c r="AF165" s="49"/>
      <c r="AG165" s="57"/>
      <c r="AH165" s="57"/>
      <c r="AI165" s="49"/>
      <c r="AJ165" s="77" t="s">
        <v>33</v>
      </c>
    </row>
    <row r="166" spans="28:36" x14ac:dyDescent="0.25">
      <c r="AC166" s="47"/>
      <c r="AD166" s="48"/>
      <c r="AE166" s="49"/>
      <c r="AF166" s="49"/>
      <c r="AG166" s="57"/>
      <c r="AH166" s="57"/>
      <c r="AI166" s="49"/>
      <c r="AJ166" s="77" t="s">
        <v>35</v>
      </c>
    </row>
    <row r="167" spans="28:36" s="60" customFormat="1" x14ac:dyDescent="0.25">
      <c r="AB167" s="61"/>
      <c r="AC167" s="62"/>
      <c r="AD167" s="63"/>
      <c r="AE167" s="64"/>
      <c r="AF167" s="64"/>
      <c r="AG167" s="65"/>
      <c r="AH167" s="65"/>
      <c r="AI167" s="64"/>
      <c r="AJ167" s="78" t="s">
        <v>37</v>
      </c>
    </row>
    <row r="169" spans="28:36" x14ac:dyDescent="0.25">
      <c r="AC169" s="47"/>
      <c r="AD169" s="48"/>
      <c r="AE169" s="49"/>
      <c r="AF169" s="49"/>
      <c r="AG169" s="57"/>
      <c r="AH169" s="57"/>
      <c r="AI169" s="49"/>
      <c r="AJ169" s="77" t="s">
        <v>31</v>
      </c>
    </row>
    <row r="170" spans="28:36" x14ac:dyDescent="0.25">
      <c r="AC170" s="47"/>
      <c r="AD170" s="48"/>
      <c r="AE170" s="49"/>
      <c r="AF170" s="49"/>
      <c r="AG170" s="57"/>
      <c r="AH170" s="57"/>
      <c r="AI170" s="49"/>
      <c r="AJ170" s="77" t="s">
        <v>33</v>
      </c>
    </row>
    <row r="171" spans="28:36" x14ac:dyDescent="0.25">
      <c r="AC171" s="47"/>
      <c r="AD171" s="48"/>
      <c r="AE171" s="49"/>
      <c r="AF171" s="49"/>
      <c r="AG171" s="57"/>
      <c r="AH171" s="57"/>
      <c r="AI171" s="49"/>
      <c r="AJ171" s="77" t="s">
        <v>35</v>
      </c>
    </row>
    <row r="172" spans="28:36" s="60" customFormat="1" x14ac:dyDescent="0.25">
      <c r="AB172" s="61"/>
      <c r="AC172" s="62"/>
      <c r="AD172" s="63"/>
      <c r="AE172" s="64"/>
      <c r="AF172" s="64"/>
      <c r="AG172" s="65"/>
      <c r="AH172" s="65"/>
      <c r="AI172" s="64"/>
      <c r="AJ172" s="78" t="s">
        <v>37</v>
      </c>
    </row>
    <row r="174" spans="28:36" x14ac:dyDescent="0.25">
      <c r="AC174" s="47"/>
      <c r="AD174" s="48"/>
      <c r="AE174" s="49"/>
      <c r="AF174" s="49"/>
      <c r="AG174" s="57"/>
      <c r="AH174" s="57"/>
      <c r="AI174" s="49"/>
      <c r="AJ174" s="77" t="s">
        <v>31</v>
      </c>
    </row>
    <row r="175" spans="28:36" x14ac:dyDescent="0.25">
      <c r="AC175" s="47"/>
      <c r="AD175" s="48"/>
      <c r="AE175" s="49"/>
      <c r="AF175" s="49"/>
      <c r="AG175" s="57"/>
      <c r="AH175" s="57"/>
      <c r="AI175" s="49"/>
      <c r="AJ175" s="77" t="s">
        <v>33</v>
      </c>
    </row>
    <row r="176" spans="28:36" x14ac:dyDescent="0.25">
      <c r="AC176" s="47"/>
      <c r="AD176" s="48"/>
      <c r="AE176" s="49"/>
      <c r="AF176" s="49"/>
      <c r="AG176" s="57"/>
      <c r="AH176" s="57"/>
      <c r="AI176" s="49"/>
      <c r="AJ176" s="77" t="s">
        <v>35</v>
      </c>
    </row>
    <row r="177" spans="28:36" s="60" customFormat="1" x14ac:dyDescent="0.25">
      <c r="AB177" s="61"/>
      <c r="AC177" s="62"/>
      <c r="AD177" s="63"/>
      <c r="AE177" s="64"/>
      <c r="AF177" s="64"/>
      <c r="AG177" s="65"/>
      <c r="AH177" s="65"/>
      <c r="AI177" s="64"/>
      <c r="AJ177" s="78" t="s">
        <v>37</v>
      </c>
    </row>
    <row r="179" spans="28:36" x14ac:dyDescent="0.25">
      <c r="AC179" s="47"/>
      <c r="AD179" s="48"/>
      <c r="AE179" s="49"/>
      <c r="AF179" s="49"/>
      <c r="AG179" s="57"/>
      <c r="AH179" s="57"/>
      <c r="AI179" s="49"/>
      <c r="AJ179" s="77" t="s">
        <v>31</v>
      </c>
    </row>
    <row r="180" spans="28:36" x14ac:dyDescent="0.25">
      <c r="AC180" s="47"/>
      <c r="AD180" s="48"/>
      <c r="AE180" s="49"/>
      <c r="AF180" s="49"/>
      <c r="AG180" s="57"/>
      <c r="AH180" s="57"/>
      <c r="AI180" s="49"/>
      <c r="AJ180" s="77" t="s">
        <v>33</v>
      </c>
    </row>
    <row r="181" spans="28:36" x14ac:dyDescent="0.25">
      <c r="AC181" s="47"/>
      <c r="AD181" s="48"/>
      <c r="AE181" s="49"/>
      <c r="AF181" s="49"/>
      <c r="AG181" s="57"/>
      <c r="AH181" s="57"/>
      <c r="AI181" s="49"/>
      <c r="AJ181" s="77" t="s">
        <v>35</v>
      </c>
    </row>
    <row r="182" spans="28:36" s="60" customFormat="1" x14ac:dyDescent="0.25">
      <c r="AB182" s="61"/>
      <c r="AC182" s="62"/>
      <c r="AD182" s="63"/>
      <c r="AE182" s="64"/>
      <c r="AF182" s="64"/>
      <c r="AG182" s="65"/>
      <c r="AH182" s="65"/>
      <c r="AI182" s="64"/>
      <c r="AJ182" s="78" t="s">
        <v>37</v>
      </c>
    </row>
    <row r="184" spans="28:36" x14ac:dyDescent="0.25">
      <c r="AC184" s="47"/>
      <c r="AD184" s="48"/>
      <c r="AE184" s="49"/>
      <c r="AF184" s="49"/>
      <c r="AG184" s="57"/>
      <c r="AH184" s="57"/>
      <c r="AI184" s="49"/>
      <c r="AJ184" s="77" t="s">
        <v>31</v>
      </c>
    </row>
    <row r="185" spans="28:36" x14ac:dyDescent="0.25">
      <c r="AC185" s="47"/>
      <c r="AD185" s="48"/>
      <c r="AE185" s="49"/>
      <c r="AF185" s="49"/>
      <c r="AG185" s="57"/>
      <c r="AH185" s="57"/>
      <c r="AI185" s="49"/>
      <c r="AJ185" s="77" t="s">
        <v>33</v>
      </c>
    </row>
    <row r="186" spans="28:36" x14ac:dyDescent="0.25">
      <c r="AC186" s="47"/>
      <c r="AD186" s="48"/>
      <c r="AE186" s="49"/>
      <c r="AF186" s="49"/>
      <c r="AG186" s="57"/>
      <c r="AH186" s="57"/>
      <c r="AI186" s="49"/>
      <c r="AJ186" s="77" t="s">
        <v>35</v>
      </c>
    </row>
    <row r="187" spans="28:36" s="60" customFormat="1" x14ac:dyDescent="0.25">
      <c r="AB187" s="61"/>
      <c r="AC187" s="62"/>
      <c r="AD187" s="63"/>
      <c r="AE187" s="64"/>
      <c r="AF187" s="64"/>
      <c r="AG187" s="65"/>
      <c r="AH187" s="65"/>
      <c r="AI187" s="64"/>
      <c r="AJ187" s="78" t="s">
        <v>37</v>
      </c>
    </row>
    <row r="189" spans="28:36" x14ac:dyDescent="0.25">
      <c r="AC189" s="47"/>
      <c r="AD189" s="48"/>
      <c r="AE189" s="49"/>
      <c r="AF189" s="49"/>
      <c r="AG189" s="57"/>
      <c r="AH189" s="57"/>
      <c r="AI189" s="49"/>
      <c r="AJ189" s="77" t="s">
        <v>31</v>
      </c>
    </row>
    <row r="190" spans="28:36" x14ac:dyDescent="0.25">
      <c r="AC190" s="47"/>
      <c r="AD190" s="48"/>
      <c r="AE190" s="49"/>
      <c r="AF190" s="49"/>
      <c r="AG190" s="57"/>
      <c r="AH190" s="57"/>
      <c r="AI190" s="49"/>
      <c r="AJ190" s="77" t="s">
        <v>33</v>
      </c>
    </row>
    <row r="191" spans="28:36" x14ac:dyDescent="0.25">
      <c r="AC191" s="47"/>
      <c r="AD191" s="48"/>
      <c r="AE191" s="49"/>
      <c r="AF191" s="49"/>
      <c r="AG191" s="57"/>
      <c r="AH191" s="57"/>
      <c r="AI191" s="49"/>
      <c r="AJ191" s="77" t="s">
        <v>35</v>
      </c>
    </row>
    <row r="192" spans="28:36" s="60" customFormat="1" x14ac:dyDescent="0.25">
      <c r="AB192" s="61"/>
      <c r="AC192" s="62"/>
      <c r="AD192" s="63"/>
      <c r="AE192" s="64"/>
      <c r="AF192" s="64"/>
      <c r="AG192" s="65"/>
      <c r="AH192" s="65"/>
      <c r="AI192" s="64"/>
      <c r="AJ192" s="78" t="s">
        <v>37</v>
      </c>
    </row>
    <row r="194" spans="28:36" x14ac:dyDescent="0.25">
      <c r="AC194" s="47"/>
      <c r="AD194" s="48"/>
      <c r="AE194" s="49"/>
      <c r="AF194" s="49"/>
      <c r="AG194" s="57"/>
      <c r="AH194" s="57"/>
      <c r="AI194" s="49"/>
      <c r="AJ194" s="77" t="s">
        <v>31</v>
      </c>
    </row>
    <row r="195" spans="28:36" x14ac:dyDescent="0.25">
      <c r="AC195" s="47"/>
      <c r="AD195" s="48"/>
      <c r="AE195" s="49"/>
      <c r="AF195" s="49"/>
      <c r="AG195" s="57"/>
      <c r="AH195" s="57"/>
      <c r="AI195" s="49"/>
      <c r="AJ195" s="77" t="s">
        <v>33</v>
      </c>
    </row>
    <row r="196" spans="28:36" x14ac:dyDescent="0.25">
      <c r="AC196" s="47"/>
      <c r="AD196" s="48"/>
      <c r="AE196" s="49"/>
      <c r="AF196" s="49"/>
      <c r="AG196" s="57"/>
      <c r="AH196" s="57"/>
      <c r="AI196" s="49"/>
      <c r="AJ196" s="77" t="s">
        <v>35</v>
      </c>
    </row>
    <row r="197" spans="28:36" s="60" customFormat="1" x14ac:dyDescent="0.25">
      <c r="AB197" s="61"/>
      <c r="AC197" s="62"/>
      <c r="AD197" s="63"/>
      <c r="AE197" s="64"/>
      <c r="AF197" s="64"/>
      <c r="AG197" s="65"/>
      <c r="AH197" s="65"/>
      <c r="AI197" s="64"/>
      <c r="AJ197" s="78" t="s">
        <v>37</v>
      </c>
    </row>
    <row r="199" spans="28:36" x14ac:dyDescent="0.25">
      <c r="AC199" s="47"/>
      <c r="AD199" s="48"/>
      <c r="AE199" s="49"/>
      <c r="AF199" s="49"/>
      <c r="AG199" s="57"/>
      <c r="AH199" s="57"/>
      <c r="AI199" s="49"/>
      <c r="AJ199" s="77" t="s">
        <v>31</v>
      </c>
    </row>
    <row r="200" spans="28:36" x14ac:dyDescent="0.25">
      <c r="AC200" s="47"/>
      <c r="AD200" s="48"/>
      <c r="AE200" s="49"/>
      <c r="AF200" s="49"/>
      <c r="AG200" s="57"/>
      <c r="AH200" s="57"/>
      <c r="AI200" s="49"/>
      <c r="AJ200" s="77" t="s">
        <v>33</v>
      </c>
    </row>
    <row r="201" spans="28:36" x14ac:dyDescent="0.25">
      <c r="AC201" s="47"/>
      <c r="AD201" s="48"/>
      <c r="AE201" s="49"/>
      <c r="AF201" s="49"/>
      <c r="AG201" s="57"/>
      <c r="AH201" s="57"/>
      <c r="AI201" s="49"/>
      <c r="AJ201" s="77" t="s">
        <v>35</v>
      </c>
    </row>
    <row r="202" spans="28:36" s="60" customFormat="1" x14ac:dyDescent="0.25">
      <c r="AB202" s="61"/>
      <c r="AC202" s="62"/>
      <c r="AD202" s="63"/>
      <c r="AE202" s="64"/>
      <c r="AF202" s="64"/>
      <c r="AG202" s="65"/>
      <c r="AH202" s="65"/>
      <c r="AI202" s="64"/>
      <c r="AJ202" s="78" t="s">
        <v>37</v>
      </c>
    </row>
    <row r="204" spans="28:36" x14ac:dyDescent="0.25">
      <c r="AC204" s="47"/>
      <c r="AD204" s="48"/>
      <c r="AE204" s="49"/>
      <c r="AF204" s="49"/>
      <c r="AG204" s="57"/>
      <c r="AH204" s="57"/>
      <c r="AI204" s="49"/>
      <c r="AJ204" s="77" t="s">
        <v>31</v>
      </c>
    </row>
    <row r="205" spans="28:36" x14ac:dyDescent="0.25">
      <c r="AC205" s="47"/>
      <c r="AD205" s="48"/>
      <c r="AE205" s="49"/>
      <c r="AF205" s="49"/>
      <c r="AG205" s="57"/>
      <c r="AH205" s="57"/>
      <c r="AI205" s="49"/>
      <c r="AJ205" s="77" t="s">
        <v>33</v>
      </c>
    </row>
    <row r="206" spans="28:36" x14ac:dyDescent="0.25">
      <c r="AC206" s="47"/>
      <c r="AD206" s="48"/>
      <c r="AE206" s="49"/>
      <c r="AF206" s="49"/>
      <c r="AG206" s="57"/>
      <c r="AH206" s="57"/>
      <c r="AI206" s="49"/>
      <c r="AJ206" s="77" t="s">
        <v>35</v>
      </c>
    </row>
    <row r="207" spans="28:36" s="60" customFormat="1" x14ac:dyDescent="0.25">
      <c r="AB207" s="61"/>
      <c r="AC207" s="62"/>
      <c r="AD207" s="63"/>
      <c r="AE207" s="64"/>
      <c r="AF207" s="64"/>
      <c r="AG207" s="65"/>
      <c r="AH207" s="65"/>
      <c r="AI207" s="64"/>
      <c r="AJ207" s="78" t="s">
        <v>37</v>
      </c>
    </row>
    <row r="209" spans="28:36" x14ac:dyDescent="0.25">
      <c r="AC209" s="47"/>
      <c r="AD209" s="48"/>
      <c r="AE209" s="49"/>
      <c r="AF209" s="49"/>
      <c r="AG209" s="57"/>
      <c r="AH209" s="57"/>
      <c r="AI209" s="49"/>
      <c r="AJ209" s="77" t="s">
        <v>31</v>
      </c>
    </row>
    <row r="210" spans="28:36" x14ac:dyDescent="0.25">
      <c r="AC210" s="47"/>
      <c r="AD210" s="48"/>
      <c r="AE210" s="49"/>
      <c r="AF210" s="49"/>
      <c r="AG210" s="57"/>
      <c r="AH210" s="57"/>
      <c r="AI210" s="49"/>
      <c r="AJ210" s="77" t="s">
        <v>33</v>
      </c>
    </row>
    <row r="211" spans="28:36" x14ac:dyDescent="0.25">
      <c r="AC211" s="47"/>
      <c r="AD211" s="48"/>
      <c r="AE211" s="49"/>
      <c r="AF211" s="49"/>
      <c r="AG211" s="57"/>
      <c r="AH211" s="57"/>
      <c r="AI211" s="49"/>
      <c r="AJ211" s="77" t="s">
        <v>35</v>
      </c>
    </row>
    <row r="212" spans="28:36" s="60" customFormat="1" x14ac:dyDescent="0.25">
      <c r="AB212" s="61"/>
      <c r="AC212" s="62"/>
      <c r="AD212" s="63"/>
      <c r="AE212" s="64"/>
      <c r="AF212" s="64"/>
      <c r="AG212" s="65"/>
      <c r="AH212" s="65"/>
      <c r="AI212" s="64"/>
      <c r="AJ212" s="78" t="s">
        <v>37</v>
      </c>
    </row>
    <row r="215" spans="28:36" x14ac:dyDescent="0.25">
      <c r="AG215" s="56"/>
    </row>
  </sheetData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B78E-B124-4DB2-A46B-678AED9EBFC6}">
  <sheetPr>
    <tabColor theme="5"/>
  </sheetPr>
  <dimension ref="A1:HC210"/>
  <sheetViews>
    <sheetView workbookViewId="0">
      <selection activeCell="AC26" sqref="AC26"/>
    </sheetView>
  </sheetViews>
  <sheetFormatPr defaultColWidth="9.140625" defaultRowHeight="15" x14ac:dyDescent="0.25"/>
  <cols>
    <col min="1" max="1" width="5.7109375" style="42" customWidth="1"/>
    <col min="2" max="2" width="13.85546875" style="42" customWidth="1"/>
    <col min="3" max="3" width="21.42578125" style="42" bestFit="1" customWidth="1"/>
    <col min="4" max="4" width="7.28515625" style="42" hidden="1" customWidth="1"/>
    <col min="5" max="6" width="8.85546875" style="42" hidden="1" customWidth="1"/>
    <col min="7" max="8" width="14" style="42" hidden="1" customWidth="1"/>
    <col min="9" max="14" width="10.28515625" style="42" hidden="1" customWidth="1"/>
    <col min="15" max="16" width="13.28515625" style="42" hidden="1" customWidth="1"/>
    <col min="17" max="20" width="10.28515625" style="42" hidden="1" customWidth="1"/>
    <col min="21" max="22" width="9.140625" style="42" hidden="1" customWidth="1"/>
    <col min="23" max="24" width="9.140625" style="42"/>
    <col min="25" max="25" width="26.28515625" style="42" customWidth="1"/>
    <col min="26" max="27" width="12.28515625" style="42" customWidth="1"/>
    <col min="28" max="28" width="12.28515625" style="44" customWidth="1"/>
    <col min="29" max="29" width="8.140625" style="44" customWidth="1"/>
    <col min="30" max="30" width="8.42578125" style="45" customWidth="1"/>
    <col min="31" max="31" width="10" style="42" customWidth="1"/>
    <col min="32" max="32" width="16.140625" style="42" customWidth="1"/>
    <col min="33" max="33" width="9.140625" style="42"/>
    <col min="34" max="34" width="12.28515625" style="42" customWidth="1"/>
    <col min="35" max="35" width="8.140625" style="42" customWidth="1"/>
    <col min="36" max="36" width="19.7109375" style="42" customWidth="1"/>
    <col min="37" max="37" width="11.5703125" style="42" customWidth="1"/>
    <col min="38" max="57" width="9.140625" style="42"/>
    <col min="58" max="58" width="14.140625" style="68" customWidth="1"/>
    <col min="59" max="157" width="9.140625" style="42"/>
    <col min="158" max="208" width="9.5703125" style="42" customWidth="1"/>
    <col min="209" max="211" width="12.28515625" style="42" customWidth="1"/>
    <col min="212" max="16384" width="9.140625" style="42"/>
  </cols>
  <sheetData>
    <row r="1" spans="1:211" ht="14.45" customHeight="1" x14ac:dyDescent="0.25">
      <c r="A1" s="38" t="s">
        <v>38</v>
      </c>
      <c r="B1" s="95" t="s">
        <v>39</v>
      </c>
      <c r="C1" s="101" t="s">
        <v>40</v>
      </c>
      <c r="D1" s="39" t="s">
        <v>41</v>
      </c>
      <c r="E1" s="39" t="s">
        <v>513</v>
      </c>
      <c r="F1" s="39" t="s">
        <v>514</v>
      </c>
      <c r="G1" s="39" t="s">
        <v>515</v>
      </c>
      <c r="H1" s="39" t="s">
        <v>516</v>
      </c>
      <c r="I1" s="39" t="s">
        <v>517</v>
      </c>
      <c r="J1" s="39" t="s">
        <v>518</v>
      </c>
      <c r="K1" s="39" t="s">
        <v>519</v>
      </c>
      <c r="L1" s="39" t="s">
        <v>520</v>
      </c>
      <c r="M1" s="39" t="s">
        <v>521</v>
      </c>
      <c r="N1" s="95" t="s">
        <v>42</v>
      </c>
      <c r="O1" s="95" t="s">
        <v>522</v>
      </c>
      <c r="P1" s="95" t="s">
        <v>523</v>
      </c>
      <c r="Q1" s="95" t="s">
        <v>524</v>
      </c>
      <c r="R1" s="95" t="s">
        <v>525</v>
      </c>
      <c r="S1" s="95" t="s">
        <v>526</v>
      </c>
      <c r="T1" s="95" t="s">
        <v>527</v>
      </c>
      <c r="U1" s="95" t="s">
        <v>528</v>
      </c>
      <c r="V1" s="101" t="s">
        <v>43</v>
      </c>
      <c r="W1" s="40" t="s">
        <v>44</v>
      </c>
      <c r="X1" s="38" t="s">
        <v>45</v>
      </c>
      <c r="Y1" s="38" t="s">
        <v>46</v>
      </c>
      <c r="Z1" s="38" t="s">
        <v>529</v>
      </c>
      <c r="AA1" s="38" t="s">
        <v>530</v>
      </c>
      <c r="AB1" s="38" t="s">
        <v>531</v>
      </c>
      <c r="AC1" s="41" t="s">
        <v>47</v>
      </c>
      <c r="AD1" s="102" t="s">
        <v>48</v>
      </c>
      <c r="AE1" s="103" t="s">
        <v>49</v>
      </c>
      <c r="AF1" s="40" t="s">
        <v>50</v>
      </c>
      <c r="AG1" s="38" t="s">
        <v>52</v>
      </c>
      <c r="AH1" s="38" t="s">
        <v>532</v>
      </c>
      <c r="AI1" s="40" t="s">
        <v>4</v>
      </c>
      <c r="AJ1" s="40" t="s">
        <v>51</v>
      </c>
      <c r="AK1" s="38" t="s">
        <v>6</v>
      </c>
      <c r="AL1" s="40" t="s">
        <v>53</v>
      </c>
      <c r="AM1" s="104" t="s">
        <v>8</v>
      </c>
      <c r="AN1" s="104" t="s">
        <v>9</v>
      </c>
      <c r="AO1" s="104" t="s">
        <v>10</v>
      </c>
      <c r="AP1" s="104" t="s">
        <v>11</v>
      </c>
      <c r="AQ1" s="104" t="s">
        <v>12</v>
      </c>
      <c r="AR1" s="104" t="s">
        <v>13</v>
      </c>
      <c r="AS1" s="104" t="s">
        <v>14</v>
      </c>
      <c r="AT1" s="104" t="s">
        <v>15</v>
      </c>
      <c r="AU1" s="104" t="s">
        <v>16</v>
      </c>
      <c r="AV1" s="104" t="s">
        <v>17</v>
      </c>
      <c r="AW1" s="104" t="s">
        <v>18</v>
      </c>
      <c r="AX1" s="104" t="s">
        <v>19</v>
      </c>
      <c r="AY1" s="104" t="s">
        <v>20</v>
      </c>
      <c r="AZ1" s="104" t="s">
        <v>21</v>
      </c>
      <c r="BA1" s="104" t="s">
        <v>22</v>
      </c>
      <c r="BB1" s="104" t="s">
        <v>23</v>
      </c>
      <c r="BC1" s="104" t="s">
        <v>24</v>
      </c>
      <c r="BD1" s="104" t="s">
        <v>25</v>
      </c>
      <c r="BE1" s="40" t="s">
        <v>26</v>
      </c>
      <c r="BF1" s="111" t="s">
        <v>54</v>
      </c>
      <c r="BG1" s="40" t="s">
        <v>55</v>
      </c>
      <c r="BH1" s="40" t="s">
        <v>56</v>
      </c>
      <c r="BI1" s="40" t="s">
        <v>57</v>
      </c>
      <c r="BJ1" s="40" t="s">
        <v>58</v>
      </c>
      <c r="BK1" s="40" t="s">
        <v>59</v>
      </c>
      <c r="BL1" s="40" t="s">
        <v>60</v>
      </c>
      <c r="BM1" s="40" t="s">
        <v>61</v>
      </c>
      <c r="BN1" s="40" t="s">
        <v>62</v>
      </c>
      <c r="BO1" s="40" t="s">
        <v>63</v>
      </c>
      <c r="BP1" s="40" t="s">
        <v>64</v>
      </c>
      <c r="BQ1" s="40" t="s">
        <v>65</v>
      </c>
      <c r="BR1" s="40" t="s">
        <v>66</v>
      </c>
      <c r="BS1" s="40" t="s">
        <v>67</v>
      </c>
      <c r="BT1" s="40" t="s">
        <v>68</v>
      </c>
      <c r="BU1" s="40" t="s">
        <v>69</v>
      </c>
      <c r="BV1" s="40" t="s">
        <v>70</v>
      </c>
      <c r="BW1" s="40" t="s">
        <v>71</v>
      </c>
      <c r="BX1" s="40" t="s">
        <v>72</v>
      </c>
      <c r="BY1" s="40" t="s">
        <v>73</v>
      </c>
      <c r="BZ1" s="40" t="s">
        <v>74</v>
      </c>
      <c r="CA1" s="40" t="s">
        <v>75</v>
      </c>
      <c r="CB1" s="40" t="s">
        <v>76</v>
      </c>
      <c r="CC1" s="40" t="s">
        <v>77</v>
      </c>
      <c r="CD1" s="40" t="s">
        <v>78</v>
      </c>
      <c r="CE1" s="40" t="s">
        <v>79</v>
      </c>
      <c r="CF1" s="40" t="s">
        <v>80</v>
      </c>
      <c r="CG1" s="40" t="s">
        <v>81</v>
      </c>
      <c r="CH1" s="40" t="s">
        <v>82</v>
      </c>
      <c r="CI1" s="40" t="s">
        <v>83</v>
      </c>
      <c r="CJ1" s="40" t="s">
        <v>84</v>
      </c>
      <c r="CK1" s="40" t="s">
        <v>85</v>
      </c>
      <c r="CL1" s="40" t="s">
        <v>86</v>
      </c>
      <c r="CM1" s="40" t="s">
        <v>87</v>
      </c>
      <c r="CN1" s="40" t="s">
        <v>88</v>
      </c>
      <c r="CO1" s="40" t="s">
        <v>89</v>
      </c>
      <c r="CP1" s="40" t="s">
        <v>90</v>
      </c>
      <c r="CQ1" s="40" t="s">
        <v>91</v>
      </c>
      <c r="CR1" s="40" t="s">
        <v>92</v>
      </c>
      <c r="CS1" s="40" t="s">
        <v>93</v>
      </c>
      <c r="CT1" s="40" t="s">
        <v>94</v>
      </c>
      <c r="CU1" s="40" t="s">
        <v>95</v>
      </c>
      <c r="CV1" s="40" t="s">
        <v>96</v>
      </c>
      <c r="CW1" s="40" t="s">
        <v>97</v>
      </c>
      <c r="CX1" s="40" t="s">
        <v>98</v>
      </c>
      <c r="CY1" s="40" t="s">
        <v>99</v>
      </c>
      <c r="CZ1" s="40" t="s">
        <v>100</v>
      </c>
      <c r="DA1" s="40" t="s">
        <v>101</v>
      </c>
      <c r="DB1" s="40" t="s">
        <v>102</v>
      </c>
      <c r="DC1" s="40" t="s">
        <v>103</v>
      </c>
      <c r="DD1" s="40" t="s">
        <v>104</v>
      </c>
      <c r="DE1" s="40" t="s">
        <v>105</v>
      </c>
      <c r="DF1" s="40" t="s">
        <v>106</v>
      </c>
      <c r="DG1" s="40" t="s">
        <v>107</v>
      </c>
      <c r="DH1" s="40" t="s">
        <v>108</v>
      </c>
      <c r="DI1" s="40" t="s">
        <v>109</v>
      </c>
      <c r="DJ1" s="40" t="s">
        <v>110</v>
      </c>
      <c r="DK1" s="40" t="s">
        <v>111</v>
      </c>
      <c r="DL1" s="40" t="s">
        <v>112</v>
      </c>
      <c r="DM1" s="40" t="s">
        <v>113</v>
      </c>
      <c r="DN1" s="40" t="s">
        <v>114</v>
      </c>
      <c r="DO1" s="40" t="s">
        <v>115</v>
      </c>
      <c r="DP1" s="40" t="s">
        <v>116</v>
      </c>
      <c r="DQ1" s="40" t="s">
        <v>117</v>
      </c>
      <c r="DR1" s="40" t="s">
        <v>118</v>
      </c>
      <c r="DS1" s="40" t="s">
        <v>119</v>
      </c>
      <c r="DT1" s="40" t="s">
        <v>120</v>
      </c>
      <c r="DU1" s="40" t="s">
        <v>121</v>
      </c>
      <c r="DV1" s="40" t="s">
        <v>122</v>
      </c>
      <c r="DW1" s="40" t="s">
        <v>123</v>
      </c>
      <c r="DX1" s="40" t="s">
        <v>124</v>
      </c>
      <c r="DY1" s="40" t="s">
        <v>125</v>
      </c>
      <c r="DZ1" s="40" t="s">
        <v>126</v>
      </c>
      <c r="EA1" s="40" t="s">
        <v>127</v>
      </c>
      <c r="EB1" s="40" t="s">
        <v>128</v>
      </c>
      <c r="EC1" s="40" t="s">
        <v>129</v>
      </c>
      <c r="ED1" s="40" t="s">
        <v>130</v>
      </c>
      <c r="EE1" s="40" t="s">
        <v>131</v>
      </c>
      <c r="EF1" s="40" t="s">
        <v>132</v>
      </c>
      <c r="EG1" s="40" t="s">
        <v>133</v>
      </c>
      <c r="EH1" s="40" t="s">
        <v>134</v>
      </c>
      <c r="EI1" s="40" t="s">
        <v>135</v>
      </c>
      <c r="EJ1" s="40" t="s">
        <v>136</v>
      </c>
      <c r="EK1" s="40" t="s">
        <v>137</v>
      </c>
      <c r="EL1" s="40" t="s">
        <v>138</v>
      </c>
      <c r="EM1" s="40" t="s">
        <v>139</v>
      </c>
      <c r="EN1" s="40" t="s">
        <v>140</v>
      </c>
      <c r="EO1" s="40" t="s">
        <v>141</v>
      </c>
      <c r="EP1" s="40" t="s">
        <v>142</v>
      </c>
      <c r="EQ1" s="40" t="s">
        <v>143</v>
      </c>
      <c r="ER1" s="40" t="s">
        <v>144</v>
      </c>
      <c r="ES1" s="40" t="s">
        <v>145</v>
      </c>
      <c r="ET1" s="40" t="s">
        <v>146</v>
      </c>
      <c r="EU1" s="40" t="s">
        <v>147</v>
      </c>
      <c r="EV1" s="40" t="s">
        <v>148</v>
      </c>
      <c r="EW1" s="40" t="s">
        <v>149</v>
      </c>
      <c r="EX1" s="40" t="s">
        <v>150</v>
      </c>
      <c r="EY1" s="40" t="s">
        <v>151</v>
      </c>
      <c r="EZ1" s="40" t="s">
        <v>152</v>
      </c>
      <c r="FA1" s="40" t="s">
        <v>153</v>
      </c>
      <c r="FB1" s="40" t="s">
        <v>154</v>
      </c>
      <c r="FC1" s="40" t="s">
        <v>155</v>
      </c>
      <c r="FD1" s="40" t="s">
        <v>156</v>
      </c>
      <c r="FE1" s="40" t="s">
        <v>157</v>
      </c>
      <c r="FF1" s="40" t="s">
        <v>158</v>
      </c>
      <c r="FG1" s="40" t="s">
        <v>159</v>
      </c>
      <c r="FH1" s="40" t="s">
        <v>160</v>
      </c>
      <c r="FI1" s="40" t="s">
        <v>161</v>
      </c>
      <c r="FJ1" s="40" t="s">
        <v>162</v>
      </c>
      <c r="FK1" s="40" t="s">
        <v>163</v>
      </c>
      <c r="FL1" s="40" t="s">
        <v>164</v>
      </c>
      <c r="FM1" s="40" t="s">
        <v>165</v>
      </c>
      <c r="FN1" s="40" t="s">
        <v>166</v>
      </c>
      <c r="FO1" s="40" t="s">
        <v>167</v>
      </c>
      <c r="FP1" s="40" t="s">
        <v>168</v>
      </c>
      <c r="FQ1" s="40" t="s">
        <v>169</v>
      </c>
      <c r="FR1" s="40" t="s">
        <v>170</v>
      </c>
      <c r="FS1" s="40" t="s">
        <v>171</v>
      </c>
      <c r="FT1" s="40" t="s">
        <v>172</v>
      </c>
      <c r="FU1" s="40" t="s">
        <v>173</v>
      </c>
      <c r="FV1" s="40" t="s">
        <v>174</v>
      </c>
      <c r="FW1" s="40" t="s">
        <v>175</v>
      </c>
      <c r="FX1" s="40" t="s">
        <v>176</v>
      </c>
      <c r="FY1" s="40" t="s">
        <v>177</v>
      </c>
      <c r="FZ1" s="40" t="s">
        <v>178</v>
      </c>
      <c r="GA1" s="40" t="s">
        <v>179</v>
      </c>
      <c r="GB1" s="40" t="s">
        <v>180</v>
      </c>
      <c r="GC1" s="40" t="s">
        <v>181</v>
      </c>
      <c r="GD1" s="40" t="s">
        <v>182</v>
      </c>
      <c r="GE1" s="40" t="s">
        <v>183</v>
      </c>
      <c r="GF1" s="40" t="s">
        <v>184</v>
      </c>
      <c r="GG1" s="40" t="s">
        <v>185</v>
      </c>
      <c r="GH1" s="40" t="s">
        <v>186</v>
      </c>
      <c r="GI1" s="40" t="s">
        <v>187</v>
      </c>
      <c r="GJ1" s="40" t="s">
        <v>188</v>
      </c>
      <c r="GK1" s="40" t="s">
        <v>189</v>
      </c>
      <c r="GL1" s="40" t="s">
        <v>190</v>
      </c>
      <c r="GM1" s="40" t="s">
        <v>191</v>
      </c>
      <c r="GN1" s="40" t="s">
        <v>192</v>
      </c>
      <c r="GO1" s="40" t="s">
        <v>193</v>
      </c>
      <c r="GP1" s="40" t="s">
        <v>194</v>
      </c>
      <c r="GQ1" s="40" t="s">
        <v>195</v>
      </c>
      <c r="GR1" s="40" t="s">
        <v>196</v>
      </c>
      <c r="GS1" s="40" t="s">
        <v>197</v>
      </c>
      <c r="GT1" s="40" t="s">
        <v>198</v>
      </c>
      <c r="GU1" s="40" t="s">
        <v>199</v>
      </c>
      <c r="GV1" s="40" t="s">
        <v>200</v>
      </c>
      <c r="GW1" s="40" t="s">
        <v>201</v>
      </c>
      <c r="GX1" s="40" t="s">
        <v>202</v>
      </c>
      <c r="GY1" s="40" t="s">
        <v>203</v>
      </c>
      <c r="GZ1" s="40" t="s">
        <v>204</v>
      </c>
      <c r="HA1" s="42" t="s">
        <v>533</v>
      </c>
      <c r="HB1" s="42" t="s">
        <v>534</v>
      </c>
      <c r="HC1" s="42" t="s">
        <v>535</v>
      </c>
    </row>
    <row r="2" spans="1:211" ht="31.15" customHeight="1" x14ac:dyDescent="0.25">
      <c r="A2" s="38"/>
      <c r="B2" s="95"/>
      <c r="C2" s="101"/>
      <c r="D2" s="95" t="s">
        <v>205</v>
      </c>
      <c r="E2" s="95"/>
      <c r="F2" s="105" t="s">
        <v>206</v>
      </c>
      <c r="G2" s="105"/>
      <c r="H2" s="95" t="s">
        <v>207</v>
      </c>
      <c r="I2" s="95"/>
      <c r="J2" s="95" t="s">
        <v>208</v>
      </c>
      <c r="K2" s="95"/>
      <c r="L2" s="95" t="s">
        <v>209</v>
      </c>
      <c r="M2" s="95"/>
      <c r="N2" s="105" t="s">
        <v>206</v>
      </c>
      <c r="O2" s="105"/>
      <c r="P2" s="95" t="s">
        <v>207</v>
      </c>
      <c r="Q2" s="95"/>
      <c r="R2" s="95" t="s">
        <v>208</v>
      </c>
      <c r="S2" s="95"/>
      <c r="T2" s="95" t="s">
        <v>209</v>
      </c>
      <c r="U2" s="95"/>
      <c r="V2" s="101"/>
      <c r="W2" s="40"/>
      <c r="X2" s="38"/>
      <c r="Y2" s="40" t="s">
        <v>220</v>
      </c>
      <c r="Z2" s="38" t="s">
        <v>211</v>
      </c>
      <c r="AA2" s="38"/>
      <c r="AB2" s="38"/>
      <c r="AC2" s="41"/>
      <c r="AD2" s="102"/>
      <c r="AE2" s="103"/>
      <c r="AF2" s="40"/>
      <c r="AG2" s="38" t="s">
        <v>212</v>
      </c>
      <c r="AH2" s="38" t="s">
        <v>213</v>
      </c>
      <c r="AI2" s="40"/>
      <c r="AJ2" s="40"/>
      <c r="AK2" s="38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111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</row>
    <row r="3" spans="1:211" ht="22.9" customHeight="1" x14ac:dyDescent="0.25">
      <c r="A3" s="38"/>
      <c r="B3" s="95"/>
      <c r="C3" s="101"/>
      <c r="D3" s="43" t="s">
        <v>214</v>
      </c>
      <c r="E3" s="43" t="s">
        <v>215</v>
      </c>
      <c r="F3" s="43" t="s">
        <v>214</v>
      </c>
      <c r="G3" s="43" t="s">
        <v>215</v>
      </c>
      <c r="H3" s="43" t="s">
        <v>214</v>
      </c>
      <c r="I3" s="43" t="s">
        <v>215</v>
      </c>
      <c r="J3" s="43" t="s">
        <v>214</v>
      </c>
      <c r="K3" s="43" t="s">
        <v>215</v>
      </c>
      <c r="L3" s="43" t="s">
        <v>214</v>
      </c>
      <c r="M3" s="43" t="s">
        <v>215</v>
      </c>
      <c r="N3" s="43" t="s">
        <v>214</v>
      </c>
      <c r="O3" s="43" t="s">
        <v>215</v>
      </c>
      <c r="P3" s="43" t="s">
        <v>214</v>
      </c>
      <c r="Q3" s="43" t="s">
        <v>215</v>
      </c>
      <c r="R3" s="43" t="s">
        <v>214</v>
      </c>
      <c r="S3" s="43" t="s">
        <v>215</v>
      </c>
      <c r="T3" s="43" t="s">
        <v>214</v>
      </c>
      <c r="U3" s="43" t="s">
        <v>215</v>
      </c>
      <c r="V3" s="101"/>
      <c r="W3" s="40"/>
      <c r="X3" s="38"/>
      <c r="Y3" s="40"/>
      <c r="Z3" s="40" t="s">
        <v>216</v>
      </c>
      <c r="AA3" s="40" t="s">
        <v>217</v>
      </c>
      <c r="AB3" s="41" t="s">
        <v>218</v>
      </c>
    </row>
    <row r="4" spans="1:211" x14ac:dyDescent="0.25">
      <c r="A4" s="42">
        <v>2</v>
      </c>
      <c r="B4" s="70">
        <v>46141</v>
      </c>
      <c r="C4" s="42" t="s">
        <v>279</v>
      </c>
      <c r="W4" s="42" t="s">
        <v>252</v>
      </c>
      <c r="Y4" s="42" t="s">
        <v>280</v>
      </c>
      <c r="Z4" s="42">
        <v>100</v>
      </c>
      <c r="AA4" s="42">
        <v>500</v>
      </c>
      <c r="AB4" s="44">
        <v>60</v>
      </c>
      <c r="AC4" s="39">
        <v>1</v>
      </c>
      <c r="AD4" s="45" t="s">
        <v>238</v>
      </c>
      <c r="AE4" s="42">
        <v>3</v>
      </c>
      <c r="AF4" s="42">
        <v>10.37</v>
      </c>
      <c r="AG4" s="42">
        <v>10.06</v>
      </c>
      <c r="AH4" s="42">
        <v>10.19</v>
      </c>
      <c r="AI4" s="42" t="s">
        <v>283</v>
      </c>
      <c r="AJ4" s="42">
        <v>1</v>
      </c>
      <c r="AK4" s="42">
        <v>1</v>
      </c>
      <c r="AS4" s="42">
        <v>1</v>
      </c>
      <c r="AU4" s="42">
        <v>1</v>
      </c>
      <c r="AX4" s="42">
        <v>1</v>
      </c>
      <c r="AY4" s="42">
        <v>0</v>
      </c>
    </row>
    <row r="5" spans="1:211" x14ac:dyDescent="0.25">
      <c r="AC5" s="49"/>
      <c r="AD5" s="48"/>
      <c r="AE5" s="49"/>
      <c r="AF5" s="49"/>
      <c r="AG5" s="57"/>
      <c r="AH5" s="57"/>
      <c r="AI5" s="49"/>
      <c r="AJ5" s="50" t="s">
        <v>31</v>
      </c>
      <c r="AS5" s="42">
        <v>14.08</v>
      </c>
      <c r="AU5" s="42">
        <v>15.17</v>
      </c>
      <c r="AX5" s="42">
        <v>16.440000000000001</v>
      </c>
      <c r="AY5" s="42">
        <v>19.21</v>
      </c>
    </row>
    <row r="6" spans="1:211" x14ac:dyDescent="0.25">
      <c r="AC6" s="49"/>
      <c r="AD6" s="48"/>
      <c r="AE6" s="49"/>
      <c r="AF6" s="49"/>
      <c r="AG6" s="57"/>
      <c r="AH6" s="57"/>
      <c r="AI6" s="49"/>
      <c r="AJ6" s="50" t="s">
        <v>33</v>
      </c>
    </row>
    <row r="7" spans="1:211" s="60" customFormat="1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4"/>
      <c r="AC7" s="49"/>
      <c r="AD7" s="48"/>
      <c r="AE7" s="49"/>
      <c r="AF7" s="49"/>
      <c r="AG7" s="57"/>
      <c r="AH7" s="57"/>
      <c r="AI7" s="49"/>
      <c r="AJ7" s="50" t="s">
        <v>35</v>
      </c>
      <c r="AK7" s="42"/>
      <c r="AL7" s="67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67" t="s">
        <v>225</v>
      </c>
      <c r="AZ7" s="42"/>
      <c r="BA7" s="42"/>
      <c r="BB7" s="42"/>
      <c r="BC7" s="42"/>
      <c r="BD7" s="42"/>
      <c r="BE7" s="42"/>
      <c r="BF7" s="68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</row>
    <row r="8" spans="1:211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1"/>
      <c r="AC8" s="64"/>
      <c r="AD8" s="63"/>
      <c r="AE8" s="64"/>
      <c r="AF8" s="64"/>
      <c r="AG8" s="65"/>
      <c r="AH8" s="65"/>
      <c r="AI8" s="64"/>
      <c r="AJ8" s="66" t="s">
        <v>37</v>
      </c>
      <c r="AK8" s="60"/>
      <c r="AL8" s="60"/>
      <c r="AM8" s="60"/>
      <c r="AN8" s="60"/>
      <c r="AO8" s="60"/>
      <c r="AP8" s="60"/>
      <c r="AQ8" s="60"/>
      <c r="AR8" s="60"/>
      <c r="AS8" s="60" t="s">
        <v>229</v>
      </c>
      <c r="AT8" s="60"/>
      <c r="AU8" s="60" t="s">
        <v>229</v>
      </c>
      <c r="AV8" s="60"/>
      <c r="AW8" s="60"/>
      <c r="AX8" s="60" t="s">
        <v>229</v>
      </c>
      <c r="AY8" s="60"/>
      <c r="AZ8" s="60"/>
      <c r="BA8" s="60"/>
      <c r="BB8" s="60"/>
      <c r="BC8" s="60"/>
      <c r="BD8" s="60"/>
      <c r="BE8" s="60"/>
    </row>
    <row r="9" spans="1:211" x14ac:dyDescent="0.25">
      <c r="AC9" s="39"/>
      <c r="AI9" s="42" t="s">
        <v>284</v>
      </c>
      <c r="AJ9" s="42">
        <v>2</v>
      </c>
      <c r="AK9" s="42">
        <v>1</v>
      </c>
      <c r="AL9" s="42">
        <v>0</v>
      </c>
    </row>
    <row r="10" spans="1:211" x14ac:dyDescent="0.25">
      <c r="AC10" s="49"/>
      <c r="AD10" s="48"/>
      <c r="AE10" s="49"/>
      <c r="AF10" s="49"/>
      <c r="AG10" s="57"/>
      <c r="AH10" s="57"/>
      <c r="AI10" s="49"/>
      <c r="AJ10" s="50" t="s">
        <v>31</v>
      </c>
      <c r="AL10" s="42">
        <v>14.09</v>
      </c>
    </row>
    <row r="11" spans="1:211" x14ac:dyDescent="0.25">
      <c r="AC11" s="49"/>
      <c r="AD11" s="48"/>
      <c r="AE11" s="49"/>
      <c r="AF11" s="49"/>
      <c r="AG11" s="57"/>
      <c r="AH11" s="57"/>
      <c r="AI11" s="49"/>
      <c r="AJ11" s="50" t="s">
        <v>33</v>
      </c>
    </row>
    <row r="12" spans="1:211" s="60" customFormat="1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4"/>
      <c r="AC12" s="49"/>
      <c r="AD12" s="48"/>
      <c r="AE12" s="49"/>
      <c r="AF12" s="49"/>
      <c r="AG12" s="57"/>
      <c r="AH12" s="57"/>
      <c r="AI12" s="49"/>
      <c r="AJ12" s="50" t="s">
        <v>35</v>
      </c>
      <c r="AK12" s="42"/>
      <c r="AL12" s="67" t="s">
        <v>225</v>
      </c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68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</row>
    <row r="13" spans="1:211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1"/>
      <c r="AC13" s="64"/>
      <c r="AD13" s="63"/>
      <c r="AE13" s="64"/>
      <c r="AF13" s="64"/>
      <c r="AG13" s="65"/>
      <c r="AH13" s="65"/>
      <c r="AI13" s="64"/>
      <c r="AJ13" s="66" t="s">
        <v>37</v>
      </c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</row>
    <row r="14" spans="1:211" x14ac:dyDescent="0.25">
      <c r="AC14" s="39"/>
      <c r="AI14" s="42" t="s">
        <v>285</v>
      </c>
      <c r="AJ14" s="42">
        <v>3</v>
      </c>
      <c r="AK14" s="42">
        <v>1</v>
      </c>
      <c r="AL14" s="42">
        <v>0</v>
      </c>
    </row>
    <row r="15" spans="1:211" x14ac:dyDescent="0.25">
      <c r="AC15" s="49"/>
      <c r="AD15" s="48"/>
      <c r="AE15" s="49"/>
      <c r="AF15" s="49"/>
      <c r="AG15" s="57"/>
      <c r="AH15" s="57"/>
      <c r="AI15" s="49"/>
      <c r="AJ15" s="50" t="s">
        <v>31</v>
      </c>
      <c r="AL15" s="42">
        <v>14.09</v>
      </c>
    </row>
    <row r="16" spans="1:211" x14ac:dyDescent="0.25">
      <c r="AC16" s="49"/>
      <c r="AD16" s="48"/>
      <c r="AE16" s="49"/>
      <c r="AF16" s="49"/>
      <c r="AG16" s="57"/>
      <c r="AH16" s="57"/>
      <c r="AI16" s="49"/>
      <c r="AJ16" s="50" t="s">
        <v>33</v>
      </c>
      <c r="BB16" s="67"/>
    </row>
    <row r="17" spans="1:144" s="56" customFormat="1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4"/>
      <c r="AC17" s="49"/>
      <c r="AD17" s="48"/>
      <c r="AE17" s="49"/>
      <c r="AF17" s="49"/>
      <c r="AG17" s="57"/>
      <c r="AH17" s="57"/>
      <c r="AI17" s="49"/>
      <c r="AJ17" s="50" t="s">
        <v>35</v>
      </c>
      <c r="AK17" s="42"/>
      <c r="AL17" s="67" t="s">
        <v>225</v>
      </c>
      <c r="AM17" s="42"/>
      <c r="AN17" s="42"/>
      <c r="AO17" s="42"/>
      <c r="AP17" s="42"/>
      <c r="AQ17" s="42"/>
      <c r="AR17" s="42"/>
      <c r="AS17" s="42"/>
      <c r="AT17" s="42"/>
      <c r="AU17" s="67"/>
      <c r="AV17" s="42"/>
      <c r="AW17" s="42"/>
      <c r="AX17" s="42"/>
      <c r="AY17" s="67"/>
      <c r="AZ17" s="42"/>
      <c r="BA17" s="67"/>
      <c r="BB17" s="67"/>
      <c r="BC17" s="42"/>
      <c r="BD17" s="42"/>
      <c r="BE17" s="42"/>
      <c r="BF17" s="68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</row>
    <row r="18" spans="1:144" s="56" customFormat="1" x14ac:dyDescent="0.25">
      <c r="AB18" s="51"/>
      <c r="AC18" s="54"/>
      <c r="AD18" s="53"/>
      <c r="AE18" s="54"/>
      <c r="AF18" s="54"/>
      <c r="AG18" s="58"/>
      <c r="AH18" s="58"/>
      <c r="AI18" s="54"/>
      <c r="AJ18" s="55" t="s">
        <v>37</v>
      </c>
      <c r="BF18" s="69"/>
    </row>
    <row r="19" spans="1:144" x14ac:dyDescent="0.25">
      <c r="B19" s="70">
        <v>46141</v>
      </c>
      <c r="C19" s="42" t="s">
        <v>279</v>
      </c>
      <c r="W19" s="42" t="s">
        <v>252</v>
      </c>
      <c r="Y19" s="42" t="s">
        <v>280</v>
      </c>
      <c r="Z19" s="42">
        <v>100</v>
      </c>
      <c r="AA19" s="42">
        <v>500</v>
      </c>
      <c r="AB19" s="44">
        <v>60</v>
      </c>
      <c r="AC19" s="39">
        <v>2</v>
      </c>
      <c r="AD19" s="45" t="s">
        <v>242</v>
      </c>
      <c r="AE19" s="42">
        <v>3</v>
      </c>
      <c r="AF19" s="42">
        <v>10.48</v>
      </c>
      <c r="AG19" s="42">
        <v>10.210000000000001</v>
      </c>
      <c r="AH19" s="42">
        <v>10.3</v>
      </c>
      <c r="AI19" s="42" t="s">
        <v>286</v>
      </c>
      <c r="AJ19" s="42">
        <v>1</v>
      </c>
      <c r="AK19" s="42">
        <v>1</v>
      </c>
      <c r="AL19" s="42">
        <v>0</v>
      </c>
    </row>
    <row r="20" spans="1:144" x14ac:dyDescent="0.25">
      <c r="AC20" s="49"/>
      <c r="AD20" s="48"/>
      <c r="AE20" s="49"/>
      <c r="AF20" s="49"/>
      <c r="AG20" s="57"/>
      <c r="AH20" s="57"/>
      <c r="AI20" s="49"/>
      <c r="AJ20" s="50" t="s">
        <v>31</v>
      </c>
      <c r="AL20" s="42">
        <v>14.1</v>
      </c>
    </row>
    <row r="21" spans="1:144" x14ac:dyDescent="0.25">
      <c r="AC21" s="49"/>
      <c r="AD21" s="48"/>
      <c r="AE21" s="49"/>
      <c r="AF21" s="49"/>
      <c r="AG21" s="57"/>
      <c r="AH21" s="57"/>
      <c r="AI21" s="49"/>
      <c r="AJ21" s="50" t="s">
        <v>33</v>
      </c>
      <c r="AZ21" s="67"/>
    </row>
    <row r="22" spans="1:144" s="60" customFormat="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4"/>
      <c r="AC22" s="49"/>
      <c r="AD22" s="48"/>
      <c r="AE22" s="49"/>
      <c r="AF22" s="49"/>
      <c r="AG22" s="57"/>
      <c r="AH22" s="57"/>
      <c r="AI22" s="49"/>
      <c r="AJ22" s="50" t="s">
        <v>35</v>
      </c>
      <c r="AK22" s="42"/>
      <c r="AL22" s="67" t="s">
        <v>225</v>
      </c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68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</row>
    <row r="23" spans="1:144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1"/>
      <c r="AC23" s="64"/>
      <c r="AD23" s="63"/>
      <c r="AE23" s="64"/>
      <c r="AF23" s="64"/>
      <c r="AG23" s="65"/>
      <c r="AH23" s="65"/>
      <c r="AI23" s="64"/>
      <c r="AJ23" s="66" t="s">
        <v>37</v>
      </c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</row>
    <row r="24" spans="1:144" x14ac:dyDescent="0.25">
      <c r="AC24" s="39"/>
      <c r="AI24" s="42" t="s">
        <v>239</v>
      </c>
      <c r="AJ24" s="42">
        <v>2</v>
      </c>
      <c r="AK24" s="42">
        <v>1</v>
      </c>
      <c r="AL24" s="42">
        <v>0</v>
      </c>
    </row>
    <row r="25" spans="1:144" x14ac:dyDescent="0.25">
      <c r="AC25" s="49"/>
      <c r="AD25" s="48"/>
      <c r="AE25" s="49"/>
      <c r="AF25" s="49"/>
      <c r="AG25" s="57"/>
      <c r="AH25" s="57"/>
      <c r="AI25" s="49"/>
      <c r="AJ25" s="50" t="s">
        <v>31</v>
      </c>
      <c r="AL25" s="42">
        <v>14.1</v>
      </c>
    </row>
    <row r="26" spans="1:144" x14ac:dyDescent="0.25">
      <c r="AC26" s="49"/>
      <c r="AD26" s="48"/>
      <c r="AE26" s="49"/>
      <c r="AF26" s="49"/>
      <c r="AG26" s="57"/>
      <c r="AH26" s="57"/>
      <c r="AI26" s="49"/>
      <c r="AJ26" s="50" t="s">
        <v>33</v>
      </c>
      <c r="AZ26" s="67"/>
    </row>
    <row r="27" spans="1:144" s="56" customFormat="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4"/>
      <c r="AC27" s="49"/>
      <c r="AD27" s="48"/>
      <c r="AE27" s="49"/>
      <c r="AF27" s="49"/>
      <c r="AG27" s="57"/>
      <c r="AH27" s="57"/>
      <c r="AI27" s="49"/>
      <c r="AJ27" s="50" t="s">
        <v>35</v>
      </c>
      <c r="AK27" s="42"/>
      <c r="AL27" s="67" t="s">
        <v>225</v>
      </c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68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</row>
    <row r="28" spans="1:144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1"/>
      <c r="AC28" s="64"/>
      <c r="AD28" s="63"/>
      <c r="AE28" s="64"/>
      <c r="AF28" s="64"/>
      <c r="AG28" s="65"/>
      <c r="AH28" s="65"/>
      <c r="AI28" s="64"/>
      <c r="AJ28" s="66" t="s">
        <v>37</v>
      </c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</row>
    <row r="29" spans="1:144" x14ac:dyDescent="0.25">
      <c r="AC29" s="39"/>
      <c r="AI29" s="42" t="s">
        <v>240</v>
      </c>
      <c r="AJ29" s="42">
        <v>3</v>
      </c>
      <c r="AK29" s="42">
        <v>1</v>
      </c>
      <c r="AL29" s="42">
        <v>0</v>
      </c>
    </row>
    <row r="30" spans="1:144" x14ac:dyDescent="0.25">
      <c r="AC30" s="49"/>
      <c r="AD30" s="48"/>
      <c r="AE30" s="49"/>
      <c r="AF30" s="49"/>
      <c r="AG30" s="57"/>
      <c r="AH30" s="57"/>
      <c r="AI30" s="49"/>
      <c r="AJ30" s="50" t="s">
        <v>31</v>
      </c>
      <c r="AL30" s="42">
        <v>14.1</v>
      </c>
    </row>
    <row r="31" spans="1:144" x14ac:dyDescent="0.25">
      <c r="AC31" s="49"/>
      <c r="AD31" s="48"/>
      <c r="AE31" s="49"/>
      <c r="AF31" s="49"/>
      <c r="AG31" s="57"/>
      <c r="AH31" s="57"/>
      <c r="AI31" s="49"/>
      <c r="AJ31" s="50" t="s">
        <v>33</v>
      </c>
    </row>
    <row r="32" spans="1:144" s="60" customFormat="1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4"/>
      <c r="AC32" s="49"/>
      <c r="AD32" s="48"/>
      <c r="AE32" s="49"/>
      <c r="AF32" s="49"/>
      <c r="AG32" s="57"/>
      <c r="AH32" s="57"/>
      <c r="AI32" s="49"/>
      <c r="AJ32" s="50" t="s">
        <v>35</v>
      </c>
      <c r="AK32" s="42"/>
      <c r="AL32" s="67" t="s">
        <v>225</v>
      </c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68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</row>
    <row r="33" spans="1:144" s="56" customFormat="1" x14ac:dyDescent="0.25">
      <c r="AB33" s="51"/>
      <c r="AC33" s="54"/>
      <c r="AD33" s="53"/>
      <c r="AE33" s="54"/>
      <c r="AF33" s="54"/>
      <c r="AG33" s="58"/>
      <c r="AH33" s="58"/>
      <c r="AI33" s="54"/>
      <c r="AJ33" s="55" t="s">
        <v>37</v>
      </c>
      <c r="BF33" s="69"/>
    </row>
    <row r="34" spans="1:144" x14ac:dyDescent="0.25">
      <c r="B34" s="70">
        <v>46141</v>
      </c>
      <c r="C34" s="42" t="s">
        <v>279</v>
      </c>
      <c r="W34" s="42" t="s">
        <v>252</v>
      </c>
      <c r="Y34" s="42" t="s">
        <v>280</v>
      </c>
      <c r="Z34" s="42">
        <v>100</v>
      </c>
      <c r="AA34" s="42">
        <v>500</v>
      </c>
      <c r="AB34" s="44">
        <v>60</v>
      </c>
      <c r="AC34" s="39">
        <v>3</v>
      </c>
      <c r="AD34" s="45" t="s">
        <v>246</v>
      </c>
      <c r="AE34" s="42">
        <v>3</v>
      </c>
      <c r="AF34" s="42">
        <v>11</v>
      </c>
      <c r="AG34" s="42">
        <v>10.34</v>
      </c>
      <c r="AH34" s="42">
        <v>10.42</v>
      </c>
      <c r="AI34" s="42" t="s">
        <v>287</v>
      </c>
      <c r="AJ34" s="42">
        <v>1</v>
      </c>
      <c r="AK34" s="42">
        <v>1</v>
      </c>
      <c r="AL34" s="42">
        <v>0</v>
      </c>
    </row>
    <row r="35" spans="1:144" x14ac:dyDescent="0.25">
      <c r="AC35" s="49"/>
      <c r="AD35" s="48"/>
      <c r="AE35" s="49"/>
      <c r="AF35" s="49"/>
      <c r="AG35" s="57"/>
      <c r="AH35" s="57"/>
      <c r="AI35" s="49"/>
      <c r="AJ35" s="50" t="s">
        <v>31</v>
      </c>
      <c r="AL35" s="42">
        <v>14.11</v>
      </c>
    </row>
    <row r="36" spans="1:144" x14ac:dyDescent="0.25">
      <c r="AC36" s="49"/>
      <c r="AD36" s="48"/>
      <c r="AE36" s="49"/>
      <c r="AF36" s="49"/>
      <c r="AG36" s="57"/>
      <c r="AH36" s="57"/>
      <c r="AI36" s="49"/>
      <c r="AJ36" s="50" t="s">
        <v>33</v>
      </c>
    </row>
    <row r="37" spans="1:144" s="56" customFormat="1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4"/>
      <c r="AC37" s="49"/>
      <c r="AD37" s="48"/>
      <c r="AE37" s="49"/>
      <c r="AF37" s="49"/>
      <c r="AG37" s="57"/>
      <c r="AH37" s="57"/>
      <c r="AI37" s="49"/>
      <c r="AJ37" s="50" t="s">
        <v>35</v>
      </c>
      <c r="AK37" s="42"/>
      <c r="AL37" s="67" t="s">
        <v>225</v>
      </c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68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</row>
    <row r="38" spans="1:144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1"/>
      <c r="AC38" s="64"/>
      <c r="AD38" s="63"/>
      <c r="AE38" s="64"/>
      <c r="AF38" s="64"/>
      <c r="AG38" s="65"/>
      <c r="AH38" s="65"/>
      <c r="AI38" s="64"/>
      <c r="AJ38" s="66" t="s">
        <v>37</v>
      </c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</row>
    <row r="39" spans="1:144" x14ac:dyDescent="0.25">
      <c r="AC39" s="39"/>
      <c r="AI39" s="42" t="s">
        <v>243</v>
      </c>
      <c r="AJ39" s="42">
        <v>2</v>
      </c>
      <c r="AK39" s="42">
        <v>1</v>
      </c>
      <c r="AL39" s="42">
        <v>0</v>
      </c>
    </row>
    <row r="40" spans="1:144" x14ac:dyDescent="0.25">
      <c r="AC40" s="49"/>
      <c r="AD40" s="48"/>
      <c r="AE40" s="49"/>
      <c r="AF40" s="49"/>
      <c r="AG40" s="57"/>
      <c r="AH40" s="57"/>
      <c r="AI40" s="49"/>
      <c r="AJ40" s="50" t="s">
        <v>31</v>
      </c>
      <c r="AL40" s="42">
        <v>14.11</v>
      </c>
    </row>
    <row r="41" spans="1:144" x14ac:dyDescent="0.25">
      <c r="AC41" s="49"/>
      <c r="AD41" s="48"/>
      <c r="AE41" s="49"/>
      <c r="AF41" s="49"/>
      <c r="AG41" s="57"/>
      <c r="AH41" s="57"/>
      <c r="AI41" s="49"/>
      <c r="AJ41" s="50" t="s">
        <v>33</v>
      </c>
    </row>
    <row r="42" spans="1:144" s="60" customForma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4"/>
      <c r="AC42" s="49"/>
      <c r="AD42" s="48"/>
      <c r="AE42" s="49"/>
      <c r="AF42" s="49"/>
      <c r="AG42" s="57"/>
      <c r="AH42" s="57"/>
      <c r="AI42" s="49"/>
      <c r="AJ42" s="50" t="s">
        <v>35</v>
      </c>
      <c r="AK42" s="42"/>
      <c r="AL42" s="67" t="s">
        <v>225</v>
      </c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67"/>
      <c r="BB42" s="42"/>
      <c r="BC42" s="42"/>
      <c r="BD42" s="42"/>
      <c r="BE42" s="42"/>
      <c r="BF42" s="68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</row>
    <row r="43" spans="1:144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1"/>
      <c r="AC43" s="64"/>
      <c r="AD43" s="63"/>
      <c r="AE43" s="64"/>
      <c r="AF43" s="64"/>
      <c r="AG43" s="65"/>
      <c r="AH43" s="65"/>
      <c r="AI43" s="64"/>
      <c r="AJ43" s="66" t="s">
        <v>37</v>
      </c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</row>
    <row r="44" spans="1:144" x14ac:dyDescent="0.25">
      <c r="AC44" s="39"/>
      <c r="AI44" s="42" t="s">
        <v>244</v>
      </c>
      <c r="AJ44" s="42">
        <v>3</v>
      </c>
      <c r="AK44" s="42">
        <v>1</v>
      </c>
      <c r="AL44" s="42">
        <v>0</v>
      </c>
    </row>
    <row r="45" spans="1:144" x14ac:dyDescent="0.25">
      <c r="AC45" s="49"/>
      <c r="AD45" s="48"/>
      <c r="AE45" s="49"/>
      <c r="AF45" s="49"/>
      <c r="AG45" s="57"/>
      <c r="AH45" s="57"/>
      <c r="AI45" s="49"/>
      <c r="AJ45" s="50" t="s">
        <v>31</v>
      </c>
      <c r="AL45" s="42">
        <v>14.11</v>
      </c>
    </row>
    <row r="46" spans="1:144" x14ac:dyDescent="0.25">
      <c r="AC46" s="49"/>
      <c r="AD46" s="48"/>
      <c r="AE46" s="49"/>
      <c r="AF46" s="49"/>
      <c r="AG46" s="57"/>
      <c r="AH46" s="57"/>
      <c r="AI46" s="49"/>
      <c r="AJ46" s="50" t="s">
        <v>33</v>
      </c>
    </row>
    <row r="47" spans="1:144" s="60" customFormat="1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4"/>
      <c r="AC47" s="49"/>
      <c r="AD47" s="48"/>
      <c r="AE47" s="49"/>
      <c r="AF47" s="49"/>
      <c r="AG47" s="57"/>
      <c r="AH47" s="57"/>
      <c r="AI47" s="49"/>
      <c r="AJ47" s="50" t="s">
        <v>35</v>
      </c>
      <c r="AK47" s="42"/>
      <c r="AL47" s="67" t="s">
        <v>225</v>
      </c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67"/>
      <c r="AY47" s="42"/>
      <c r="AZ47" s="42"/>
      <c r="BA47" s="42"/>
      <c r="BB47" s="42"/>
      <c r="BC47" s="42"/>
      <c r="BD47" s="42"/>
      <c r="BE47" s="42"/>
      <c r="BF47" s="68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</row>
    <row r="48" spans="1:144" s="56" customFormat="1" x14ac:dyDescent="0.25">
      <c r="AB48" s="51"/>
      <c r="AC48" s="54"/>
      <c r="AD48" s="53"/>
      <c r="AE48" s="54"/>
      <c r="AF48" s="54"/>
      <c r="AG48" s="58"/>
      <c r="AH48" s="58"/>
      <c r="AI48" s="54"/>
      <c r="AJ48" s="55" t="s">
        <v>37</v>
      </c>
      <c r="BF48" s="69"/>
    </row>
    <row r="49" spans="1:144" x14ac:dyDescent="0.25">
      <c r="B49" s="70">
        <v>46141</v>
      </c>
      <c r="C49" s="42" t="s">
        <v>279</v>
      </c>
      <c r="W49" s="42" t="s">
        <v>252</v>
      </c>
      <c r="Y49" s="42" t="s">
        <v>280</v>
      </c>
      <c r="Z49" s="42">
        <v>100</v>
      </c>
      <c r="AA49" s="42">
        <v>500</v>
      </c>
      <c r="AB49" s="44">
        <v>60</v>
      </c>
      <c r="AC49" s="39">
        <v>4</v>
      </c>
      <c r="AD49" s="45" t="s">
        <v>251</v>
      </c>
      <c r="AE49" s="42">
        <v>3</v>
      </c>
      <c r="AF49" s="42">
        <v>13.44</v>
      </c>
      <c r="AG49" s="42">
        <v>10.45</v>
      </c>
      <c r="AH49" s="42">
        <v>10.55</v>
      </c>
      <c r="AI49" s="42" t="s">
        <v>288</v>
      </c>
      <c r="AJ49" s="42">
        <v>1</v>
      </c>
      <c r="AK49" s="42">
        <v>1</v>
      </c>
      <c r="AL49" s="42">
        <v>0</v>
      </c>
      <c r="AR49" s="94"/>
    </row>
    <row r="50" spans="1:144" x14ac:dyDescent="0.25">
      <c r="AC50" s="49"/>
      <c r="AD50" s="48"/>
      <c r="AE50" s="49"/>
      <c r="AF50" s="49"/>
      <c r="AG50" s="57"/>
      <c r="AH50" s="57"/>
      <c r="AI50" s="49"/>
      <c r="AJ50" s="50" t="s">
        <v>31</v>
      </c>
      <c r="AL50" s="42">
        <v>14.12</v>
      </c>
    </row>
    <row r="51" spans="1:144" x14ac:dyDescent="0.25">
      <c r="AC51" s="49"/>
      <c r="AD51" s="48"/>
      <c r="AE51" s="49"/>
      <c r="AF51" s="49"/>
      <c r="AG51" s="57"/>
      <c r="AH51" s="57"/>
      <c r="AI51" s="49"/>
      <c r="AJ51" s="50" t="s">
        <v>33</v>
      </c>
    </row>
    <row r="52" spans="1:144" s="56" customFormat="1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4"/>
      <c r="AC52" s="49"/>
      <c r="AD52" s="48"/>
      <c r="AE52" s="49"/>
      <c r="AF52" s="49"/>
      <c r="AG52" s="57"/>
      <c r="AH52" s="57"/>
      <c r="AI52" s="49"/>
      <c r="AJ52" s="50" t="s">
        <v>35</v>
      </c>
      <c r="AK52" s="42"/>
      <c r="AL52" s="67" t="s">
        <v>225</v>
      </c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68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</row>
    <row r="53" spans="1:144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1"/>
      <c r="AC53" s="64"/>
      <c r="AD53" s="63"/>
      <c r="AE53" s="64"/>
      <c r="AF53" s="64"/>
      <c r="AG53" s="65"/>
      <c r="AH53" s="65"/>
      <c r="AI53" s="64"/>
      <c r="AJ53" s="66" t="s">
        <v>37</v>
      </c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</row>
    <row r="54" spans="1:144" x14ac:dyDescent="0.25">
      <c r="B54" s="70"/>
      <c r="AC54" s="39"/>
      <c r="AI54" s="42" t="s">
        <v>247</v>
      </c>
      <c r="AJ54" s="42">
        <v>2</v>
      </c>
      <c r="AK54" s="42">
        <v>1</v>
      </c>
      <c r="AR54" s="42">
        <v>1</v>
      </c>
      <c r="AS54" s="42">
        <v>1</v>
      </c>
      <c r="AV54" s="42">
        <v>1</v>
      </c>
      <c r="AW54" s="42">
        <v>0</v>
      </c>
    </row>
    <row r="55" spans="1:144" x14ac:dyDescent="0.25">
      <c r="AC55" s="49"/>
      <c r="AD55" s="48"/>
      <c r="AE55" s="49"/>
      <c r="AF55" s="49"/>
      <c r="AG55" s="57"/>
      <c r="AH55" s="57"/>
      <c r="AI55" s="49"/>
      <c r="AJ55" s="50" t="s">
        <v>31</v>
      </c>
      <c r="AR55" s="42">
        <v>14.13</v>
      </c>
      <c r="AS55" s="42">
        <v>15.22</v>
      </c>
      <c r="AV55" s="42">
        <v>16.45</v>
      </c>
      <c r="AW55" s="42">
        <v>19.22</v>
      </c>
    </row>
    <row r="56" spans="1:144" x14ac:dyDescent="0.25">
      <c r="AC56" s="49"/>
      <c r="AD56" s="48"/>
      <c r="AE56" s="49"/>
      <c r="AF56" s="49"/>
      <c r="AG56" s="57"/>
      <c r="AH56" s="57"/>
      <c r="AI56" s="49"/>
      <c r="AJ56" s="50" t="s">
        <v>33</v>
      </c>
      <c r="BB56" s="67"/>
    </row>
    <row r="57" spans="1:144" s="60" customFormat="1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4"/>
      <c r="AC57" s="49"/>
      <c r="AD57" s="48"/>
      <c r="AE57" s="49"/>
      <c r="AF57" s="49"/>
      <c r="AG57" s="57"/>
      <c r="AH57" s="57"/>
      <c r="AI57" s="49"/>
      <c r="AJ57" s="50" t="s">
        <v>35</v>
      </c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67" t="s">
        <v>225</v>
      </c>
      <c r="AX57" s="42"/>
      <c r="AY57" s="42"/>
      <c r="AZ57" s="42"/>
      <c r="BA57" s="42"/>
      <c r="BB57" s="42"/>
      <c r="BC57" s="42"/>
      <c r="BD57" s="42"/>
      <c r="BE57" s="42"/>
      <c r="BF57" s="68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</row>
    <row r="58" spans="1:144" s="84" customFormat="1" x14ac:dyDescent="0.25">
      <c r="AB58" s="85"/>
      <c r="AC58" s="86"/>
      <c r="AD58" s="87"/>
      <c r="AE58" s="86"/>
      <c r="AF58" s="86"/>
      <c r="AG58" s="88"/>
      <c r="AH58" s="88"/>
      <c r="AI58" s="86"/>
      <c r="AJ58" s="89" t="s">
        <v>37</v>
      </c>
      <c r="AR58" s="84" t="s">
        <v>229</v>
      </c>
      <c r="AS58" s="84" t="s">
        <v>229</v>
      </c>
      <c r="AV58" s="84" t="s">
        <v>229</v>
      </c>
      <c r="BF58" s="90"/>
    </row>
    <row r="59" spans="1:144" x14ac:dyDescent="0.25">
      <c r="AC59" s="39"/>
      <c r="AI59" s="42" t="s">
        <v>248</v>
      </c>
      <c r="AJ59" s="83">
        <v>3</v>
      </c>
      <c r="AK59" s="42">
        <v>1</v>
      </c>
      <c r="AR59" s="42">
        <v>1</v>
      </c>
      <c r="AV59" s="42">
        <v>1</v>
      </c>
      <c r="AW59" s="42">
        <v>0</v>
      </c>
    </row>
    <row r="60" spans="1:144" x14ac:dyDescent="0.25">
      <c r="AC60" s="49"/>
      <c r="AD60" s="48"/>
      <c r="AE60" s="49"/>
      <c r="AF60" s="49"/>
      <c r="AG60" s="57"/>
      <c r="AH60" s="57"/>
      <c r="AI60" s="49"/>
      <c r="AJ60" s="50" t="s">
        <v>31</v>
      </c>
      <c r="AR60" s="42">
        <v>14.14</v>
      </c>
      <c r="AV60" s="42">
        <v>15.23</v>
      </c>
      <c r="AW60" s="42">
        <v>16.46</v>
      </c>
    </row>
    <row r="61" spans="1:144" x14ac:dyDescent="0.25">
      <c r="AC61" s="49"/>
      <c r="AD61" s="48"/>
      <c r="AE61" s="49"/>
      <c r="AF61" s="49"/>
      <c r="AG61" s="57"/>
      <c r="AH61" s="57"/>
      <c r="AI61" s="49"/>
      <c r="AJ61" s="50" t="s">
        <v>33</v>
      </c>
      <c r="AW61" s="67" t="s">
        <v>225</v>
      </c>
    </row>
    <row r="62" spans="1:144" x14ac:dyDescent="0.25">
      <c r="AC62" s="49"/>
      <c r="AD62" s="48"/>
      <c r="AE62" s="49"/>
      <c r="AF62" s="49"/>
      <c r="AG62" s="57"/>
      <c r="AH62" s="57"/>
      <c r="AI62" s="49"/>
      <c r="AJ62" s="50" t="s">
        <v>35</v>
      </c>
    </row>
    <row r="63" spans="1:144" s="56" customFormat="1" x14ac:dyDescent="0.25">
      <c r="AB63" s="51"/>
      <c r="AC63" s="81"/>
      <c r="AD63" s="82"/>
      <c r="AE63" s="81"/>
      <c r="AF63" s="81"/>
      <c r="AG63" s="58"/>
      <c r="AH63" s="58"/>
      <c r="AI63" s="81"/>
      <c r="AJ63" s="55" t="s">
        <v>37</v>
      </c>
      <c r="AV63" s="56" t="s">
        <v>229</v>
      </c>
      <c r="BF63" s="69"/>
    </row>
    <row r="64" spans="1:144" x14ac:dyDescent="0.25">
      <c r="B64" s="70">
        <v>46141</v>
      </c>
      <c r="C64" s="42" t="s">
        <v>279</v>
      </c>
      <c r="W64" s="42" t="s">
        <v>252</v>
      </c>
      <c r="Y64" s="42" t="s">
        <v>280</v>
      </c>
      <c r="Z64" s="42">
        <v>100</v>
      </c>
      <c r="AA64" s="42">
        <v>500</v>
      </c>
      <c r="AB64" s="44">
        <v>60</v>
      </c>
      <c r="AC64" s="39">
        <v>5</v>
      </c>
      <c r="AD64" s="45" t="s">
        <v>254</v>
      </c>
      <c r="AE64" s="42">
        <v>3</v>
      </c>
      <c r="AF64" s="42">
        <v>11.26</v>
      </c>
      <c r="AG64" s="42">
        <v>10.56</v>
      </c>
      <c r="AH64" s="42">
        <v>11.06</v>
      </c>
      <c r="AI64" s="42" t="s">
        <v>289</v>
      </c>
      <c r="AJ64" s="42">
        <v>1</v>
      </c>
      <c r="AK64" s="42">
        <v>1</v>
      </c>
      <c r="AL64" s="42">
        <v>1</v>
      </c>
      <c r="AM64" s="42">
        <v>0</v>
      </c>
    </row>
    <row r="65" spans="1:144" x14ac:dyDescent="0.25">
      <c r="AC65" s="49"/>
      <c r="AD65" s="48"/>
      <c r="AE65" s="49"/>
      <c r="AF65" s="49"/>
      <c r="AG65" s="57"/>
      <c r="AH65" s="57"/>
      <c r="AI65" s="49"/>
      <c r="AJ65" s="50" t="s">
        <v>31</v>
      </c>
      <c r="AL65" s="42">
        <v>14.15</v>
      </c>
      <c r="AM65" s="42">
        <v>15.24</v>
      </c>
    </row>
    <row r="66" spans="1:144" x14ac:dyDescent="0.25">
      <c r="AC66" s="49"/>
      <c r="AD66" s="48"/>
      <c r="AE66" s="49"/>
      <c r="AF66" s="49"/>
      <c r="AG66" s="57"/>
      <c r="AH66" s="57"/>
      <c r="AI66" s="49"/>
      <c r="AJ66" s="50" t="s">
        <v>33</v>
      </c>
    </row>
    <row r="67" spans="1:144" s="60" customFormat="1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4"/>
      <c r="AC67" s="49"/>
      <c r="AD67" s="48"/>
      <c r="AE67" s="49"/>
      <c r="AF67" s="49"/>
      <c r="AG67" s="57"/>
      <c r="AH67" s="57"/>
      <c r="AI67" s="49"/>
      <c r="AJ67" s="50" t="s">
        <v>35</v>
      </c>
      <c r="AK67" s="42"/>
      <c r="AL67" s="67"/>
      <c r="AM67" s="67" t="s">
        <v>225</v>
      </c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68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2"/>
      <c r="EI67" s="42"/>
      <c r="EJ67" s="42"/>
      <c r="EK67" s="42"/>
      <c r="EL67" s="42"/>
      <c r="EM67" s="42"/>
      <c r="EN67" s="42"/>
    </row>
    <row r="68" spans="1:144" s="84" customFormat="1" x14ac:dyDescent="0.25">
      <c r="AB68" s="85"/>
      <c r="AC68" s="86"/>
      <c r="AD68" s="87"/>
      <c r="AE68" s="86"/>
      <c r="AF68" s="86"/>
      <c r="AG68" s="88"/>
      <c r="AH68" s="88"/>
      <c r="AI68" s="86"/>
      <c r="AJ68" s="89" t="s">
        <v>37</v>
      </c>
      <c r="AL68" s="84" t="s">
        <v>226</v>
      </c>
      <c r="BF68" s="90"/>
    </row>
    <row r="69" spans="1:144" x14ac:dyDescent="0.25">
      <c r="AC69" s="39"/>
      <c r="AI69" s="42" t="s">
        <v>252</v>
      </c>
      <c r="AJ69" s="42">
        <v>2</v>
      </c>
      <c r="AK69" s="42">
        <v>1</v>
      </c>
      <c r="AL69" s="42">
        <v>0</v>
      </c>
    </row>
    <row r="70" spans="1:144" x14ac:dyDescent="0.25">
      <c r="AC70" s="49"/>
      <c r="AD70" s="48"/>
      <c r="AE70" s="49"/>
      <c r="AF70" s="49"/>
      <c r="AG70" s="57"/>
      <c r="AH70" s="57"/>
      <c r="AI70" s="49"/>
      <c r="AJ70" s="50" t="s">
        <v>31</v>
      </c>
      <c r="AL70" s="42">
        <v>14.17</v>
      </c>
    </row>
    <row r="71" spans="1:144" x14ac:dyDescent="0.25">
      <c r="AC71" s="49"/>
      <c r="AD71" s="48"/>
      <c r="AE71" s="49"/>
      <c r="AF71" s="49"/>
      <c r="AG71" s="57"/>
      <c r="AH71" s="57"/>
      <c r="AI71" s="49"/>
      <c r="AJ71" s="50" t="s">
        <v>33</v>
      </c>
      <c r="AW71" s="67"/>
    </row>
    <row r="72" spans="1:144" s="56" customFormat="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4"/>
      <c r="AC72" s="49"/>
      <c r="AD72" s="48"/>
      <c r="AE72" s="49"/>
      <c r="AF72" s="49"/>
      <c r="AG72" s="57"/>
      <c r="AH72" s="57"/>
      <c r="AI72" s="49"/>
      <c r="AJ72" s="50" t="s">
        <v>35</v>
      </c>
      <c r="AK72" s="42"/>
      <c r="AL72" s="67" t="s">
        <v>225</v>
      </c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68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</row>
    <row r="73" spans="1:144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1"/>
      <c r="AC73" s="64"/>
      <c r="AD73" s="63"/>
      <c r="AE73" s="64"/>
      <c r="AF73" s="64"/>
      <c r="AG73" s="65"/>
      <c r="AH73" s="65"/>
      <c r="AI73" s="64"/>
      <c r="AJ73" s="66" t="s">
        <v>37</v>
      </c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</row>
    <row r="74" spans="1:144" x14ac:dyDescent="0.25">
      <c r="AC74" s="39"/>
      <c r="AI74" s="42" t="s">
        <v>253</v>
      </c>
      <c r="AJ74" s="42">
        <v>3</v>
      </c>
      <c r="AK74" s="42">
        <v>1</v>
      </c>
      <c r="AR74" s="42">
        <v>1</v>
      </c>
      <c r="AU74" s="42">
        <v>1</v>
      </c>
      <c r="AX74" s="42">
        <v>1</v>
      </c>
      <c r="AY74" s="42">
        <v>0</v>
      </c>
    </row>
    <row r="75" spans="1:144" x14ac:dyDescent="0.25">
      <c r="AC75" s="49"/>
      <c r="AD75" s="48"/>
      <c r="AE75" s="49"/>
      <c r="AF75" s="49"/>
      <c r="AG75" s="57"/>
      <c r="AH75" s="57"/>
      <c r="AI75" s="49"/>
      <c r="AJ75" s="50" t="s">
        <v>31</v>
      </c>
      <c r="AR75" s="42">
        <v>14.17</v>
      </c>
      <c r="AU75" s="42">
        <v>15.24</v>
      </c>
      <c r="AX75" s="42">
        <v>16.47</v>
      </c>
      <c r="AY75" s="42">
        <v>19.23</v>
      </c>
    </row>
    <row r="76" spans="1:144" x14ac:dyDescent="0.25">
      <c r="AC76" s="49"/>
      <c r="AD76" s="48"/>
      <c r="AE76" s="49"/>
      <c r="AF76" s="49"/>
      <c r="AG76" s="57"/>
      <c r="AH76" s="57"/>
      <c r="AI76" s="49"/>
      <c r="AJ76" s="50" t="s">
        <v>33</v>
      </c>
    </row>
    <row r="77" spans="1:144" s="60" customFormat="1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4"/>
      <c r="AC77" s="49"/>
      <c r="AD77" s="48"/>
      <c r="AE77" s="49"/>
      <c r="AF77" s="49"/>
      <c r="AG77" s="57"/>
      <c r="AH77" s="57"/>
      <c r="AI77" s="49"/>
      <c r="AJ77" s="50" t="s">
        <v>35</v>
      </c>
      <c r="AK77" s="42"/>
      <c r="AL77" s="67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67" t="s">
        <v>225</v>
      </c>
      <c r="AZ77" s="42"/>
      <c r="BA77" s="42"/>
      <c r="BB77" s="42"/>
      <c r="BC77" s="42"/>
      <c r="BD77" s="42"/>
      <c r="BE77" s="42"/>
      <c r="BF77" s="68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2"/>
      <c r="EI77" s="42"/>
      <c r="EJ77" s="42"/>
      <c r="EK77" s="42"/>
      <c r="EL77" s="42"/>
      <c r="EM77" s="42"/>
      <c r="EN77" s="42"/>
    </row>
    <row r="78" spans="1:144" s="56" customFormat="1" x14ac:dyDescent="0.25">
      <c r="AB78" s="51"/>
      <c r="AC78" s="54"/>
      <c r="AD78" s="53"/>
      <c r="AE78" s="54"/>
      <c r="AF78" s="54"/>
      <c r="AG78" s="58"/>
      <c r="AH78" s="58"/>
      <c r="AI78" s="54"/>
      <c r="AJ78" s="55" t="s">
        <v>37</v>
      </c>
      <c r="AR78" s="56" t="s">
        <v>229</v>
      </c>
      <c r="AU78" s="56" t="s">
        <v>229</v>
      </c>
      <c r="AX78" s="56" t="s">
        <v>229</v>
      </c>
      <c r="BF78" s="69"/>
    </row>
    <row r="79" spans="1:144" x14ac:dyDescent="0.25">
      <c r="B79" s="70">
        <v>46141</v>
      </c>
      <c r="C79" s="42" t="s">
        <v>279</v>
      </c>
      <c r="W79" s="42" t="s">
        <v>252</v>
      </c>
      <c r="Y79" s="42" t="s">
        <v>280</v>
      </c>
      <c r="Z79" s="42">
        <v>100</v>
      </c>
      <c r="AA79" s="42">
        <v>500</v>
      </c>
      <c r="AB79" s="44">
        <v>60</v>
      </c>
      <c r="AC79" s="39">
        <v>6</v>
      </c>
      <c r="AD79" s="45" t="s">
        <v>258</v>
      </c>
      <c r="AE79" s="42">
        <v>4</v>
      </c>
      <c r="AF79" s="42">
        <v>11.5</v>
      </c>
      <c r="AG79" s="42">
        <v>11.2</v>
      </c>
      <c r="AH79" s="42">
        <v>11.32</v>
      </c>
      <c r="AI79" s="42" t="s">
        <v>290</v>
      </c>
      <c r="AJ79" s="42">
        <v>1</v>
      </c>
      <c r="AK79" s="42">
        <v>1</v>
      </c>
      <c r="AL79" s="42">
        <v>0</v>
      </c>
    </row>
    <row r="80" spans="1:144" x14ac:dyDescent="0.25">
      <c r="AC80" s="49"/>
      <c r="AD80" s="48"/>
      <c r="AE80" s="49"/>
      <c r="AF80" s="49"/>
      <c r="AG80" s="57"/>
      <c r="AH80" s="57"/>
      <c r="AI80" s="49"/>
      <c r="AJ80" s="50" t="s">
        <v>31</v>
      </c>
      <c r="AL80" s="42">
        <v>15.25</v>
      </c>
    </row>
    <row r="81" spans="1:144" x14ac:dyDescent="0.25">
      <c r="AC81" s="49"/>
      <c r="AD81" s="48"/>
      <c r="AE81" s="49"/>
      <c r="AF81" s="49"/>
      <c r="AG81" s="57"/>
      <c r="AH81" s="57"/>
      <c r="AI81" s="49"/>
      <c r="AJ81" s="50" t="s">
        <v>33</v>
      </c>
    </row>
    <row r="82" spans="1:144" s="60" customFormat="1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4"/>
      <c r="AC82" s="49"/>
      <c r="AD82" s="48"/>
      <c r="AE82" s="49"/>
      <c r="AF82" s="49"/>
      <c r="AG82" s="57"/>
      <c r="AH82" s="57"/>
      <c r="AI82" s="49"/>
      <c r="AJ82" s="50" t="s">
        <v>35</v>
      </c>
      <c r="AK82" s="42"/>
      <c r="AL82" s="67" t="s">
        <v>225</v>
      </c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68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2"/>
      <c r="DY82" s="42"/>
      <c r="DZ82" s="42"/>
      <c r="EA82" s="42"/>
      <c r="EB82" s="42"/>
      <c r="EC82" s="42"/>
      <c r="ED82" s="42"/>
      <c r="EE82" s="42"/>
      <c r="EF82" s="42"/>
      <c r="EG82" s="42"/>
      <c r="EH82" s="42"/>
      <c r="EI82" s="42"/>
      <c r="EJ82" s="42"/>
      <c r="EK82" s="42"/>
      <c r="EL82" s="42"/>
      <c r="EM82" s="42"/>
      <c r="EN82" s="42"/>
    </row>
    <row r="83" spans="1:144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1"/>
      <c r="AC83" s="64"/>
      <c r="AD83" s="63"/>
      <c r="AE83" s="64"/>
      <c r="AF83" s="64"/>
      <c r="AG83" s="65"/>
      <c r="AH83" s="65"/>
      <c r="AI83" s="64"/>
      <c r="AJ83" s="66" t="s">
        <v>37</v>
      </c>
      <c r="AK83" s="60"/>
      <c r="AL83" s="60"/>
      <c r="AM83" s="56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</row>
    <row r="84" spans="1:144" x14ac:dyDescent="0.25">
      <c r="AC84" s="39"/>
      <c r="AI84" s="42" t="s">
        <v>291</v>
      </c>
      <c r="AJ84" s="42">
        <v>2</v>
      </c>
      <c r="AK84" s="42">
        <v>1</v>
      </c>
      <c r="AL84" s="42">
        <v>0</v>
      </c>
    </row>
    <row r="85" spans="1:144" x14ac:dyDescent="0.25">
      <c r="AC85" s="49"/>
      <c r="AD85" s="48"/>
      <c r="AE85" s="49"/>
      <c r="AF85" s="49"/>
      <c r="AG85" s="57"/>
      <c r="AH85" s="57"/>
      <c r="AI85" s="49"/>
      <c r="AJ85" s="50" t="s">
        <v>31</v>
      </c>
      <c r="AL85" s="42">
        <v>15.25</v>
      </c>
    </row>
    <row r="86" spans="1:144" x14ac:dyDescent="0.25">
      <c r="AC86" s="49"/>
      <c r="AD86" s="48"/>
      <c r="AE86" s="49"/>
      <c r="AF86" s="49"/>
      <c r="AG86" s="57"/>
      <c r="AH86" s="57"/>
      <c r="AI86" s="49"/>
      <c r="AJ86" s="50" t="s">
        <v>33</v>
      </c>
    </row>
    <row r="87" spans="1:144" s="56" customFormat="1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4"/>
      <c r="AC87" s="49"/>
      <c r="AD87" s="48"/>
      <c r="AE87" s="49"/>
      <c r="AF87" s="49"/>
      <c r="AG87" s="57"/>
      <c r="AH87" s="57"/>
      <c r="AI87" s="49"/>
      <c r="AJ87" s="50" t="s">
        <v>35</v>
      </c>
      <c r="AK87" s="42"/>
      <c r="AL87" s="67" t="s">
        <v>225</v>
      </c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68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</row>
    <row r="88" spans="1:144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1"/>
      <c r="AC88" s="64"/>
      <c r="AD88" s="63"/>
      <c r="AE88" s="64"/>
      <c r="AF88" s="64"/>
      <c r="AG88" s="65"/>
      <c r="AH88" s="65"/>
      <c r="AI88" s="64"/>
      <c r="AJ88" s="66" t="s">
        <v>37</v>
      </c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</row>
    <row r="89" spans="1:144" x14ac:dyDescent="0.25">
      <c r="AC89" s="39"/>
      <c r="AI89" s="42" t="s">
        <v>292</v>
      </c>
      <c r="AJ89" s="42">
        <v>3</v>
      </c>
      <c r="AK89" s="42">
        <v>1</v>
      </c>
      <c r="AL89" s="42">
        <v>0</v>
      </c>
    </row>
    <row r="90" spans="1:144" x14ac:dyDescent="0.25">
      <c r="AC90" s="49"/>
      <c r="AD90" s="48"/>
      <c r="AE90" s="49"/>
      <c r="AF90" s="49"/>
      <c r="AG90" s="57"/>
      <c r="AH90" s="57"/>
      <c r="AI90" s="49"/>
      <c r="AJ90" s="50" t="s">
        <v>31</v>
      </c>
      <c r="AL90" s="42">
        <v>15.25</v>
      </c>
    </row>
    <row r="91" spans="1:144" x14ac:dyDescent="0.25">
      <c r="AC91" s="49"/>
      <c r="AD91" s="48"/>
      <c r="AE91" s="49"/>
      <c r="AF91" s="49"/>
      <c r="AG91" s="57"/>
      <c r="AH91" s="57"/>
      <c r="AI91" s="49"/>
      <c r="AJ91" s="50" t="s">
        <v>33</v>
      </c>
    </row>
    <row r="92" spans="1:144" s="60" customFormat="1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4"/>
      <c r="AC92" s="49"/>
      <c r="AD92" s="48"/>
      <c r="AE92" s="49"/>
      <c r="AF92" s="49"/>
      <c r="AG92" s="57"/>
      <c r="AH92" s="57"/>
      <c r="AI92" s="49"/>
      <c r="AJ92" s="50" t="s">
        <v>35</v>
      </c>
      <c r="AK92" s="42"/>
      <c r="AL92" s="67" t="s">
        <v>225</v>
      </c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68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</row>
    <row r="93" spans="1:144" s="84" customFormat="1" x14ac:dyDescent="0.25">
      <c r="AB93" s="85"/>
      <c r="AC93" s="91"/>
      <c r="AD93" s="92"/>
      <c r="AE93" s="91"/>
      <c r="AF93" s="91"/>
      <c r="AG93" s="88"/>
      <c r="AH93" s="88"/>
      <c r="AI93" s="91"/>
      <c r="AJ93" s="89" t="s">
        <v>37</v>
      </c>
      <c r="AL93" s="93"/>
      <c r="BF93" s="90"/>
    </row>
    <row r="94" spans="1:144" x14ac:dyDescent="0.25">
      <c r="AC94" s="39"/>
      <c r="AI94" s="42" t="s">
        <v>293</v>
      </c>
      <c r="AJ94" s="50">
        <v>4</v>
      </c>
      <c r="AK94" s="42">
        <v>1</v>
      </c>
      <c r="AL94" s="42">
        <v>0</v>
      </c>
    </row>
    <row r="95" spans="1:144" x14ac:dyDescent="0.25">
      <c r="AC95" s="49"/>
      <c r="AD95" s="48"/>
      <c r="AE95" s="49"/>
      <c r="AF95" s="49"/>
      <c r="AG95" s="57"/>
      <c r="AH95" s="57"/>
      <c r="AI95" s="49"/>
      <c r="AJ95" s="50" t="s">
        <v>31</v>
      </c>
      <c r="AL95" s="42">
        <v>15.25</v>
      </c>
    </row>
    <row r="96" spans="1:144" x14ac:dyDescent="0.25">
      <c r="AC96" s="49"/>
      <c r="AD96" s="48"/>
      <c r="AE96" s="49"/>
      <c r="AF96" s="49"/>
      <c r="AG96" s="57"/>
      <c r="AH96" s="57"/>
      <c r="AI96" s="49"/>
      <c r="AJ96" s="50" t="s">
        <v>33</v>
      </c>
    </row>
    <row r="97" spans="1:144" x14ac:dyDescent="0.25">
      <c r="AC97" s="49"/>
      <c r="AD97" s="48"/>
      <c r="AE97" s="49"/>
      <c r="AF97" s="49"/>
      <c r="AG97" s="57"/>
      <c r="AH97" s="57"/>
      <c r="AI97" s="49"/>
      <c r="AJ97" s="50" t="s">
        <v>35</v>
      </c>
      <c r="AL97" s="67" t="s">
        <v>225</v>
      </c>
    </row>
    <row r="98" spans="1:144" s="56" customFormat="1" x14ac:dyDescent="0.25">
      <c r="AB98" s="51"/>
      <c r="AC98" s="54"/>
      <c r="AD98" s="53"/>
      <c r="AE98" s="54"/>
      <c r="AF98" s="54"/>
      <c r="AG98" s="58"/>
      <c r="AH98" s="58"/>
      <c r="AI98" s="54"/>
      <c r="AJ98" s="55" t="s">
        <v>37</v>
      </c>
      <c r="BF98" s="69"/>
    </row>
    <row r="99" spans="1:144" x14ac:dyDescent="0.25">
      <c r="B99" s="70">
        <v>46141</v>
      </c>
      <c r="C99" s="42" t="s">
        <v>279</v>
      </c>
      <c r="W99" s="42" t="s">
        <v>252</v>
      </c>
      <c r="Y99" s="42" t="s">
        <v>280</v>
      </c>
      <c r="Z99" s="42">
        <v>100</v>
      </c>
      <c r="AA99" s="42">
        <v>500</v>
      </c>
      <c r="AB99" s="44">
        <v>60</v>
      </c>
      <c r="AC99" s="39">
        <v>7</v>
      </c>
      <c r="AD99" s="45" t="s">
        <v>262</v>
      </c>
      <c r="AE99" s="42">
        <v>3</v>
      </c>
      <c r="AF99" s="42">
        <v>12.02</v>
      </c>
      <c r="AG99" s="42">
        <v>11.33</v>
      </c>
      <c r="AH99" s="42">
        <v>11.44</v>
      </c>
      <c r="AI99" s="42" t="s">
        <v>263</v>
      </c>
      <c r="AJ99" s="42">
        <v>1</v>
      </c>
      <c r="AK99" s="42">
        <v>1</v>
      </c>
      <c r="AL99" s="42">
        <v>0</v>
      </c>
    </row>
    <row r="100" spans="1:144" x14ac:dyDescent="0.25">
      <c r="AC100" s="49"/>
      <c r="AD100" s="48"/>
      <c r="AE100" s="49"/>
      <c r="AF100" s="49"/>
      <c r="AG100" s="57"/>
      <c r="AH100" s="57"/>
      <c r="AI100" s="49"/>
      <c r="AJ100" s="50" t="s">
        <v>31</v>
      </c>
      <c r="AL100" s="42">
        <v>15.26</v>
      </c>
    </row>
    <row r="101" spans="1:144" x14ac:dyDescent="0.25">
      <c r="AC101" s="49"/>
      <c r="AD101" s="48"/>
      <c r="AE101" s="49"/>
      <c r="AF101" s="49"/>
      <c r="AG101" s="57"/>
      <c r="AH101" s="57"/>
      <c r="AI101" s="49"/>
      <c r="AJ101" s="50" t="s">
        <v>33</v>
      </c>
    </row>
    <row r="102" spans="1:144" s="60" customFormat="1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4"/>
      <c r="AC102" s="49"/>
      <c r="AD102" s="48"/>
      <c r="AE102" s="49"/>
      <c r="AF102" s="49"/>
      <c r="AG102" s="57"/>
      <c r="AH102" s="57"/>
      <c r="AI102" s="49"/>
      <c r="AJ102" s="50" t="s">
        <v>35</v>
      </c>
      <c r="AK102" s="42"/>
      <c r="AL102" s="67" t="s">
        <v>225</v>
      </c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68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  <c r="CS102" s="42"/>
      <c r="CT102" s="42"/>
      <c r="CU102" s="42"/>
      <c r="CV102" s="42"/>
      <c r="CW102" s="42"/>
      <c r="CX102" s="42"/>
      <c r="CY102" s="42"/>
      <c r="CZ102" s="42"/>
      <c r="DA102" s="42"/>
      <c r="DB102" s="42"/>
      <c r="DC102" s="42"/>
      <c r="DD102" s="42"/>
      <c r="DE102" s="42"/>
      <c r="DF102" s="42"/>
      <c r="DG102" s="42"/>
      <c r="DH102" s="42"/>
      <c r="DI102" s="42"/>
      <c r="DJ102" s="42"/>
      <c r="DK102" s="42"/>
      <c r="DL102" s="42"/>
      <c r="DM102" s="42"/>
      <c r="DN102" s="42"/>
      <c r="DO102" s="42"/>
      <c r="DP102" s="42"/>
      <c r="DQ102" s="42"/>
      <c r="DR102" s="42"/>
      <c r="DS102" s="42"/>
      <c r="DT102" s="42"/>
      <c r="DU102" s="42"/>
      <c r="DV102" s="42"/>
      <c r="DW102" s="42"/>
      <c r="DX102" s="42"/>
      <c r="DY102" s="42"/>
      <c r="DZ102" s="42"/>
      <c r="EA102" s="42"/>
      <c r="EB102" s="42"/>
      <c r="EC102" s="42"/>
      <c r="ED102" s="42"/>
      <c r="EE102" s="42"/>
      <c r="EF102" s="42"/>
      <c r="EG102" s="42"/>
      <c r="EH102" s="42"/>
      <c r="EI102" s="42"/>
      <c r="EJ102" s="42"/>
      <c r="EK102" s="42"/>
      <c r="EL102" s="42"/>
      <c r="EM102" s="42"/>
      <c r="EN102" s="42"/>
    </row>
    <row r="103" spans="1:144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1"/>
      <c r="AC103" s="64"/>
      <c r="AD103" s="63"/>
      <c r="AE103" s="64"/>
      <c r="AF103" s="64"/>
      <c r="AG103" s="65"/>
      <c r="AH103" s="65"/>
      <c r="AI103" s="64"/>
      <c r="AJ103" s="66" t="s">
        <v>37</v>
      </c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</row>
    <row r="104" spans="1:144" x14ac:dyDescent="0.25">
      <c r="AC104" s="39"/>
      <c r="AI104" s="42" t="s">
        <v>264</v>
      </c>
      <c r="AJ104" s="42">
        <v>2</v>
      </c>
      <c r="AK104" s="42">
        <v>1</v>
      </c>
      <c r="AL104" s="42">
        <v>0</v>
      </c>
    </row>
    <row r="105" spans="1:144" x14ac:dyDescent="0.25">
      <c r="AC105" s="49"/>
      <c r="AD105" s="48"/>
      <c r="AE105" s="49"/>
      <c r="AF105" s="49"/>
      <c r="AG105" s="57"/>
      <c r="AH105" s="57"/>
      <c r="AI105" s="49"/>
      <c r="AJ105" s="50" t="s">
        <v>31</v>
      </c>
      <c r="AL105" s="42">
        <v>15.26</v>
      </c>
    </row>
    <row r="106" spans="1:144" x14ac:dyDescent="0.25">
      <c r="AC106" s="49"/>
      <c r="AD106" s="48"/>
      <c r="AE106" s="49"/>
      <c r="AF106" s="49"/>
      <c r="AG106" s="57"/>
      <c r="AH106" s="57"/>
      <c r="AI106" s="49"/>
      <c r="AJ106" s="50" t="s">
        <v>33</v>
      </c>
    </row>
    <row r="107" spans="1:144" s="56" customFormat="1" x14ac:dyDescent="0.2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4"/>
      <c r="AC107" s="49"/>
      <c r="AD107" s="48"/>
      <c r="AE107" s="49"/>
      <c r="AF107" s="49"/>
      <c r="AG107" s="57"/>
      <c r="AH107" s="57"/>
      <c r="AI107" s="49"/>
      <c r="AJ107" s="50" t="s">
        <v>35</v>
      </c>
      <c r="AK107" s="42"/>
      <c r="AL107" s="67" t="s">
        <v>225</v>
      </c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68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/>
      <c r="CG107" s="42"/>
      <c r="CH107" s="42"/>
      <c r="CI107" s="42"/>
      <c r="CJ107" s="42"/>
      <c r="CK107" s="42"/>
      <c r="CL107" s="42"/>
      <c r="CM107" s="42"/>
      <c r="CN107" s="42"/>
      <c r="CO107" s="42"/>
      <c r="CP107" s="42"/>
      <c r="CQ107" s="42"/>
      <c r="CR107" s="42"/>
      <c r="CS107" s="42"/>
      <c r="CT107" s="42"/>
      <c r="CU107" s="42"/>
      <c r="CV107" s="42"/>
      <c r="CW107" s="42"/>
      <c r="CX107" s="42"/>
      <c r="CY107" s="42"/>
      <c r="CZ107" s="42"/>
      <c r="DA107" s="42"/>
      <c r="DB107" s="42"/>
      <c r="DC107" s="42"/>
      <c r="DD107" s="42"/>
      <c r="DE107" s="42"/>
      <c r="DF107" s="42"/>
      <c r="DG107" s="42"/>
      <c r="DH107" s="42"/>
      <c r="DI107" s="42"/>
      <c r="DJ107" s="42"/>
      <c r="DK107" s="42"/>
      <c r="DL107" s="42"/>
      <c r="DM107" s="42"/>
      <c r="DN107" s="42"/>
      <c r="DO107" s="42"/>
      <c r="DP107" s="42"/>
      <c r="DQ107" s="42"/>
      <c r="DR107" s="42"/>
      <c r="DS107" s="42"/>
      <c r="DT107" s="42"/>
      <c r="DU107" s="42"/>
      <c r="DV107" s="42"/>
      <c r="DW107" s="42"/>
      <c r="DX107" s="42"/>
      <c r="DY107" s="42"/>
      <c r="DZ107" s="42"/>
      <c r="EA107" s="42"/>
      <c r="EB107" s="42"/>
      <c r="EC107" s="42"/>
      <c r="ED107" s="42"/>
      <c r="EE107" s="42"/>
      <c r="EF107" s="42"/>
      <c r="EG107" s="42"/>
      <c r="EH107" s="42"/>
      <c r="EI107" s="42"/>
      <c r="EJ107" s="42"/>
      <c r="EK107" s="42"/>
      <c r="EL107" s="42"/>
      <c r="EM107" s="42"/>
      <c r="EN107" s="42"/>
    </row>
    <row r="108" spans="1:144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1"/>
      <c r="AC108" s="64"/>
      <c r="AD108" s="63"/>
      <c r="AE108" s="64"/>
      <c r="AF108" s="64"/>
      <c r="AG108" s="65"/>
      <c r="AH108" s="65"/>
      <c r="AI108" s="64"/>
      <c r="AJ108" s="66" t="s">
        <v>37</v>
      </c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</row>
    <row r="109" spans="1:144" x14ac:dyDescent="0.25">
      <c r="AC109" s="39"/>
      <c r="AI109" s="42" t="s">
        <v>265</v>
      </c>
      <c r="AJ109" s="42">
        <v>3</v>
      </c>
      <c r="AK109" s="42">
        <v>1</v>
      </c>
      <c r="AL109" s="42">
        <v>0</v>
      </c>
    </row>
    <row r="110" spans="1:144" x14ac:dyDescent="0.25">
      <c r="AC110" s="49"/>
      <c r="AD110" s="48"/>
      <c r="AE110" s="49"/>
      <c r="AF110" s="49"/>
      <c r="AG110" s="57"/>
      <c r="AH110" s="57"/>
      <c r="AI110" s="49"/>
      <c r="AJ110" s="50" t="s">
        <v>31</v>
      </c>
      <c r="AL110" s="42">
        <v>15.26</v>
      </c>
    </row>
    <row r="111" spans="1:144" x14ac:dyDescent="0.25">
      <c r="AC111" s="49"/>
      <c r="AD111" s="48"/>
      <c r="AE111" s="49"/>
      <c r="AF111" s="49"/>
      <c r="AG111" s="57"/>
      <c r="AH111" s="57"/>
      <c r="AI111" s="49"/>
      <c r="AJ111" s="50" t="s">
        <v>33</v>
      </c>
    </row>
    <row r="112" spans="1:144" s="60" customFormat="1" x14ac:dyDescent="0.2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4"/>
      <c r="AC112" s="49"/>
      <c r="AD112" s="48"/>
      <c r="AE112" s="49"/>
      <c r="AF112" s="49"/>
      <c r="AG112" s="57"/>
      <c r="AH112" s="57"/>
      <c r="AI112" s="49"/>
      <c r="AJ112" s="50" t="s">
        <v>35</v>
      </c>
      <c r="AK112" s="42"/>
      <c r="AL112" s="67" t="s">
        <v>225</v>
      </c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68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  <c r="DX112" s="42"/>
      <c r="DY112" s="42"/>
      <c r="DZ112" s="42"/>
      <c r="EA112" s="42"/>
      <c r="EB112" s="42"/>
      <c r="EC112" s="42"/>
      <c r="ED112" s="42"/>
      <c r="EE112" s="42"/>
      <c r="EF112" s="42"/>
      <c r="EG112" s="42"/>
      <c r="EH112" s="42"/>
      <c r="EI112" s="42"/>
      <c r="EJ112" s="42"/>
      <c r="EK112" s="42"/>
      <c r="EL112" s="42"/>
      <c r="EM112" s="42"/>
      <c r="EN112" s="42"/>
    </row>
    <row r="113" spans="1:144" s="56" customFormat="1" x14ac:dyDescent="0.25">
      <c r="AB113" s="51"/>
      <c r="AC113" s="54"/>
      <c r="AD113" s="53"/>
      <c r="AE113" s="54"/>
      <c r="AF113" s="54"/>
      <c r="AG113" s="58"/>
      <c r="AH113" s="58"/>
      <c r="AI113" s="54"/>
      <c r="AJ113" s="55" t="s">
        <v>37</v>
      </c>
      <c r="BF113" s="69"/>
    </row>
    <row r="114" spans="1:144" x14ac:dyDescent="0.25">
      <c r="B114" s="70">
        <v>46141</v>
      </c>
      <c r="C114" s="42" t="s">
        <v>279</v>
      </c>
      <c r="W114" s="42" t="s">
        <v>252</v>
      </c>
      <c r="Y114" s="42" t="s">
        <v>280</v>
      </c>
      <c r="Z114" s="42">
        <v>100</v>
      </c>
      <c r="AA114" s="42">
        <v>500</v>
      </c>
      <c r="AB114" s="44">
        <v>60</v>
      </c>
      <c r="AC114" s="39">
        <v>8</v>
      </c>
      <c r="AD114" s="45" t="s">
        <v>266</v>
      </c>
      <c r="AE114" s="42">
        <v>3</v>
      </c>
      <c r="AF114" s="42">
        <v>12.13</v>
      </c>
      <c r="AG114" s="42">
        <v>11.45</v>
      </c>
      <c r="AH114" s="42">
        <v>11.55</v>
      </c>
      <c r="AI114" s="42" t="s">
        <v>267</v>
      </c>
      <c r="AJ114" s="42">
        <v>1</v>
      </c>
      <c r="AK114" s="42">
        <v>1</v>
      </c>
      <c r="AL114" s="42">
        <v>0</v>
      </c>
    </row>
    <row r="115" spans="1:144" x14ac:dyDescent="0.25">
      <c r="AC115" s="49"/>
      <c r="AD115" s="48"/>
      <c r="AE115" s="49"/>
      <c r="AF115" s="49"/>
      <c r="AG115" s="57"/>
      <c r="AH115" s="57"/>
      <c r="AI115" s="49"/>
      <c r="AJ115" s="50" t="s">
        <v>31</v>
      </c>
      <c r="AL115" s="42">
        <v>15.27</v>
      </c>
    </row>
    <row r="116" spans="1:144" x14ac:dyDescent="0.25">
      <c r="AC116" s="49"/>
      <c r="AD116" s="48"/>
      <c r="AE116" s="49"/>
      <c r="AF116" s="49"/>
      <c r="AG116" s="57"/>
      <c r="AH116" s="57"/>
      <c r="AI116" s="49"/>
      <c r="AJ116" s="50" t="s">
        <v>33</v>
      </c>
      <c r="BE116" s="67"/>
    </row>
    <row r="117" spans="1:144" s="60" customFormat="1" x14ac:dyDescent="0.2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4"/>
      <c r="AC117" s="49"/>
      <c r="AD117" s="48"/>
      <c r="AE117" s="49"/>
      <c r="AF117" s="49"/>
      <c r="AG117" s="57"/>
      <c r="AH117" s="57"/>
      <c r="AI117" s="49"/>
      <c r="AJ117" s="50" t="s">
        <v>35</v>
      </c>
      <c r="AK117" s="42"/>
      <c r="AL117" s="67" t="s">
        <v>225</v>
      </c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68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/>
      <c r="CE117" s="42"/>
      <c r="CF117" s="42"/>
      <c r="CG117" s="42"/>
      <c r="CH117" s="42"/>
      <c r="CI117" s="42"/>
      <c r="CJ117" s="42"/>
      <c r="CK117" s="42"/>
      <c r="CL117" s="42"/>
      <c r="CM117" s="42"/>
      <c r="CN117" s="42"/>
      <c r="CO117" s="42"/>
      <c r="CP117" s="42"/>
      <c r="CQ117" s="42"/>
      <c r="CR117" s="42"/>
      <c r="CS117" s="42"/>
      <c r="CT117" s="42"/>
      <c r="CU117" s="42"/>
      <c r="CV117" s="42"/>
      <c r="CW117" s="42"/>
      <c r="CX117" s="42"/>
      <c r="CY117" s="42"/>
      <c r="CZ117" s="42"/>
      <c r="DA117" s="42"/>
      <c r="DB117" s="42"/>
      <c r="DC117" s="42"/>
      <c r="DD117" s="42"/>
      <c r="DE117" s="42"/>
      <c r="DF117" s="42"/>
      <c r="DG117" s="42"/>
      <c r="DH117" s="42"/>
      <c r="DI117" s="42"/>
      <c r="DJ117" s="42"/>
      <c r="DK117" s="42"/>
      <c r="DL117" s="42"/>
      <c r="DM117" s="42"/>
      <c r="DN117" s="42"/>
      <c r="DO117" s="42"/>
      <c r="DP117" s="42"/>
      <c r="DQ117" s="42"/>
      <c r="DR117" s="42"/>
      <c r="DS117" s="42"/>
      <c r="DT117" s="42"/>
      <c r="DU117" s="42"/>
      <c r="DV117" s="42"/>
      <c r="DW117" s="42"/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</row>
    <row r="118" spans="1:144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1"/>
      <c r="AC118" s="64"/>
      <c r="AD118" s="63"/>
      <c r="AE118" s="64"/>
      <c r="AF118" s="64"/>
      <c r="AG118" s="65"/>
      <c r="AH118" s="65"/>
      <c r="AI118" s="64"/>
      <c r="AJ118" s="66" t="s">
        <v>37</v>
      </c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</row>
    <row r="119" spans="1:144" x14ac:dyDescent="0.25">
      <c r="AC119" s="39"/>
      <c r="AI119" s="42" t="s">
        <v>268</v>
      </c>
      <c r="AJ119" s="42">
        <v>2</v>
      </c>
      <c r="AK119" s="42">
        <v>1</v>
      </c>
      <c r="AL119" s="42">
        <v>0</v>
      </c>
    </row>
    <row r="120" spans="1:144" x14ac:dyDescent="0.25">
      <c r="AC120" s="49"/>
      <c r="AD120" s="48"/>
      <c r="AE120" s="49"/>
      <c r="AF120" s="49"/>
      <c r="AG120" s="57"/>
      <c r="AH120" s="57"/>
      <c r="AI120" s="49"/>
      <c r="AJ120" s="50" t="s">
        <v>31</v>
      </c>
      <c r="AL120" s="42">
        <v>15.27</v>
      </c>
    </row>
    <row r="121" spans="1:144" x14ac:dyDescent="0.25">
      <c r="AC121" s="49"/>
      <c r="AD121" s="48"/>
      <c r="AE121" s="49"/>
      <c r="AF121" s="49"/>
      <c r="AG121" s="57"/>
      <c r="AH121" s="57"/>
      <c r="AI121" s="49"/>
      <c r="AJ121" s="50" t="s">
        <v>33</v>
      </c>
    </row>
    <row r="122" spans="1:144" s="56" customFormat="1" x14ac:dyDescent="0.2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4"/>
      <c r="AC122" s="49"/>
      <c r="AD122" s="48"/>
      <c r="AE122" s="49"/>
      <c r="AF122" s="49"/>
      <c r="AG122" s="57"/>
      <c r="AH122" s="57"/>
      <c r="AI122" s="49"/>
      <c r="AJ122" s="50" t="s">
        <v>35</v>
      </c>
      <c r="AK122" s="42"/>
      <c r="AL122" s="67" t="s">
        <v>225</v>
      </c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68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/>
      <c r="CE122" s="42"/>
      <c r="CF122" s="42"/>
      <c r="CG122" s="42"/>
      <c r="CH122" s="42"/>
      <c r="CI122" s="42"/>
      <c r="CJ122" s="42"/>
      <c r="CK122" s="42"/>
      <c r="CL122" s="42"/>
      <c r="CM122" s="42"/>
      <c r="CN122" s="42"/>
      <c r="CO122" s="42"/>
      <c r="CP122" s="42"/>
      <c r="CQ122" s="42"/>
      <c r="CR122" s="42"/>
      <c r="CS122" s="42"/>
      <c r="CT122" s="42"/>
      <c r="CU122" s="42"/>
      <c r="CV122" s="42"/>
      <c r="CW122" s="42"/>
      <c r="CX122" s="42"/>
      <c r="CY122" s="42"/>
      <c r="CZ122" s="42"/>
      <c r="DA122" s="42"/>
      <c r="DB122" s="42"/>
      <c r="DC122" s="42"/>
      <c r="DD122" s="42"/>
      <c r="DE122" s="42"/>
      <c r="DF122" s="42"/>
      <c r="DG122" s="42"/>
      <c r="DH122" s="42"/>
      <c r="DI122" s="42"/>
      <c r="DJ122" s="42"/>
      <c r="DK122" s="42"/>
      <c r="DL122" s="42"/>
      <c r="DM122" s="42"/>
      <c r="DN122" s="42"/>
      <c r="DO122" s="42"/>
      <c r="DP122" s="42"/>
      <c r="DQ122" s="42"/>
      <c r="DR122" s="42"/>
      <c r="DS122" s="42"/>
      <c r="DT122" s="42"/>
      <c r="DU122" s="42"/>
      <c r="DV122" s="42"/>
      <c r="DW122" s="42"/>
      <c r="DX122" s="42"/>
      <c r="DY122" s="42"/>
      <c r="DZ122" s="42"/>
      <c r="EA122" s="42"/>
      <c r="EB122" s="42"/>
      <c r="EC122" s="42"/>
      <c r="ED122" s="42"/>
      <c r="EE122" s="42"/>
      <c r="EF122" s="42"/>
      <c r="EG122" s="42"/>
      <c r="EH122" s="42"/>
      <c r="EI122" s="42"/>
      <c r="EJ122" s="42"/>
      <c r="EK122" s="42"/>
      <c r="EL122" s="42"/>
      <c r="EM122" s="42"/>
      <c r="EN122" s="42"/>
    </row>
    <row r="123" spans="1:144" s="84" customFormat="1" x14ac:dyDescent="0.25">
      <c r="AB123" s="85"/>
      <c r="AC123" s="91"/>
      <c r="AD123" s="92"/>
      <c r="AE123" s="91"/>
      <c r="AF123" s="91"/>
      <c r="AG123" s="88"/>
      <c r="AH123" s="88"/>
      <c r="AI123" s="91"/>
      <c r="AJ123" s="89" t="s">
        <v>37</v>
      </c>
      <c r="AL123" s="93"/>
      <c r="BF123" s="90"/>
    </row>
    <row r="124" spans="1:144" s="56" customFormat="1" x14ac:dyDescent="0.2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4"/>
      <c r="AC124" s="39"/>
      <c r="AD124" s="45"/>
      <c r="AE124" s="42"/>
      <c r="AF124" s="42"/>
      <c r="AG124" s="42"/>
      <c r="AH124" s="42"/>
      <c r="AI124" s="42" t="s">
        <v>294</v>
      </c>
      <c r="AJ124" s="42">
        <v>3</v>
      </c>
      <c r="AK124" s="42">
        <v>1</v>
      </c>
      <c r="AL124" s="42">
        <v>0</v>
      </c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68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  <c r="CI124" s="42"/>
      <c r="CJ124" s="42"/>
      <c r="CK124" s="42"/>
      <c r="CL124" s="42"/>
      <c r="CM124" s="42"/>
      <c r="CN124" s="42"/>
      <c r="CO124" s="42"/>
      <c r="CP124" s="42"/>
      <c r="CQ124" s="42"/>
      <c r="CR124" s="42"/>
      <c r="CS124" s="42"/>
      <c r="CT124" s="42"/>
      <c r="CU124" s="42"/>
      <c r="CV124" s="42"/>
      <c r="CW124" s="42"/>
      <c r="CX124" s="42"/>
      <c r="CY124" s="42"/>
      <c r="CZ124" s="42"/>
      <c r="DA124" s="42"/>
      <c r="DB124" s="42"/>
      <c r="DC124" s="42"/>
      <c r="DD124" s="42"/>
      <c r="DE124" s="42"/>
      <c r="DF124" s="42"/>
      <c r="DG124" s="42"/>
      <c r="DH124" s="42"/>
      <c r="DI124" s="42"/>
      <c r="DJ124" s="42"/>
      <c r="DK124" s="42"/>
      <c r="DL124" s="42"/>
      <c r="DM124" s="42"/>
      <c r="DN124" s="42"/>
      <c r="DO124" s="42"/>
      <c r="DP124" s="42"/>
      <c r="DQ124" s="42"/>
      <c r="DR124" s="42"/>
      <c r="DS124" s="42"/>
      <c r="DT124" s="42"/>
      <c r="DU124" s="42"/>
      <c r="DV124" s="42"/>
      <c r="DW124" s="42"/>
      <c r="DX124" s="42"/>
      <c r="DY124" s="42"/>
      <c r="DZ124" s="42"/>
      <c r="EA124" s="42"/>
      <c r="EB124" s="42"/>
      <c r="EC124" s="42"/>
      <c r="ED124" s="42"/>
      <c r="EE124" s="42"/>
      <c r="EF124" s="42"/>
      <c r="EG124" s="42"/>
      <c r="EH124" s="42"/>
      <c r="EI124" s="42"/>
      <c r="EJ124" s="42"/>
      <c r="EK124" s="42"/>
      <c r="EL124" s="42"/>
      <c r="EM124" s="42"/>
      <c r="EN124" s="42"/>
    </row>
    <row r="125" spans="1:144" s="56" customFormat="1" x14ac:dyDescent="0.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4"/>
      <c r="AC125" s="49"/>
      <c r="AD125" s="48"/>
      <c r="AE125" s="49"/>
      <c r="AF125" s="49"/>
      <c r="AG125" s="57"/>
      <c r="AH125" s="57"/>
      <c r="AI125" s="49"/>
      <c r="AJ125" s="50" t="s">
        <v>31</v>
      </c>
      <c r="AK125" s="42"/>
      <c r="AL125" s="42">
        <v>15.27</v>
      </c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68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  <c r="CH125" s="42"/>
      <c r="CI125" s="42"/>
      <c r="CJ125" s="42"/>
      <c r="CK125" s="42"/>
      <c r="CL125" s="42"/>
      <c r="CM125" s="42"/>
      <c r="CN125" s="42"/>
      <c r="CO125" s="42"/>
      <c r="CP125" s="42"/>
      <c r="CQ125" s="42"/>
      <c r="CR125" s="42"/>
      <c r="CS125" s="42"/>
      <c r="CT125" s="42"/>
      <c r="CU125" s="42"/>
      <c r="CV125" s="42"/>
      <c r="CW125" s="42"/>
      <c r="CX125" s="42"/>
      <c r="CY125" s="42"/>
      <c r="CZ125" s="42"/>
      <c r="DA125" s="42"/>
      <c r="DB125" s="42"/>
      <c r="DC125" s="42"/>
      <c r="DD125" s="42"/>
      <c r="DE125" s="42"/>
      <c r="DF125" s="42"/>
      <c r="DG125" s="42"/>
      <c r="DH125" s="42"/>
      <c r="DI125" s="42"/>
      <c r="DJ125" s="42"/>
      <c r="DK125" s="42"/>
      <c r="DL125" s="42"/>
      <c r="DM125" s="42"/>
      <c r="DN125" s="42"/>
      <c r="DO125" s="42"/>
      <c r="DP125" s="42"/>
      <c r="DQ125" s="42"/>
      <c r="DR125" s="42"/>
      <c r="DS125" s="42"/>
      <c r="DT125" s="42"/>
      <c r="DU125" s="42"/>
      <c r="DV125" s="42"/>
      <c r="DW125" s="42"/>
      <c r="DX125" s="42"/>
      <c r="DY125" s="42"/>
      <c r="DZ125" s="42"/>
      <c r="EA125" s="42"/>
      <c r="EB125" s="42"/>
      <c r="EC125" s="42"/>
      <c r="ED125" s="42"/>
      <c r="EE125" s="42"/>
      <c r="EF125" s="42"/>
      <c r="EG125" s="42"/>
      <c r="EH125" s="42"/>
      <c r="EI125" s="42"/>
      <c r="EJ125" s="42"/>
      <c r="EK125" s="42"/>
      <c r="EL125" s="42"/>
      <c r="EM125" s="42"/>
      <c r="EN125" s="42"/>
    </row>
    <row r="126" spans="1:144" s="56" customFormat="1" x14ac:dyDescent="0.2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4"/>
      <c r="AC126" s="49"/>
      <c r="AD126" s="48"/>
      <c r="AE126" s="49"/>
      <c r="AF126" s="49"/>
      <c r="AG126" s="57"/>
      <c r="AH126" s="57"/>
      <c r="AI126" s="49"/>
      <c r="AJ126" s="50" t="s">
        <v>33</v>
      </c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68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  <c r="CH126" s="42"/>
      <c r="CI126" s="42"/>
      <c r="CJ126" s="42"/>
      <c r="CK126" s="42"/>
      <c r="CL126" s="42"/>
      <c r="CM126" s="42"/>
      <c r="CN126" s="42"/>
      <c r="CO126" s="42"/>
      <c r="CP126" s="42"/>
      <c r="CQ126" s="42"/>
      <c r="CR126" s="42"/>
      <c r="CS126" s="42"/>
      <c r="CT126" s="42"/>
      <c r="CU126" s="42"/>
      <c r="CV126" s="42"/>
      <c r="CW126" s="42"/>
      <c r="CX126" s="42"/>
      <c r="CY126" s="42"/>
      <c r="CZ126" s="42"/>
      <c r="DA126" s="42"/>
      <c r="DB126" s="42"/>
      <c r="DC126" s="42"/>
      <c r="DD126" s="42"/>
      <c r="DE126" s="42"/>
      <c r="DF126" s="42"/>
      <c r="DG126" s="42"/>
      <c r="DH126" s="42"/>
      <c r="DI126" s="42"/>
      <c r="DJ126" s="42"/>
      <c r="DK126" s="42"/>
      <c r="DL126" s="42"/>
      <c r="DM126" s="42"/>
      <c r="DN126" s="42"/>
      <c r="DO126" s="42"/>
      <c r="DP126" s="42"/>
      <c r="DQ126" s="42"/>
      <c r="DR126" s="42"/>
      <c r="DS126" s="42"/>
      <c r="DT126" s="42"/>
      <c r="DU126" s="42"/>
      <c r="DV126" s="42"/>
      <c r="DW126" s="42"/>
      <c r="DX126" s="42"/>
      <c r="DY126" s="42"/>
      <c r="DZ126" s="42"/>
      <c r="EA126" s="42"/>
      <c r="EB126" s="42"/>
      <c r="EC126" s="42"/>
      <c r="ED126" s="42"/>
      <c r="EE126" s="42"/>
      <c r="EF126" s="42"/>
      <c r="EG126" s="42"/>
      <c r="EH126" s="42"/>
      <c r="EI126" s="42"/>
      <c r="EJ126" s="42"/>
      <c r="EK126" s="42"/>
      <c r="EL126" s="42"/>
      <c r="EM126" s="42"/>
      <c r="EN126" s="42"/>
    </row>
    <row r="127" spans="1:144" s="56" customFormat="1" x14ac:dyDescent="0.2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4"/>
      <c r="AC127" s="49"/>
      <c r="AD127" s="48"/>
      <c r="AE127" s="49"/>
      <c r="AF127" s="49"/>
      <c r="AG127" s="57"/>
      <c r="AH127" s="57"/>
      <c r="AI127" s="49"/>
      <c r="AJ127" s="50" t="s">
        <v>35</v>
      </c>
      <c r="AK127" s="42"/>
      <c r="AL127" s="67" t="s">
        <v>225</v>
      </c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68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  <c r="CQ127" s="42"/>
      <c r="CR127" s="42"/>
      <c r="CS127" s="42"/>
      <c r="CT127" s="42"/>
      <c r="CU127" s="42"/>
      <c r="CV127" s="42"/>
      <c r="CW127" s="42"/>
      <c r="CX127" s="42"/>
      <c r="CY127" s="42"/>
      <c r="CZ127" s="42"/>
      <c r="DA127" s="42"/>
      <c r="DB127" s="42"/>
      <c r="DC127" s="42"/>
      <c r="DD127" s="42"/>
      <c r="DE127" s="42"/>
      <c r="DF127" s="42"/>
      <c r="DG127" s="42"/>
      <c r="DH127" s="42"/>
      <c r="DI127" s="42"/>
      <c r="DJ127" s="42"/>
      <c r="DK127" s="42"/>
      <c r="DL127" s="42"/>
      <c r="DM127" s="42"/>
      <c r="DN127" s="42"/>
      <c r="DO127" s="42"/>
      <c r="DP127" s="42"/>
      <c r="DQ127" s="42"/>
      <c r="DR127" s="42"/>
      <c r="DS127" s="42"/>
      <c r="DT127" s="42"/>
      <c r="DU127" s="42"/>
      <c r="DV127" s="42"/>
      <c r="DW127" s="42"/>
      <c r="DX127" s="42"/>
      <c r="DY127" s="42"/>
      <c r="DZ127" s="42"/>
      <c r="EA127" s="42"/>
      <c r="EB127" s="42"/>
      <c r="EC127" s="42"/>
      <c r="ED127" s="42"/>
      <c r="EE127" s="42"/>
      <c r="EF127" s="42"/>
      <c r="EG127" s="42"/>
      <c r="EH127" s="42"/>
      <c r="EI127" s="42"/>
      <c r="EJ127" s="42"/>
      <c r="EK127" s="42"/>
      <c r="EL127" s="42"/>
      <c r="EM127" s="42"/>
      <c r="EN127" s="42"/>
    </row>
    <row r="128" spans="1:144" s="56" customFormat="1" x14ac:dyDescent="0.25">
      <c r="AB128" s="51"/>
      <c r="AC128" s="81"/>
      <c r="AD128" s="82"/>
      <c r="AE128" s="81"/>
      <c r="AF128" s="81"/>
      <c r="AG128" s="58"/>
      <c r="AH128" s="58"/>
      <c r="AI128" s="81"/>
      <c r="AJ128" s="55" t="s">
        <v>37</v>
      </c>
      <c r="BF128" s="69"/>
    </row>
    <row r="129" spans="1:144" x14ac:dyDescent="0.25">
      <c r="B129" s="70">
        <v>46141</v>
      </c>
      <c r="C129" s="42" t="s">
        <v>279</v>
      </c>
      <c r="W129" s="42" t="s">
        <v>252</v>
      </c>
      <c r="Y129" s="42" t="s">
        <v>280</v>
      </c>
      <c r="Z129" s="42">
        <v>100</v>
      </c>
      <c r="AA129" s="42">
        <v>500</v>
      </c>
      <c r="AB129" s="44">
        <v>60</v>
      </c>
      <c r="AC129" s="39">
        <v>9</v>
      </c>
      <c r="AD129" s="45" t="s">
        <v>269</v>
      </c>
      <c r="AE129" s="42">
        <v>2</v>
      </c>
      <c r="AF129" s="42">
        <v>14.55</v>
      </c>
      <c r="AG129" s="42">
        <v>11.59</v>
      </c>
      <c r="AH129" s="42">
        <v>12.07</v>
      </c>
      <c r="AI129" s="42" t="s">
        <v>270</v>
      </c>
      <c r="AJ129" s="42">
        <v>1</v>
      </c>
      <c r="AK129" s="42">
        <v>1</v>
      </c>
      <c r="AL129" s="42">
        <v>0</v>
      </c>
    </row>
    <row r="130" spans="1:144" x14ac:dyDescent="0.25">
      <c r="AC130" s="49"/>
      <c r="AD130" s="48"/>
      <c r="AE130" s="49"/>
      <c r="AF130" s="49"/>
      <c r="AG130" s="57"/>
      <c r="AH130" s="57"/>
      <c r="AI130" s="49"/>
      <c r="AJ130" s="50" t="s">
        <v>31</v>
      </c>
      <c r="AL130" s="42">
        <v>15.28</v>
      </c>
    </row>
    <row r="131" spans="1:144" x14ac:dyDescent="0.25">
      <c r="AC131" s="49"/>
      <c r="AD131" s="48"/>
      <c r="AE131" s="49"/>
      <c r="AF131" s="49"/>
      <c r="AG131" s="57"/>
      <c r="AH131" s="57"/>
      <c r="AI131" s="49"/>
      <c r="AJ131" s="50" t="s">
        <v>33</v>
      </c>
    </row>
    <row r="132" spans="1:144" s="60" customFormat="1" x14ac:dyDescent="0.2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4"/>
      <c r="AC132" s="49"/>
      <c r="AD132" s="48"/>
      <c r="AE132" s="49"/>
      <c r="AF132" s="49"/>
      <c r="AG132" s="57"/>
      <c r="AH132" s="57"/>
      <c r="AI132" s="49"/>
      <c r="AJ132" s="50" t="s">
        <v>35</v>
      </c>
      <c r="AK132" s="42"/>
      <c r="AL132" s="67" t="s">
        <v>225</v>
      </c>
      <c r="AM132" s="42"/>
      <c r="AN132" s="42"/>
      <c r="AO132" s="42"/>
      <c r="AP132" s="67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68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/>
      <c r="CE132" s="42"/>
      <c r="CF132" s="42"/>
      <c r="CG132" s="42"/>
      <c r="CH132" s="42"/>
      <c r="CI132" s="42"/>
      <c r="CJ132" s="42"/>
      <c r="CK132" s="42"/>
      <c r="CL132" s="42"/>
      <c r="CM132" s="42"/>
      <c r="CN132" s="42"/>
      <c r="CO132" s="42"/>
      <c r="CP132" s="42"/>
      <c r="CQ132" s="42"/>
      <c r="CR132" s="42"/>
      <c r="CS132" s="42"/>
      <c r="CT132" s="42"/>
      <c r="CU132" s="42"/>
      <c r="CV132" s="42"/>
      <c r="CW132" s="42"/>
      <c r="CX132" s="42"/>
      <c r="CY132" s="42"/>
      <c r="CZ132" s="42"/>
      <c r="DA132" s="42"/>
      <c r="DB132" s="42"/>
      <c r="DC132" s="42"/>
      <c r="DD132" s="42"/>
      <c r="DE132" s="42"/>
      <c r="DF132" s="42"/>
      <c r="DG132" s="42"/>
      <c r="DH132" s="42"/>
      <c r="DI132" s="42"/>
      <c r="DJ132" s="42"/>
      <c r="DK132" s="42"/>
      <c r="DL132" s="42"/>
      <c r="DM132" s="42"/>
      <c r="DN132" s="42"/>
      <c r="DO132" s="42"/>
      <c r="DP132" s="42"/>
      <c r="DQ132" s="42"/>
      <c r="DR132" s="42"/>
      <c r="DS132" s="42"/>
      <c r="DT132" s="42"/>
      <c r="DU132" s="42"/>
      <c r="DV132" s="42"/>
      <c r="DW132" s="42"/>
      <c r="DX132" s="42"/>
      <c r="DY132" s="42"/>
      <c r="DZ132" s="42"/>
      <c r="EA132" s="42"/>
      <c r="EB132" s="42"/>
      <c r="EC132" s="42"/>
      <c r="ED132" s="42"/>
      <c r="EE132" s="42"/>
      <c r="EF132" s="42"/>
      <c r="EG132" s="42"/>
      <c r="EH132" s="42"/>
      <c r="EI132" s="42"/>
      <c r="EJ132" s="42"/>
      <c r="EK132" s="42"/>
      <c r="EL132" s="42"/>
      <c r="EM132" s="42"/>
      <c r="EN132" s="42"/>
    </row>
    <row r="133" spans="1:144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1"/>
      <c r="AC133" s="64"/>
      <c r="AD133" s="63"/>
      <c r="AE133" s="64"/>
      <c r="AF133" s="64"/>
      <c r="AG133" s="65"/>
      <c r="AH133" s="65"/>
      <c r="AI133" s="64"/>
      <c r="AJ133" s="66" t="s">
        <v>37</v>
      </c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</row>
    <row r="134" spans="1:144" x14ac:dyDescent="0.25">
      <c r="AC134" s="39"/>
      <c r="AI134" s="42" t="s">
        <v>271</v>
      </c>
      <c r="AJ134" s="42">
        <v>2</v>
      </c>
      <c r="AK134" s="42">
        <v>1</v>
      </c>
      <c r="AT134" s="42">
        <v>1</v>
      </c>
      <c r="AU134" s="42">
        <v>1</v>
      </c>
      <c r="AV134" s="42">
        <v>0</v>
      </c>
    </row>
    <row r="135" spans="1:144" x14ac:dyDescent="0.25">
      <c r="AC135" s="49"/>
      <c r="AD135" s="48"/>
      <c r="AE135" s="49"/>
      <c r="AF135" s="49"/>
      <c r="AG135" s="57"/>
      <c r="AH135" s="57"/>
      <c r="AI135" s="49"/>
      <c r="AJ135" s="50" t="s">
        <v>31</v>
      </c>
      <c r="AT135" s="42">
        <v>15.29</v>
      </c>
      <c r="AU135" s="42">
        <v>16.48</v>
      </c>
      <c r="AV135" s="42">
        <v>19.23</v>
      </c>
    </row>
    <row r="136" spans="1:144" x14ac:dyDescent="0.25">
      <c r="AC136" s="49"/>
      <c r="AD136" s="48"/>
      <c r="AE136" s="49"/>
      <c r="AF136" s="49"/>
      <c r="AG136" s="57"/>
      <c r="AH136" s="57"/>
      <c r="AI136" s="49"/>
      <c r="AJ136" s="50" t="s">
        <v>33</v>
      </c>
    </row>
    <row r="137" spans="1:144" s="60" customFormat="1" x14ac:dyDescent="0.2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4"/>
      <c r="AC137" s="49"/>
      <c r="AD137" s="48"/>
      <c r="AE137" s="49"/>
      <c r="AF137" s="49"/>
      <c r="AG137" s="57"/>
      <c r="AH137" s="57"/>
      <c r="AI137" s="49"/>
      <c r="AJ137" s="50" t="s">
        <v>35</v>
      </c>
      <c r="AK137" s="42"/>
      <c r="AL137" s="67"/>
      <c r="AM137" s="42"/>
      <c r="AN137" s="42"/>
      <c r="AO137" s="42"/>
      <c r="AP137" s="42"/>
      <c r="AQ137" s="42"/>
      <c r="AR137" s="42"/>
      <c r="AS137" s="42"/>
      <c r="AT137" s="42"/>
      <c r="AU137" s="42"/>
      <c r="AV137" s="67" t="s">
        <v>225</v>
      </c>
      <c r="AW137" s="42"/>
      <c r="AX137" s="42"/>
      <c r="AY137" s="42"/>
      <c r="AZ137" s="42"/>
      <c r="BA137" s="42"/>
      <c r="BB137" s="42"/>
      <c r="BC137" s="42"/>
      <c r="BD137" s="42"/>
      <c r="BE137" s="42"/>
      <c r="BF137" s="68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/>
      <c r="CE137" s="42"/>
      <c r="CF137" s="42"/>
      <c r="CG137" s="42"/>
      <c r="CH137" s="42"/>
      <c r="CI137" s="42"/>
      <c r="CJ137" s="42"/>
      <c r="CK137" s="42"/>
      <c r="CL137" s="42"/>
      <c r="CM137" s="42"/>
      <c r="CN137" s="42"/>
      <c r="CO137" s="42"/>
      <c r="CP137" s="42"/>
      <c r="CQ137" s="42"/>
      <c r="CR137" s="42"/>
      <c r="CS137" s="42"/>
      <c r="CT137" s="42"/>
      <c r="CU137" s="42"/>
      <c r="CV137" s="42"/>
      <c r="CW137" s="42"/>
      <c r="CX137" s="42"/>
      <c r="CY137" s="42"/>
      <c r="CZ137" s="42"/>
      <c r="DA137" s="42"/>
      <c r="DB137" s="42"/>
      <c r="DC137" s="42"/>
      <c r="DD137" s="42"/>
      <c r="DE137" s="42"/>
      <c r="DF137" s="42"/>
      <c r="DG137" s="42"/>
      <c r="DH137" s="42"/>
      <c r="DI137" s="42"/>
      <c r="DJ137" s="42"/>
      <c r="DK137" s="42"/>
      <c r="DL137" s="42"/>
      <c r="DM137" s="42"/>
      <c r="DN137" s="42"/>
      <c r="DO137" s="42"/>
      <c r="DP137" s="42"/>
      <c r="DQ137" s="42"/>
      <c r="DR137" s="42"/>
      <c r="DS137" s="42"/>
      <c r="DT137" s="42"/>
      <c r="DU137" s="42"/>
      <c r="DV137" s="42"/>
      <c r="DW137" s="42"/>
      <c r="DX137" s="42"/>
      <c r="DY137" s="42"/>
      <c r="DZ137" s="42"/>
      <c r="EA137" s="42"/>
      <c r="EB137" s="42"/>
      <c r="EC137" s="42"/>
      <c r="ED137" s="42"/>
      <c r="EE137" s="42"/>
      <c r="EF137" s="42"/>
      <c r="EG137" s="42"/>
      <c r="EH137" s="42"/>
      <c r="EI137" s="42"/>
      <c r="EJ137" s="42"/>
      <c r="EK137" s="42"/>
      <c r="EL137" s="42"/>
      <c r="EM137" s="42"/>
      <c r="EN137" s="42"/>
    </row>
    <row r="138" spans="1:144" s="56" customFormat="1" x14ac:dyDescent="0.25">
      <c r="AB138" s="51"/>
      <c r="AC138" s="54"/>
      <c r="AD138" s="53"/>
      <c r="AE138" s="54"/>
      <c r="AF138" s="54"/>
      <c r="AG138" s="58"/>
      <c r="AH138" s="58"/>
      <c r="AI138" s="54"/>
      <c r="AJ138" s="55" t="s">
        <v>37</v>
      </c>
      <c r="AT138" s="56" t="s">
        <v>229</v>
      </c>
      <c r="AU138" s="56" t="s">
        <v>229</v>
      </c>
      <c r="BF138" s="69"/>
    </row>
    <row r="139" spans="1:144" x14ac:dyDescent="0.25">
      <c r="B139" s="70">
        <v>46141</v>
      </c>
      <c r="C139" s="42" t="s">
        <v>279</v>
      </c>
      <c r="W139" s="42" t="s">
        <v>252</v>
      </c>
      <c r="Y139" s="42" t="s">
        <v>280</v>
      </c>
      <c r="Z139" s="42">
        <v>100</v>
      </c>
      <c r="AA139" s="42">
        <v>500</v>
      </c>
      <c r="AB139" s="44">
        <v>60</v>
      </c>
      <c r="AC139" s="39">
        <v>10</v>
      </c>
      <c r="AD139" s="45" t="s">
        <v>273</v>
      </c>
      <c r="AE139" s="42">
        <v>3</v>
      </c>
      <c r="AF139" s="42">
        <v>15.06</v>
      </c>
      <c r="AG139" s="42">
        <v>12.11</v>
      </c>
      <c r="AH139" s="42">
        <v>12.18</v>
      </c>
      <c r="AI139" s="42" t="s">
        <v>274</v>
      </c>
      <c r="AJ139" s="42">
        <v>1</v>
      </c>
      <c r="AK139" s="42">
        <v>1</v>
      </c>
      <c r="AL139" s="42">
        <v>0</v>
      </c>
    </row>
    <row r="140" spans="1:144" x14ac:dyDescent="0.25">
      <c r="AC140" s="49"/>
      <c r="AD140" s="48"/>
      <c r="AE140" s="49"/>
      <c r="AF140" s="49"/>
      <c r="AG140" s="57"/>
      <c r="AH140" s="57"/>
      <c r="AI140" s="49"/>
      <c r="AJ140" s="50" t="s">
        <v>31</v>
      </c>
      <c r="AL140" s="42">
        <v>15.28</v>
      </c>
    </row>
    <row r="141" spans="1:144" x14ac:dyDescent="0.25">
      <c r="AC141" s="49"/>
      <c r="AD141" s="48"/>
      <c r="AE141" s="49"/>
      <c r="AF141" s="49"/>
      <c r="AG141" s="57"/>
      <c r="AH141" s="57"/>
      <c r="AI141" s="49"/>
      <c r="AJ141" s="50" t="s">
        <v>33</v>
      </c>
    </row>
    <row r="142" spans="1:144" s="60" customFormat="1" x14ac:dyDescent="0.2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4"/>
      <c r="AC142" s="49"/>
      <c r="AD142" s="48"/>
      <c r="AE142" s="49"/>
      <c r="AF142" s="49"/>
      <c r="AG142" s="57"/>
      <c r="AH142" s="57"/>
      <c r="AI142" s="49"/>
      <c r="AJ142" s="50" t="s">
        <v>35</v>
      </c>
      <c r="AK142" s="42"/>
      <c r="AL142" s="67" t="s">
        <v>225</v>
      </c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68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/>
      <c r="CG142" s="42"/>
      <c r="CH142" s="42"/>
      <c r="CI142" s="42"/>
      <c r="CJ142" s="42"/>
      <c r="CK142" s="42"/>
      <c r="CL142" s="42"/>
      <c r="CM142" s="42"/>
      <c r="CN142" s="42"/>
      <c r="CO142" s="42"/>
      <c r="CP142" s="42"/>
      <c r="CQ142" s="42"/>
      <c r="CR142" s="42"/>
      <c r="CS142" s="42"/>
      <c r="CT142" s="42"/>
      <c r="CU142" s="42"/>
      <c r="CV142" s="42"/>
      <c r="CW142" s="42"/>
      <c r="CX142" s="42"/>
      <c r="CY142" s="42"/>
      <c r="CZ142" s="42"/>
      <c r="DA142" s="42"/>
      <c r="DB142" s="42"/>
      <c r="DC142" s="42"/>
      <c r="DD142" s="42"/>
      <c r="DE142" s="42"/>
      <c r="DF142" s="42"/>
      <c r="DG142" s="42"/>
      <c r="DH142" s="42"/>
      <c r="DI142" s="42"/>
      <c r="DJ142" s="42"/>
      <c r="DK142" s="42"/>
      <c r="DL142" s="42"/>
      <c r="DM142" s="42"/>
      <c r="DN142" s="42"/>
      <c r="DO142" s="42"/>
      <c r="DP142" s="42"/>
      <c r="DQ142" s="42"/>
      <c r="DR142" s="42"/>
      <c r="DS142" s="42"/>
      <c r="DT142" s="42"/>
      <c r="DU142" s="42"/>
      <c r="DV142" s="42"/>
      <c r="DW142" s="42"/>
      <c r="DX142" s="42"/>
      <c r="DY142" s="42"/>
      <c r="DZ142" s="42"/>
      <c r="EA142" s="42"/>
      <c r="EB142" s="42"/>
      <c r="EC142" s="42"/>
      <c r="ED142" s="42"/>
      <c r="EE142" s="42"/>
      <c r="EF142" s="42"/>
      <c r="EG142" s="42"/>
      <c r="EH142" s="42"/>
      <c r="EI142" s="42"/>
      <c r="EJ142" s="42"/>
      <c r="EK142" s="42"/>
      <c r="EL142" s="42"/>
      <c r="EM142" s="42"/>
      <c r="EN142" s="42"/>
    </row>
    <row r="143" spans="1:144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1"/>
      <c r="AC143" s="64"/>
      <c r="AD143" s="63"/>
      <c r="AE143" s="64"/>
      <c r="AF143" s="64"/>
      <c r="AG143" s="65"/>
      <c r="AH143" s="65"/>
      <c r="AI143" s="64"/>
      <c r="AJ143" s="66" t="s">
        <v>37</v>
      </c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</row>
    <row r="144" spans="1:144" x14ac:dyDescent="0.25">
      <c r="AC144" s="39"/>
      <c r="AI144" s="42" t="s">
        <v>275</v>
      </c>
      <c r="AJ144" s="42">
        <v>2</v>
      </c>
      <c r="AK144" s="42">
        <v>1</v>
      </c>
      <c r="AL144" s="42">
        <v>0</v>
      </c>
    </row>
    <row r="145" spans="1:144" x14ac:dyDescent="0.25">
      <c r="AC145" s="49"/>
      <c r="AD145" s="48"/>
      <c r="AE145" s="49"/>
      <c r="AF145" s="49"/>
      <c r="AG145" s="57"/>
      <c r="AH145" s="57"/>
      <c r="AI145" s="49"/>
      <c r="AJ145" s="50" t="s">
        <v>31</v>
      </c>
      <c r="AL145" s="42">
        <v>15.28</v>
      </c>
    </row>
    <row r="146" spans="1:144" x14ac:dyDescent="0.25">
      <c r="AC146" s="49"/>
      <c r="AD146" s="48"/>
      <c r="AE146" s="49"/>
      <c r="AF146" s="49"/>
      <c r="AG146" s="57"/>
      <c r="AH146" s="57"/>
      <c r="AI146" s="49"/>
      <c r="AJ146" s="50" t="s">
        <v>33</v>
      </c>
    </row>
    <row r="147" spans="1:144" s="60" customFormat="1" x14ac:dyDescent="0.2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4"/>
      <c r="AC147" s="49"/>
      <c r="AD147" s="48"/>
      <c r="AE147" s="49"/>
      <c r="AF147" s="49"/>
      <c r="AG147" s="57"/>
      <c r="AH147" s="57"/>
      <c r="AI147" s="49"/>
      <c r="AJ147" s="50" t="s">
        <v>35</v>
      </c>
      <c r="AK147" s="42"/>
      <c r="AL147" s="67" t="s">
        <v>225</v>
      </c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68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  <c r="BW147" s="42"/>
      <c r="BX147" s="42"/>
      <c r="BY147" s="42"/>
      <c r="BZ147" s="42"/>
      <c r="CA147" s="42"/>
      <c r="CB147" s="42"/>
      <c r="CC147" s="42"/>
      <c r="CD147" s="42"/>
      <c r="CE147" s="42"/>
      <c r="CF147" s="42"/>
      <c r="CG147" s="42"/>
      <c r="CH147" s="42"/>
      <c r="CI147" s="42"/>
      <c r="CJ147" s="42"/>
      <c r="CK147" s="42"/>
      <c r="CL147" s="42"/>
      <c r="CM147" s="42"/>
      <c r="CN147" s="42"/>
      <c r="CO147" s="42"/>
      <c r="CP147" s="42"/>
      <c r="CQ147" s="42"/>
      <c r="CR147" s="42"/>
      <c r="CS147" s="42"/>
      <c r="CT147" s="42"/>
      <c r="CU147" s="42"/>
      <c r="CV147" s="42"/>
      <c r="CW147" s="42"/>
      <c r="CX147" s="42"/>
      <c r="CY147" s="42"/>
      <c r="CZ147" s="42"/>
      <c r="DA147" s="42"/>
      <c r="DB147" s="42"/>
      <c r="DC147" s="42"/>
      <c r="DD147" s="42"/>
      <c r="DE147" s="42"/>
      <c r="DF147" s="42"/>
      <c r="DG147" s="42"/>
      <c r="DH147" s="42"/>
      <c r="DI147" s="42"/>
      <c r="DJ147" s="42"/>
      <c r="DK147" s="42"/>
      <c r="DL147" s="42"/>
      <c r="DM147" s="42"/>
      <c r="DN147" s="42"/>
      <c r="DO147" s="42"/>
      <c r="DP147" s="42"/>
      <c r="DQ147" s="42"/>
      <c r="DR147" s="42"/>
      <c r="DS147" s="42"/>
      <c r="DT147" s="42"/>
      <c r="DU147" s="42"/>
      <c r="DV147" s="42"/>
      <c r="DW147" s="42"/>
      <c r="DX147" s="42"/>
      <c r="DY147" s="42"/>
      <c r="DZ147" s="42"/>
      <c r="EA147" s="42"/>
      <c r="EB147" s="42"/>
      <c r="EC147" s="42"/>
      <c r="ED147" s="42"/>
      <c r="EE147" s="42"/>
      <c r="EF147" s="42"/>
      <c r="EG147" s="42"/>
      <c r="EH147" s="42"/>
      <c r="EI147" s="42"/>
      <c r="EJ147" s="42"/>
      <c r="EK147" s="42"/>
      <c r="EL147" s="42"/>
      <c r="EM147" s="42"/>
      <c r="EN147" s="42"/>
    </row>
    <row r="148" spans="1:144" s="84" customFormat="1" x14ac:dyDescent="0.25">
      <c r="AB148" s="85"/>
      <c r="AC148" s="86"/>
      <c r="AD148" s="87"/>
      <c r="AE148" s="86"/>
      <c r="AF148" s="86"/>
      <c r="AG148" s="88"/>
      <c r="AH148" s="88"/>
      <c r="AI148" s="86"/>
      <c r="AJ148" s="89" t="s">
        <v>37</v>
      </c>
      <c r="BF148" s="90"/>
    </row>
    <row r="149" spans="1:144" x14ac:dyDescent="0.25">
      <c r="AC149" s="39"/>
      <c r="AI149" s="42" t="s">
        <v>295</v>
      </c>
      <c r="AJ149" s="42">
        <v>3</v>
      </c>
      <c r="AK149" s="42">
        <v>1</v>
      </c>
      <c r="AL149" s="42">
        <v>0</v>
      </c>
    </row>
    <row r="150" spans="1:144" x14ac:dyDescent="0.25">
      <c r="AC150" s="49"/>
      <c r="AD150" s="48"/>
      <c r="AE150" s="49"/>
      <c r="AF150" s="49"/>
      <c r="AG150" s="57"/>
      <c r="AH150" s="57"/>
      <c r="AI150" s="49"/>
      <c r="AJ150" s="50" t="s">
        <v>31</v>
      </c>
      <c r="AL150" s="42">
        <v>15.28</v>
      </c>
    </row>
    <row r="151" spans="1:144" x14ac:dyDescent="0.25">
      <c r="AC151" s="49"/>
      <c r="AD151" s="48"/>
      <c r="AE151" s="49"/>
      <c r="AF151" s="49"/>
      <c r="AG151" s="57"/>
      <c r="AH151" s="57"/>
      <c r="AI151" s="49"/>
      <c r="AJ151" s="50" t="s">
        <v>33</v>
      </c>
      <c r="BA151" s="67"/>
    </row>
    <row r="152" spans="1:144" s="60" customFormat="1" x14ac:dyDescent="0.2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4"/>
      <c r="AC152" s="49"/>
      <c r="AD152" s="48"/>
      <c r="AE152" s="49"/>
      <c r="AF152" s="49"/>
      <c r="AG152" s="57"/>
      <c r="AH152" s="57"/>
      <c r="AI152" s="49"/>
      <c r="AJ152" s="50" t="s">
        <v>35</v>
      </c>
      <c r="AK152" s="42"/>
      <c r="AL152" s="67" t="s">
        <v>225</v>
      </c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68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/>
      <c r="BQ152" s="42"/>
      <c r="BR152" s="42"/>
      <c r="BS152" s="42"/>
      <c r="BT152" s="42"/>
      <c r="BU152" s="42"/>
      <c r="BV152" s="42"/>
      <c r="BW152" s="42"/>
      <c r="BX152" s="42"/>
      <c r="BY152" s="42"/>
      <c r="BZ152" s="42"/>
      <c r="CA152" s="42"/>
      <c r="CB152" s="42"/>
      <c r="CC152" s="42"/>
      <c r="CD152" s="42"/>
      <c r="CE152" s="42"/>
      <c r="CF152" s="42"/>
      <c r="CG152" s="42"/>
      <c r="CH152" s="42"/>
      <c r="CI152" s="42"/>
      <c r="CJ152" s="42"/>
      <c r="CK152" s="42"/>
      <c r="CL152" s="42"/>
      <c r="CM152" s="42"/>
      <c r="CN152" s="42"/>
      <c r="CO152" s="42"/>
      <c r="CP152" s="42"/>
      <c r="CQ152" s="42"/>
      <c r="CR152" s="42"/>
      <c r="CS152" s="42"/>
      <c r="CT152" s="42"/>
      <c r="CU152" s="42"/>
      <c r="CV152" s="42"/>
      <c r="CW152" s="42"/>
      <c r="CX152" s="42"/>
      <c r="CY152" s="42"/>
      <c r="CZ152" s="42"/>
      <c r="DA152" s="42"/>
      <c r="DB152" s="42"/>
      <c r="DC152" s="42"/>
      <c r="DD152" s="42"/>
      <c r="DE152" s="42"/>
      <c r="DF152" s="42"/>
      <c r="DG152" s="42"/>
      <c r="DH152" s="42"/>
      <c r="DI152" s="42"/>
      <c r="DJ152" s="42"/>
      <c r="DK152" s="42"/>
      <c r="DL152" s="42"/>
      <c r="DM152" s="42"/>
      <c r="DN152" s="42"/>
      <c r="DO152" s="42"/>
      <c r="DP152" s="42"/>
      <c r="DQ152" s="42"/>
      <c r="DR152" s="42"/>
      <c r="DS152" s="42"/>
      <c r="DT152" s="42"/>
      <c r="DU152" s="42"/>
      <c r="DV152" s="42"/>
      <c r="DW152" s="42"/>
      <c r="DX152" s="42"/>
      <c r="DY152" s="42"/>
      <c r="DZ152" s="42"/>
      <c r="EA152" s="42"/>
      <c r="EB152" s="42"/>
      <c r="EC152" s="42"/>
      <c r="ED152" s="42"/>
      <c r="EE152" s="42"/>
      <c r="EF152" s="42"/>
      <c r="EG152" s="42"/>
      <c r="EH152" s="42"/>
      <c r="EI152" s="42"/>
      <c r="EJ152" s="42"/>
      <c r="EK152" s="42"/>
      <c r="EL152" s="42"/>
      <c r="EM152" s="42"/>
      <c r="EN152" s="42"/>
    </row>
    <row r="153" spans="1:144" s="56" customFormat="1" x14ac:dyDescent="0.25">
      <c r="AB153" s="51"/>
      <c r="AC153" s="54"/>
      <c r="AD153" s="53"/>
      <c r="AE153" s="54"/>
      <c r="AF153" s="54"/>
      <c r="AG153" s="58"/>
      <c r="AH153" s="58"/>
      <c r="AI153" s="54"/>
      <c r="AJ153" s="55" t="s">
        <v>37</v>
      </c>
      <c r="BF153" s="69"/>
    </row>
    <row r="154" spans="1:144" x14ac:dyDescent="0.25">
      <c r="A154" s="68"/>
      <c r="AB154" s="42"/>
      <c r="AC154" s="42"/>
      <c r="AD154" s="45" t="s">
        <v>300</v>
      </c>
      <c r="AE154" s="42">
        <f>SUM(AE4:AE153)</f>
        <v>30</v>
      </c>
      <c r="BF154" s="42"/>
    </row>
    <row r="155" spans="1:144" x14ac:dyDescent="0.25">
      <c r="A155" s="68"/>
      <c r="AB155" s="42"/>
      <c r="AC155" s="42"/>
      <c r="AD155" s="42"/>
      <c r="BF155" s="42"/>
    </row>
    <row r="156" spans="1:144" x14ac:dyDescent="0.25">
      <c r="A156" s="68"/>
      <c r="AB156" s="42"/>
      <c r="AC156" s="42"/>
      <c r="AD156" s="42"/>
      <c r="BF156" s="42"/>
    </row>
    <row r="157" spans="1:144" s="60" customFormat="1" x14ac:dyDescent="0.25">
      <c r="A157" s="68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  <c r="BZ157" s="42"/>
      <c r="CA157" s="42"/>
      <c r="CB157" s="42"/>
      <c r="CC157" s="42"/>
      <c r="CD157" s="42"/>
      <c r="CE157" s="42"/>
      <c r="CF157" s="42"/>
      <c r="CG157" s="42"/>
      <c r="CH157" s="42"/>
      <c r="CI157" s="42"/>
    </row>
    <row r="158" spans="1:144" x14ac:dyDescent="0.25">
      <c r="A158" s="68"/>
      <c r="AB158" s="42"/>
      <c r="AC158" s="42"/>
      <c r="AD158" s="42"/>
      <c r="BF158" s="42"/>
    </row>
    <row r="159" spans="1:144" x14ac:dyDescent="0.25">
      <c r="A159" s="68"/>
      <c r="AB159" s="42"/>
      <c r="AC159" s="42"/>
      <c r="AD159" s="42"/>
      <c r="BF159" s="42"/>
    </row>
    <row r="160" spans="1:144" x14ac:dyDescent="0.25">
      <c r="A160" s="68"/>
      <c r="AB160" s="42"/>
      <c r="AC160" s="42"/>
      <c r="AD160" s="42"/>
      <c r="BF160" s="42"/>
    </row>
    <row r="161" spans="1:87" x14ac:dyDescent="0.25">
      <c r="A161" s="68"/>
      <c r="AB161" s="42"/>
      <c r="AC161" s="42"/>
      <c r="AD161" s="42"/>
      <c r="BF161" s="42"/>
    </row>
    <row r="162" spans="1:87" s="60" customFormat="1" x14ac:dyDescent="0.25">
      <c r="A162" s="68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  <c r="BS162" s="42"/>
      <c r="BT162" s="42"/>
      <c r="BU162" s="42"/>
      <c r="BV162" s="42"/>
      <c r="BW162" s="42"/>
      <c r="BX162" s="42"/>
      <c r="BY162" s="42"/>
      <c r="BZ162" s="42"/>
      <c r="CA162" s="42"/>
      <c r="CB162" s="42"/>
      <c r="CC162" s="42"/>
      <c r="CD162" s="42"/>
      <c r="CE162" s="42"/>
      <c r="CF162" s="42"/>
      <c r="CG162" s="42"/>
      <c r="CH162" s="42"/>
      <c r="CI162" s="42"/>
    </row>
    <row r="163" spans="1:87" x14ac:dyDescent="0.25">
      <c r="A163" s="68"/>
      <c r="AB163" s="42"/>
      <c r="AC163" s="42"/>
      <c r="AD163" s="42"/>
      <c r="BF163" s="42"/>
    </row>
    <row r="164" spans="1:87" x14ac:dyDescent="0.25">
      <c r="A164" s="68"/>
      <c r="AB164" s="42"/>
      <c r="AC164" s="42"/>
      <c r="AD164" s="42"/>
      <c r="BF164" s="42"/>
    </row>
    <row r="165" spans="1:87" x14ac:dyDescent="0.25">
      <c r="A165" s="68"/>
      <c r="AB165" s="42"/>
      <c r="AC165" s="42"/>
      <c r="AD165" s="42"/>
      <c r="BF165" s="42"/>
    </row>
    <row r="166" spans="1:87" x14ac:dyDescent="0.25">
      <c r="A166" s="68"/>
      <c r="AB166" s="42"/>
      <c r="AC166" s="42"/>
      <c r="AD166" s="42"/>
      <c r="BF166" s="42"/>
    </row>
    <row r="167" spans="1:87" s="60" customFormat="1" x14ac:dyDescent="0.25">
      <c r="A167" s="68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2"/>
      <c r="BT167" s="42"/>
      <c r="BU167" s="42"/>
      <c r="BV167" s="42"/>
      <c r="BW167" s="42"/>
      <c r="BX167" s="42"/>
      <c r="BY167" s="42"/>
      <c r="BZ167" s="42"/>
      <c r="CA167" s="42"/>
      <c r="CB167" s="42"/>
      <c r="CC167" s="42"/>
      <c r="CD167" s="42"/>
      <c r="CE167" s="42"/>
      <c r="CF167" s="42"/>
      <c r="CG167" s="42"/>
      <c r="CH167" s="42"/>
      <c r="CI167" s="42"/>
    </row>
    <row r="168" spans="1:87" x14ac:dyDescent="0.25">
      <c r="A168" s="68"/>
      <c r="AB168" s="42"/>
      <c r="AC168" s="42"/>
      <c r="AD168" s="42"/>
      <c r="BF168" s="42"/>
    </row>
    <row r="169" spans="1:87" x14ac:dyDescent="0.25">
      <c r="A169" s="68"/>
      <c r="AB169" s="42"/>
      <c r="AC169" s="42"/>
      <c r="AD169" s="42"/>
      <c r="BF169" s="42"/>
    </row>
    <row r="170" spans="1:87" x14ac:dyDescent="0.25">
      <c r="A170" s="68"/>
      <c r="AB170" s="42"/>
      <c r="AC170" s="42"/>
      <c r="AD170" s="42"/>
      <c r="BF170" s="42"/>
    </row>
    <row r="171" spans="1:87" x14ac:dyDescent="0.25">
      <c r="A171" s="68"/>
      <c r="AB171" s="42"/>
      <c r="AC171" s="42"/>
      <c r="AD171" s="42"/>
      <c r="BF171" s="42"/>
    </row>
    <row r="172" spans="1:87" s="60" customFormat="1" x14ac:dyDescent="0.25">
      <c r="A172" s="68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/>
      <c r="BQ172" s="42"/>
      <c r="BR172" s="42"/>
      <c r="BS172" s="42"/>
      <c r="BT172" s="42"/>
      <c r="BU172" s="42"/>
      <c r="BV172" s="42"/>
      <c r="BW172" s="42"/>
      <c r="BX172" s="42"/>
      <c r="BY172" s="42"/>
      <c r="BZ172" s="42"/>
      <c r="CA172" s="42"/>
      <c r="CB172" s="42"/>
      <c r="CC172" s="42"/>
      <c r="CD172" s="42"/>
      <c r="CE172" s="42"/>
      <c r="CF172" s="42"/>
      <c r="CG172" s="42"/>
      <c r="CH172" s="42"/>
      <c r="CI172" s="42"/>
    </row>
    <row r="173" spans="1:87" x14ac:dyDescent="0.25">
      <c r="A173" s="68"/>
      <c r="AB173" s="42"/>
      <c r="AC173" s="42"/>
      <c r="AD173" s="42"/>
      <c r="BF173" s="42"/>
    </row>
    <row r="174" spans="1:87" x14ac:dyDescent="0.25">
      <c r="A174" s="68"/>
      <c r="AB174" s="42"/>
      <c r="AC174" s="42"/>
      <c r="AD174" s="42"/>
      <c r="BF174" s="42"/>
    </row>
    <row r="175" spans="1:87" x14ac:dyDescent="0.25">
      <c r="A175" s="68"/>
      <c r="AB175" s="42"/>
      <c r="AC175" s="42"/>
      <c r="AD175" s="42"/>
      <c r="BF175" s="42"/>
    </row>
    <row r="176" spans="1:87" x14ac:dyDescent="0.25">
      <c r="A176" s="68"/>
      <c r="AB176" s="42"/>
      <c r="AC176" s="42"/>
      <c r="AD176" s="42"/>
      <c r="BF176" s="42"/>
    </row>
    <row r="177" spans="1:87" s="60" customFormat="1" x14ac:dyDescent="0.25">
      <c r="A177" s="68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  <c r="BO177" s="42"/>
      <c r="BP177" s="42"/>
      <c r="BQ177" s="42"/>
      <c r="BR177" s="42"/>
      <c r="BS177" s="42"/>
      <c r="BT177" s="42"/>
      <c r="BU177" s="42"/>
      <c r="BV177" s="42"/>
      <c r="BW177" s="42"/>
      <c r="BX177" s="42"/>
      <c r="BY177" s="42"/>
      <c r="BZ177" s="42"/>
      <c r="CA177" s="42"/>
      <c r="CB177" s="42"/>
      <c r="CC177" s="42"/>
      <c r="CD177" s="42"/>
      <c r="CE177" s="42"/>
      <c r="CF177" s="42"/>
      <c r="CG177" s="42"/>
      <c r="CH177" s="42"/>
      <c r="CI177" s="42"/>
    </row>
    <row r="178" spans="1:87" x14ac:dyDescent="0.25">
      <c r="A178" s="68"/>
      <c r="AB178" s="42"/>
      <c r="AC178" s="42"/>
      <c r="AD178" s="42"/>
      <c r="BF178" s="42"/>
    </row>
    <row r="179" spans="1:87" x14ac:dyDescent="0.25">
      <c r="A179" s="68"/>
      <c r="AB179" s="42"/>
      <c r="AC179" s="42"/>
      <c r="AD179" s="42"/>
      <c r="BF179" s="42"/>
    </row>
    <row r="180" spans="1:87" x14ac:dyDescent="0.25">
      <c r="A180" s="68"/>
      <c r="AB180" s="42"/>
      <c r="AC180" s="42"/>
      <c r="AD180" s="42"/>
      <c r="BF180" s="42"/>
    </row>
    <row r="181" spans="1:87" x14ac:dyDescent="0.25">
      <c r="A181" s="68"/>
      <c r="AB181" s="42"/>
      <c r="AC181" s="42"/>
      <c r="AD181" s="42"/>
      <c r="BF181" s="42"/>
    </row>
    <row r="182" spans="1:87" s="60" customFormat="1" x14ac:dyDescent="0.25">
      <c r="A182" s="68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/>
      <c r="BQ182" s="42"/>
      <c r="BR182" s="42"/>
      <c r="BS182" s="42"/>
      <c r="BT182" s="42"/>
      <c r="BU182" s="42"/>
      <c r="BV182" s="42"/>
      <c r="BW182" s="42"/>
      <c r="BX182" s="42"/>
      <c r="BY182" s="42"/>
      <c r="BZ182" s="42"/>
      <c r="CA182" s="42"/>
      <c r="CB182" s="42"/>
      <c r="CC182" s="42"/>
      <c r="CD182" s="42"/>
      <c r="CE182" s="42"/>
      <c r="CF182" s="42"/>
      <c r="CG182" s="42"/>
      <c r="CH182" s="42"/>
      <c r="CI182" s="42"/>
    </row>
    <row r="183" spans="1:87" x14ac:dyDescent="0.25">
      <c r="A183" s="68"/>
      <c r="AB183" s="42"/>
      <c r="AC183" s="42"/>
      <c r="AD183" s="42"/>
      <c r="BF183" s="42"/>
    </row>
    <row r="184" spans="1:87" x14ac:dyDescent="0.25">
      <c r="A184" s="68"/>
      <c r="AB184" s="42"/>
      <c r="AC184" s="42"/>
      <c r="AD184" s="42"/>
      <c r="BF184" s="42"/>
    </row>
    <row r="185" spans="1:87" x14ac:dyDescent="0.25">
      <c r="A185" s="68"/>
      <c r="AB185" s="42"/>
      <c r="AC185" s="42"/>
      <c r="AD185" s="42"/>
      <c r="BF185" s="42"/>
    </row>
    <row r="186" spans="1:87" x14ac:dyDescent="0.25">
      <c r="A186" s="68"/>
      <c r="AB186" s="42"/>
      <c r="AC186" s="42"/>
      <c r="AD186" s="42"/>
      <c r="BF186" s="42"/>
    </row>
    <row r="187" spans="1:87" s="60" customFormat="1" x14ac:dyDescent="0.25">
      <c r="A187" s="68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/>
      <c r="BQ187" s="42"/>
      <c r="BR187" s="42"/>
      <c r="BS187" s="42"/>
      <c r="BT187" s="42"/>
      <c r="BU187" s="42"/>
      <c r="BV187" s="42"/>
      <c r="BW187" s="42"/>
      <c r="BX187" s="42"/>
      <c r="BY187" s="42"/>
      <c r="BZ187" s="42"/>
      <c r="CA187" s="42"/>
      <c r="CB187" s="42"/>
      <c r="CC187" s="42"/>
      <c r="CD187" s="42"/>
      <c r="CE187" s="42"/>
      <c r="CF187" s="42"/>
      <c r="CG187" s="42"/>
      <c r="CH187" s="42"/>
      <c r="CI187" s="42"/>
    </row>
    <row r="188" spans="1:87" x14ac:dyDescent="0.25">
      <c r="A188" s="68"/>
      <c r="AB188" s="42"/>
      <c r="AC188" s="42"/>
      <c r="AD188" s="42"/>
      <c r="BF188" s="42"/>
    </row>
    <row r="189" spans="1:87" x14ac:dyDescent="0.25">
      <c r="A189" s="68"/>
      <c r="AB189" s="42"/>
      <c r="AC189" s="42"/>
      <c r="AD189" s="42"/>
      <c r="BF189" s="42"/>
    </row>
    <row r="190" spans="1:87" x14ac:dyDescent="0.25">
      <c r="A190" s="68"/>
      <c r="AB190" s="42"/>
      <c r="AC190" s="42"/>
      <c r="AD190" s="42"/>
      <c r="BF190" s="42"/>
    </row>
    <row r="191" spans="1:87" x14ac:dyDescent="0.25">
      <c r="A191" s="68"/>
      <c r="AB191" s="42"/>
      <c r="AC191" s="42"/>
      <c r="AD191" s="42"/>
      <c r="BF191" s="42"/>
    </row>
    <row r="192" spans="1:87" s="60" customFormat="1" x14ac:dyDescent="0.25">
      <c r="A192" s="68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/>
      <c r="BQ192" s="42"/>
      <c r="BR192" s="42"/>
      <c r="BS192" s="42"/>
      <c r="BT192" s="42"/>
      <c r="BU192" s="42"/>
      <c r="BV192" s="42"/>
      <c r="BW192" s="42"/>
      <c r="BX192" s="42"/>
      <c r="BY192" s="42"/>
      <c r="BZ192" s="42"/>
      <c r="CA192" s="42"/>
      <c r="CB192" s="42"/>
      <c r="CC192" s="42"/>
      <c r="CD192" s="42"/>
      <c r="CE192" s="42"/>
      <c r="CF192" s="42"/>
      <c r="CG192" s="42"/>
      <c r="CH192" s="42"/>
      <c r="CI192" s="42"/>
    </row>
    <row r="193" spans="1:87" x14ac:dyDescent="0.25">
      <c r="A193" s="68"/>
      <c r="AB193" s="42"/>
      <c r="AC193" s="42"/>
      <c r="AD193" s="42"/>
      <c r="BF193" s="42"/>
    </row>
    <row r="194" spans="1:87" x14ac:dyDescent="0.25">
      <c r="A194" s="68"/>
      <c r="AB194" s="42"/>
      <c r="AC194" s="42"/>
      <c r="AD194" s="42"/>
      <c r="BF194" s="42"/>
    </row>
    <row r="195" spans="1:87" x14ac:dyDescent="0.25">
      <c r="A195" s="68"/>
      <c r="AB195" s="42"/>
      <c r="AC195" s="42"/>
      <c r="AD195" s="42"/>
      <c r="BF195" s="42"/>
    </row>
    <row r="196" spans="1:87" x14ac:dyDescent="0.25">
      <c r="A196" s="68"/>
      <c r="AB196" s="42"/>
      <c r="AC196" s="42"/>
      <c r="AD196" s="42"/>
      <c r="BF196" s="42"/>
    </row>
    <row r="197" spans="1:87" s="60" customFormat="1" x14ac:dyDescent="0.25">
      <c r="A197" s="68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  <c r="BO197" s="42"/>
      <c r="BP197" s="42"/>
      <c r="BQ197" s="42"/>
      <c r="BR197" s="42"/>
      <c r="BS197" s="42"/>
      <c r="BT197" s="42"/>
      <c r="BU197" s="42"/>
      <c r="BV197" s="42"/>
      <c r="BW197" s="42"/>
      <c r="BX197" s="42"/>
      <c r="BY197" s="42"/>
      <c r="BZ197" s="42"/>
      <c r="CA197" s="42"/>
      <c r="CB197" s="42"/>
      <c r="CC197" s="42"/>
      <c r="CD197" s="42"/>
      <c r="CE197" s="42"/>
      <c r="CF197" s="42"/>
      <c r="CG197" s="42"/>
      <c r="CH197" s="42"/>
      <c r="CI197" s="42"/>
    </row>
    <row r="198" spans="1:87" x14ac:dyDescent="0.25">
      <c r="A198" s="68"/>
      <c r="AB198" s="42"/>
      <c r="AC198" s="42"/>
      <c r="AD198" s="42"/>
      <c r="BF198" s="42"/>
    </row>
    <row r="199" spans="1:87" x14ac:dyDescent="0.25">
      <c r="A199" s="68"/>
      <c r="AB199" s="42"/>
      <c r="AC199" s="42"/>
      <c r="AD199" s="42"/>
      <c r="BF199" s="42"/>
    </row>
    <row r="200" spans="1:87" x14ac:dyDescent="0.25">
      <c r="A200" s="68"/>
      <c r="AB200" s="42"/>
      <c r="AC200" s="42"/>
      <c r="AD200" s="42"/>
      <c r="BF200" s="42"/>
    </row>
    <row r="201" spans="1:87" x14ac:dyDescent="0.25">
      <c r="A201" s="68"/>
      <c r="AB201" s="42"/>
      <c r="AC201" s="42"/>
      <c r="AD201" s="42"/>
      <c r="BF201" s="42"/>
    </row>
    <row r="202" spans="1:87" s="60" customFormat="1" x14ac:dyDescent="0.25">
      <c r="A202" s="68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2"/>
      <c r="BP202" s="42"/>
      <c r="BQ202" s="42"/>
      <c r="BR202" s="42"/>
      <c r="BS202" s="42"/>
      <c r="BT202" s="42"/>
      <c r="BU202" s="42"/>
      <c r="BV202" s="42"/>
      <c r="BW202" s="42"/>
      <c r="BX202" s="42"/>
      <c r="BY202" s="42"/>
      <c r="BZ202" s="42"/>
      <c r="CA202" s="42"/>
      <c r="CB202" s="42"/>
      <c r="CC202" s="42"/>
      <c r="CD202" s="42"/>
      <c r="CE202" s="42"/>
      <c r="CF202" s="42"/>
      <c r="CG202" s="42"/>
      <c r="CH202" s="42"/>
      <c r="CI202" s="42"/>
    </row>
    <row r="203" spans="1:87" x14ac:dyDescent="0.25">
      <c r="A203" s="68"/>
      <c r="AB203" s="42"/>
      <c r="AC203" s="42"/>
      <c r="AD203" s="42"/>
      <c r="BF203" s="42"/>
    </row>
    <row r="204" spans="1:87" x14ac:dyDescent="0.25">
      <c r="A204" s="68"/>
      <c r="AB204" s="42"/>
      <c r="AC204" s="42"/>
      <c r="AD204" s="42"/>
      <c r="BF204" s="42"/>
    </row>
    <row r="205" spans="1:87" x14ac:dyDescent="0.25">
      <c r="A205" s="68"/>
      <c r="AB205" s="42"/>
      <c r="AC205" s="42"/>
      <c r="AD205" s="42"/>
      <c r="BF205" s="42"/>
    </row>
    <row r="206" spans="1:87" x14ac:dyDescent="0.25">
      <c r="A206" s="68"/>
      <c r="AB206" s="42"/>
      <c r="AC206" s="42"/>
      <c r="AD206" s="42"/>
      <c r="BF206" s="42"/>
    </row>
    <row r="207" spans="1:87" s="60" customFormat="1" x14ac:dyDescent="0.25">
      <c r="A207" s="68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  <c r="BO207" s="42"/>
      <c r="BP207" s="42"/>
      <c r="BQ207" s="42"/>
      <c r="BR207" s="42"/>
      <c r="BS207" s="42"/>
      <c r="BT207" s="42"/>
      <c r="BU207" s="42"/>
      <c r="BV207" s="42"/>
      <c r="BW207" s="42"/>
      <c r="BX207" s="42"/>
      <c r="BY207" s="42"/>
      <c r="BZ207" s="42"/>
      <c r="CA207" s="42"/>
      <c r="CB207" s="42"/>
      <c r="CC207" s="42"/>
      <c r="CD207" s="42"/>
      <c r="CE207" s="42"/>
      <c r="CF207" s="42"/>
      <c r="CG207" s="42"/>
      <c r="CH207" s="42"/>
      <c r="CI207" s="42"/>
    </row>
    <row r="210" spans="33:33" x14ac:dyDescent="0.25">
      <c r="AG210" s="56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464C67F55D9469153CA4F6C7A86AF" ma:contentTypeVersion="15" ma:contentTypeDescription="Create a new document." ma:contentTypeScope="" ma:versionID="c5a596b8a593829f6c9bbf5a42ab7612">
  <xsd:schema xmlns:xsd="http://www.w3.org/2001/XMLSchema" xmlns:xs="http://www.w3.org/2001/XMLSchema" xmlns:p="http://schemas.microsoft.com/office/2006/metadata/properties" xmlns:ns2="a970d4f9-ceff-49e0-9737-6f3177b72e97" xmlns:ns3="447822c5-58ca-4317-956e-53916928e1bf" targetNamespace="http://schemas.microsoft.com/office/2006/metadata/properties" ma:root="true" ma:fieldsID="cd2408e2e6ca576d874c67f4f968d5f6" ns2:_="" ns3:_="">
    <xsd:import namespace="a970d4f9-ceff-49e0-9737-6f3177b72e97"/>
    <xsd:import namespace="447822c5-58ca-4317-956e-53916928e1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0d4f9-ceff-49e0-9737-6f3177b72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274f21-2a41-4932-89b8-31fbb6ed8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822c5-58ca-4317-956e-53916928e1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725dae-5028-4db0-a96d-9106babbafc4}" ma:internalName="TaxCatchAll" ma:showField="CatchAllData" ma:web="447822c5-58ca-4317-956e-53916928e1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70d4f9-ceff-49e0-9737-6f3177b72e97">
      <Terms xmlns="http://schemas.microsoft.com/office/infopath/2007/PartnerControls"/>
    </lcf76f155ced4ddcb4097134ff3c332f>
    <TaxCatchAll xmlns="447822c5-58ca-4317-956e-53916928e1bf" xsi:nil="true"/>
  </documentManagement>
</p:properties>
</file>

<file path=customXml/itemProps1.xml><?xml version="1.0" encoding="utf-8"?>
<ds:datastoreItem xmlns:ds="http://schemas.openxmlformats.org/officeDocument/2006/customXml" ds:itemID="{27636D76-E09C-4B93-A0A0-6212A1CD54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A03018-7003-4FA3-AC15-34A5A3260C5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D4C730F-AE77-4525-A44A-C96B0124D8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70d4f9-ceff-49e0-9737-6f3177b72e97"/>
    <ds:schemaRef ds:uri="447822c5-58ca-4317-956e-53916928e1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E8B16B7-2B9A-4C67-A2B1-D377944F19EC}">
  <ds:schemaRefs>
    <ds:schemaRef ds:uri="85eba69d-5e87-4f09-91e3-cfeb30fb8637"/>
    <ds:schemaRef ds:uri="http://purl.org/dc/dcmitype/"/>
    <ds:schemaRef ds:uri="82a188ee-a0bb-45d1-96e0-1709e31b7085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a970d4f9-ceff-49e0-9737-6f3177b72e97"/>
    <ds:schemaRef ds:uri="447822c5-58ca-4317-956e-53916928e1bf"/>
  </ds:schemaRefs>
</ds:datastoreItem>
</file>

<file path=docMetadata/LabelInfo.xml><?xml version="1.0" encoding="utf-8"?>
<clbl:labelList xmlns:clbl="http://schemas.microsoft.com/office/2020/mipLabelMetadata">
  <clbl:label id="{17be4c33-8c18-4c61-b608-3d1cc608b701}" enabled="0" method="" siteId="{17be4c33-8c18-4c61-b608-3d1cc608b7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2026-04-24_June</vt:lpstr>
      <vt:lpstr>Templat_work sheet</vt:lpstr>
      <vt:lpstr>Template_Raw data</vt:lpstr>
      <vt:lpstr>Template_Raw data V.2</vt:lpstr>
      <vt:lpstr>Stage</vt:lpstr>
      <vt:lpstr>Control1</vt:lpstr>
      <vt:lpstr>Matadata1</vt:lpstr>
      <vt:lpstr>RawData1</vt:lpstr>
      <vt:lpstr>QControl_1</vt:lpstr>
      <vt:lpstr>RawData2</vt:lpstr>
      <vt:lpstr>1)2026-04-24_June(Control)</vt:lpstr>
      <vt:lpstr>Clone_small molecule</vt:lpstr>
      <vt:lpstr>2) 2026-04-29_Jan(RK701)</vt:lpstr>
      <vt:lpstr>2)2026-04-29_June(RK-701)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Yanika PIYASANTI</dc:creator>
  <cp:keywords/>
  <dc:description/>
  <cp:lastModifiedBy>Suparat CHAIPIPAT</cp:lastModifiedBy>
  <cp:revision/>
  <dcterms:created xsi:type="dcterms:W3CDTF">2026-04-21T10:16:49Z</dcterms:created>
  <dcterms:modified xsi:type="dcterms:W3CDTF">2026-08-19T07:47:41Z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0x0101000B5464C67F55D9469153CA4F6C7A86AF</vt:lpwstr>
  </property>
  <property fmtid="{D5CDD505-2E9C-101B-9397-08002B2CF9AE}" pid="3" name="Order">
    <vt:r8>2272100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