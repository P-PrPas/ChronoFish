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uvacb.sharepoint.com/sites/Zebrafishcloningservices/Shared Documents/Cloning/Analysis/"/>
    </mc:Choice>
  </mc:AlternateContent>
  <xr:revisionPtr revIDLastSave="1897" documentId="11_79C1026D3419803B86AC12ED7D4AA644DC020E9C" xr6:coauthVersionLast="47" xr6:coauthVersionMax="47" xr10:uidLastSave="{7515FF6D-1B2C-463B-AD6D-30B924EEB87A}"/>
  <bookViews>
    <workbookView xWindow="-120" yWindow="-120" windowWidth="29040" windowHeight="15720" firstSheet="6" activeTab="6" xr2:uid="{388A6A53-D81C-426F-923B-68CEBC455938}"/>
    <workbookView xWindow="-120" yWindow="-120" windowWidth="29040" windowHeight="15720" firstSheet="4" activeTab="7" xr2:uid="{EEBA10DE-640A-4867-BCCA-782B719B3340}"/>
    <workbookView xWindow="-120" yWindow="-120" windowWidth="29040" windowHeight="15720" firstSheet="5" activeTab="5" xr2:uid="{004DE040-F020-43CF-A154-B6CB789C76BD}"/>
  </bookViews>
  <sheets>
    <sheet name="KU_raw" sheetId="3" r:id="rId1"/>
    <sheet name="KU_Pivot" sheetId="6" r:id="rId2"/>
    <sheet name="KU_Sum" sheetId="4" r:id="rId3"/>
    <sheet name="KU_Clone" sheetId="5" r:id="rId4"/>
    <sheet name="KU_clean" sheetId="8" r:id="rId5"/>
    <sheet name="MSU_clean" sheetId="13" r:id="rId6"/>
    <sheet name="MSU_raw" sheetId="10" r:id="rId7"/>
    <sheet name="MSU_Pivot" sheetId="18" r:id="rId8"/>
    <sheet name="MSU_NHGRI" sheetId="9" r:id="rId9"/>
    <sheet name="MSU_TU" sheetId="11" r:id="rId10"/>
    <sheet name="MSU_AB" sheetId="17" r:id="rId11"/>
  </sheets>
  <externalReferences>
    <externalReference r:id="rId12"/>
  </externalReferences>
  <definedNames>
    <definedName name="_xlnm._FilterDatabase" localSheetId="3" hidden="1">KU_Clone!$G$1:$Q$48</definedName>
    <definedName name="_xlnm._FilterDatabase" localSheetId="0" hidden="1">KU_raw!$A$1:$BG$412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10" l="1"/>
  <c r="AE15" i="10"/>
  <c r="AE16" i="10"/>
  <c r="AE17" i="10"/>
  <c r="AE18" i="10"/>
  <c r="I14" i="10"/>
  <c r="I15" i="10"/>
  <c r="I16" i="10"/>
  <c r="I17" i="10"/>
  <c r="I18" i="10"/>
  <c r="D14" i="10"/>
  <c r="D15" i="10"/>
  <c r="D16" i="10"/>
  <c r="D17" i="10"/>
  <c r="D18" i="10"/>
  <c r="AE9" i="10"/>
  <c r="AE10" i="10"/>
  <c r="AE11" i="10"/>
  <c r="AE12" i="10"/>
  <c r="AE13" i="10"/>
  <c r="I9" i="10"/>
  <c r="I10" i="10"/>
  <c r="I11" i="10"/>
  <c r="I12" i="10"/>
  <c r="I13" i="10"/>
  <c r="AD14" i="17"/>
  <c r="W14" i="17"/>
  <c r="B14" i="17"/>
  <c r="D3" i="10"/>
  <c r="D4" i="10"/>
  <c r="D5" i="10"/>
  <c r="D6" i="10"/>
  <c r="D7" i="10"/>
  <c r="D8" i="10"/>
  <c r="D9" i="10"/>
  <c r="D10" i="10"/>
  <c r="D11" i="10"/>
  <c r="D12" i="10"/>
  <c r="D13" i="10"/>
  <c r="D2" i="10"/>
  <c r="AE3" i="10"/>
  <c r="AE4" i="10"/>
  <c r="AE5" i="10"/>
  <c r="AE6" i="10"/>
  <c r="AE7" i="10"/>
  <c r="AE8" i="10"/>
  <c r="AE2" i="10"/>
  <c r="I3" i="10"/>
  <c r="I4" i="10"/>
  <c r="I5" i="10"/>
  <c r="I6" i="10"/>
  <c r="I7" i="10"/>
  <c r="I8" i="10"/>
  <c r="I2" i="10"/>
  <c r="W15" i="11"/>
  <c r="AD15" i="11" s="1"/>
  <c r="B15" i="11"/>
  <c r="W18" i="9"/>
  <c r="AD18" i="9" s="1"/>
  <c r="B18" i="9"/>
  <c r="BD20" i="3" l="1"/>
  <c r="AT411" i="3"/>
  <c r="AS411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AU404" i="3"/>
  <c r="AU405" i="3"/>
  <c r="AU406" i="3"/>
  <c r="AU407" i="3"/>
  <c r="AU408" i="3"/>
  <c r="AU409" i="3"/>
  <c r="AU410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378" i="3"/>
  <c r="AU379" i="3"/>
  <c r="AU380" i="3"/>
  <c r="AU381" i="3"/>
  <c r="AU382" i="3"/>
  <c r="AU383" i="3"/>
  <c r="AU384" i="3"/>
  <c r="AU385" i="3"/>
  <c r="AU386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57" i="3"/>
  <c r="AU358" i="3"/>
  <c r="AU359" i="3"/>
  <c r="AU360" i="3"/>
  <c r="AU361" i="3"/>
  <c r="AU362" i="3"/>
  <c r="AU346" i="3"/>
  <c r="AU347" i="3"/>
  <c r="AU348" i="3"/>
  <c r="AU349" i="3"/>
  <c r="AU350" i="3"/>
  <c r="AU351" i="3"/>
  <c r="AU352" i="3"/>
  <c r="AU353" i="3"/>
  <c r="AU354" i="3"/>
  <c r="AU355" i="3"/>
  <c r="AU356" i="3"/>
  <c r="AU335" i="3"/>
  <c r="AU336" i="3"/>
  <c r="AU337" i="3"/>
  <c r="AU338" i="3"/>
  <c r="AU339" i="3"/>
  <c r="AU340" i="3"/>
  <c r="AU341" i="3"/>
  <c r="AU342" i="3"/>
  <c r="AU343" i="3"/>
  <c r="AU344" i="3"/>
  <c r="AU345" i="3"/>
  <c r="AU324" i="3"/>
  <c r="AU325" i="3"/>
  <c r="AU326" i="3"/>
  <c r="AU327" i="3"/>
  <c r="AU328" i="3"/>
  <c r="AU329" i="3"/>
  <c r="AU330" i="3"/>
  <c r="AU331" i="3"/>
  <c r="AU332" i="3"/>
  <c r="AU333" i="3"/>
  <c r="AU334" i="3"/>
  <c r="AU314" i="3"/>
  <c r="AU315" i="3"/>
  <c r="AU316" i="3"/>
  <c r="AU317" i="3"/>
  <c r="AU318" i="3"/>
  <c r="AU319" i="3"/>
  <c r="AU320" i="3"/>
  <c r="AU321" i="3"/>
  <c r="AU322" i="3"/>
  <c r="AU323" i="3"/>
  <c r="AU310" i="3"/>
  <c r="AU311" i="3"/>
  <c r="AU312" i="3"/>
  <c r="AU313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288" i="3"/>
  <c r="AU289" i="3"/>
  <c r="AU290" i="3"/>
  <c r="AU291" i="3"/>
  <c r="AU292" i="3"/>
  <c r="AU293" i="3"/>
  <c r="AU294" i="3"/>
  <c r="AU295" i="3"/>
  <c r="AU296" i="3"/>
  <c r="AU297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67" i="3"/>
  <c r="AU268" i="3"/>
  <c r="AU269" i="3"/>
  <c r="AU270" i="3"/>
  <c r="AU271" i="3"/>
  <c r="AU272" i="3"/>
  <c r="AU273" i="3"/>
  <c r="AU274" i="3"/>
  <c r="AU275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27" i="3"/>
  <c r="AU228" i="3"/>
  <c r="AU229" i="3"/>
  <c r="AU230" i="3"/>
  <c r="AU231" i="3"/>
  <c r="AU232" i="3"/>
  <c r="AU233" i="3"/>
  <c r="AU234" i="3"/>
  <c r="AU235" i="3"/>
  <c r="AU236" i="3"/>
  <c r="AU237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08" i="3"/>
  <c r="AU209" i="3"/>
  <c r="AU210" i="3"/>
  <c r="AU211" i="3"/>
  <c r="AU212" i="3"/>
  <c r="AU213" i="3"/>
  <c r="AU202" i="3"/>
  <c r="AU203" i="3"/>
  <c r="AU204" i="3"/>
  <c r="AU205" i="3"/>
  <c r="AU206" i="3"/>
  <c r="AU207" i="3"/>
  <c r="AU194" i="3"/>
  <c r="AU195" i="3"/>
  <c r="AU196" i="3"/>
  <c r="AU197" i="3"/>
  <c r="AU198" i="3"/>
  <c r="AU199" i="3"/>
  <c r="AU200" i="3"/>
  <c r="AU201" i="3"/>
  <c r="AU183" i="3"/>
  <c r="AU184" i="3"/>
  <c r="AU185" i="3"/>
  <c r="AU186" i="3"/>
  <c r="AU187" i="3"/>
  <c r="AU188" i="3"/>
  <c r="AU189" i="3"/>
  <c r="AU190" i="3"/>
  <c r="AU191" i="3"/>
  <c r="AU192" i="3"/>
  <c r="AU193" i="3"/>
  <c r="AU179" i="3"/>
  <c r="AU180" i="3"/>
  <c r="AU181" i="3"/>
  <c r="AU182" i="3"/>
  <c r="AU172" i="3"/>
  <c r="AU173" i="3"/>
  <c r="AU174" i="3"/>
  <c r="AU175" i="3"/>
  <c r="AU176" i="3"/>
  <c r="AU177" i="3"/>
  <c r="AU178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48" i="3"/>
  <c r="AU149" i="3"/>
  <c r="AU150" i="3"/>
  <c r="AU151" i="3"/>
  <c r="AU152" i="3"/>
  <c r="AU153" i="3"/>
  <c r="AU154" i="3"/>
  <c r="AU155" i="3"/>
  <c r="AU156" i="3"/>
  <c r="AU143" i="3"/>
  <c r="AU144" i="3"/>
  <c r="AU145" i="3"/>
  <c r="AU146" i="3"/>
  <c r="AU147" i="3"/>
  <c r="AU140" i="3"/>
  <c r="AU141" i="3"/>
  <c r="AU142" i="3"/>
  <c r="AU130" i="3"/>
  <c r="AU131" i="3"/>
  <c r="AU132" i="3"/>
  <c r="AU133" i="3"/>
  <c r="AU134" i="3"/>
  <c r="AU135" i="3"/>
  <c r="AU136" i="3"/>
  <c r="AU137" i="3"/>
  <c r="AU138" i="3"/>
  <c r="AU139" i="3"/>
  <c r="AU129" i="3"/>
  <c r="AU123" i="3"/>
  <c r="AU124" i="3"/>
  <c r="AU125" i="3"/>
  <c r="AU126" i="3"/>
  <c r="AU127" i="3"/>
  <c r="AU117" i="3"/>
  <c r="AU118" i="3"/>
  <c r="AU119" i="3"/>
  <c r="AU120" i="3"/>
  <c r="AU121" i="3"/>
  <c r="AU122" i="3"/>
  <c r="AU107" i="3"/>
  <c r="AU108" i="3"/>
  <c r="AU109" i="3"/>
  <c r="AU110" i="3"/>
  <c r="AU111" i="3"/>
  <c r="AU112" i="3"/>
  <c r="AU113" i="3"/>
  <c r="AU114" i="3"/>
  <c r="AU115" i="3"/>
  <c r="AU116" i="3"/>
  <c r="AU103" i="3"/>
  <c r="AU104" i="3"/>
  <c r="AU105" i="3"/>
  <c r="AU106" i="3"/>
  <c r="AU92" i="3"/>
  <c r="AU93" i="3"/>
  <c r="AU94" i="3"/>
  <c r="AU95" i="3"/>
  <c r="AU96" i="3"/>
  <c r="AU97" i="3"/>
  <c r="AU98" i="3"/>
  <c r="AU99" i="3"/>
  <c r="AU100" i="3"/>
  <c r="AU101" i="3"/>
  <c r="AU102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77" i="3"/>
  <c r="AU78" i="3"/>
  <c r="AU79" i="3"/>
  <c r="AU76" i="3"/>
  <c r="AU68" i="3" l="1"/>
  <c r="AU69" i="3"/>
  <c r="AU70" i="3"/>
  <c r="AU71" i="3"/>
  <c r="AU72" i="3"/>
  <c r="AU73" i="3"/>
  <c r="AU74" i="3"/>
  <c r="AU67" i="3"/>
  <c r="AU62" i="3"/>
  <c r="AU63" i="3"/>
  <c r="AU64" i="3"/>
  <c r="AU65" i="3"/>
  <c r="AU61" i="3"/>
  <c r="AU49" i="3"/>
  <c r="AU50" i="3"/>
  <c r="AU51" i="3"/>
  <c r="AU52" i="3"/>
  <c r="AU53" i="3"/>
  <c r="AU54" i="3"/>
  <c r="AU55" i="3"/>
  <c r="AU56" i="3"/>
  <c r="AU57" i="3"/>
  <c r="AU58" i="3"/>
  <c r="AU59" i="3"/>
  <c r="AU46" i="3"/>
  <c r="AU47" i="3"/>
  <c r="AU48" i="3"/>
  <c r="AU45" i="3"/>
  <c r="AU44" i="3"/>
  <c r="AU39" i="3"/>
  <c r="AU40" i="3"/>
  <c r="AU41" i="3"/>
  <c r="AU42" i="3"/>
  <c r="AU31" i="3"/>
  <c r="AU32" i="3"/>
  <c r="AU33" i="3"/>
  <c r="AU34" i="3"/>
  <c r="AU35" i="3"/>
  <c r="AU36" i="3"/>
  <c r="AU37" i="3"/>
  <c r="AU38" i="3"/>
  <c r="AU23" i="3"/>
  <c r="AU24" i="3"/>
  <c r="AU25" i="3"/>
  <c r="AU26" i="3"/>
  <c r="AU27" i="3"/>
  <c r="AU28" i="3"/>
  <c r="AU29" i="3"/>
  <c r="AU30" i="3"/>
  <c r="AU16" i="3"/>
  <c r="AU17" i="3"/>
  <c r="AU18" i="3"/>
  <c r="AU19" i="3"/>
  <c r="AU20" i="3"/>
  <c r="AU21" i="3"/>
  <c r="AU2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2" i="3"/>
  <c r="L404" i="3"/>
  <c r="L405" i="3"/>
  <c r="L406" i="3"/>
  <c r="L407" i="3"/>
  <c r="L408" i="3"/>
  <c r="L409" i="3"/>
  <c r="L410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05" i="3"/>
  <c r="L106" i="3"/>
  <c r="L107" i="3"/>
  <c r="L108" i="3"/>
  <c r="L109" i="3"/>
  <c r="L110" i="3"/>
  <c r="L111" i="3"/>
  <c r="L112" i="3"/>
  <c r="L113" i="3"/>
  <c r="L104" i="3"/>
  <c r="L103" i="3"/>
  <c r="L102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83" i="3"/>
  <c r="L82" i="3"/>
  <c r="L81" i="3"/>
  <c r="L72" i="3"/>
  <c r="L73" i="3"/>
  <c r="L74" i="3"/>
  <c r="L75" i="3"/>
  <c r="L76" i="3"/>
  <c r="L77" i="3"/>
  <c r="L78" i="3"/>
  <c r="L79" i="3"/>
  <c r="L80" i="3"/>
  <c r="L71" i="3"/>
  <c r="L70" i="3"/>
  <c r="L69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54" i="3"/>
  <c r="L53" i="3"/>
  <c r="L52" i="3"/>
  <c r="L41" i="3"/>
  <c r="L42" i="3"/>
  <c r="L43" i="3"/>
  <c r="L44" i="3"/>
  <c r="L45" i="3"/>
  <c r="L46" i="3"/>
  <c r="L47" i="3"/>
  <c r="L48" i="3"/>
  <c r="L49" i="3"/>
  <c r="L50" i="3"/>
  <c r="L51" i="3"/>
  <c r="L40" i="3"/>
  <c r="L39" i="3"/>
  <c r="L38" i="3"/>
  <c r="L17" i="3"/>
  <c r="L18" i="3"/>
  <c r="L19" i="3"/>
  <c r="L20" i="3"/>
  <c r="L21" i="3"/>
  <c r="L22" i="3"/>
  <c r="L16" i="3"/>
  <c r="L15" i="3"/>
  <c r="L3" i="3"/>
  <c r="L4" i="3"/>
  <c r="L5" i="3"/>
  <c r="L6" i="3"/>
  <c r="L7" i="3"/>
  <c r="L8" i="3"/>
  <c r="L9" i="3"/>
  <c r="L10" i="3"/>
  <c r="L11" i="3"/>
  <c r="L12" i="3"/>
  <c r="L13" i="3"/>
  <c r="L14" i="3"/>
  <c r="L2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23" i="3"/>
  <c r="W411" i="3"/>
  <c r="I335" i="3"/>
  <c r="I334" i="3"/>
  <c r="I333" i="3"/>
  <c r="I332" i="3"/>
  <c r="I331" i="3"/>
  <c r="I330" i="3"/>
  <c r="I329" i="3"/>
  <c r="I328" i="3"/>
  <c r="I327" i="3"/>
  <c r="I326" i="3"/>
  <c r="I325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80" i="3"/>
  <c r="I79" i="3"/>
  <c r="I78" i="3"/>
  <c r="I77" i="3"/>
  <c r="I76" i="3"/>
  <c r="I75" i="3"/>
  <c r="I74" i="3"/>
  <c r="I73" i="3"/>
  <c r="I72" i="3"/>
  <c r="I71" i="3"/>
  <c r="I70" i="3"/>
  <c r="I69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22" i="3"/>
  <c r="I21" i="3"/>
  <c r="I20" i="3"/>
  <c r="I19" i="3"/>
  <c r="I18" i="3"/>
  <c r="I17" i="3"/>
  <c r="I16" i="3"/>
  <c r="I15" i="3"/>
  <c r="Q46" i="5"/>
  <c r="Q41" i="5"/>
  <c r="Q40" i="5"/>
  <c r="Q37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F25" i="3"/>
  <c r="BD25" i="3"/>
  <c r="BB25" i="3"/>
  <c r="BF24" i="3"/>
  <c r="BD24" i="3"/>
  <c r="BB24" i="3"/>
  <c r="BF23" i="3"/>
  <c r="BD23" i="3"/>
  <c r="BB23" i="3"/>
  <c r="BF22" i="3"/>
  <c r="BD22" i="3"/>
  <c r="BB22" i="3"/>
  <c r="BF21" i="3"/>
  <c r="BD21" i="3"/>
  <c r="BB21" i="3"/>
  <c r="BF20" i="3"/>
  <c r="BB20" i="3"/>
  <c r="BF19" i="3"/>
  <c r="BD19" i="3"/>
  <c r="BB19" i="3"/>
  <c r="BF18" i="3"/>
  <c r="BD18" i="3"/>
  <c r="BB18" i="3"/>
  <c r="BF17" i="3"/>
  <c r="BD17" i="3"/>
  <c r="BB17" i="3"/>
  <c r="BF16" i="3"/>
  <c r="BD16" i="3"/>
  <c r="BB16" i="3"/>
  <c r="BF15" i="3"/>
  <c r="BD15" i="3"/>
  <c r="BB15" i="3"/>
  <c r="BF14" i="3"/>
  <c r="BD14" i="3"/>
  <c r="BB14" i="3"/>
  <c r="BF13" i="3"/>
  <c r="BD13" i="3"/>
  <c r="BB13" i="3"/>
  <c r="BF12" i="3"/>
  <c r="BD12" i="3"/>
  <c r="BB12" i="3"/>
  <c r="BF11" i="3"/>
  <c r="BD11" i="3"/>
  <c r="BB11" i="3"/>
  <c r="BF10" i="3"/>
  <c r="BD10" i="3"/>
  <c r="BB10" i="3"/>
  <c r="BF9" i="3"/>
  <c r="BD9" i="3"/>
  <c r="BB9" i="3"/>
  <c r="BF8" i="3"/>
  <c r="BD8" i="3"/>
  <c r="BB8" i="3"/>
  <c r="BF7" i="3"/>
  <c r="BD7" i="3"/>
  <c r="BB7" i="3"/>
  <c r="BF6" i="3"/>
  <c r="BD6" i="3"/>
  <c r="BB6" i="3"/>
  <c r="BF5" i="3"/>
  <c r="BD5" i="3"/>
  <c r="BB5" i="3"/>
  <c r="BF4" i="3"/>
  <c r="BD4" i="3"/>
  <c r="BB4" i="3"/>
  <c r="BF3" i="3"/>
  <c r="BD3" i="3"/>
  <c r="BB3" i="3"/>
  <c r="BF2" i="3"/>
  <c r="BD2" i="3"/>
  <c r="BB2" i="3"/>
  <c r="BH2" i="3" l="1"/>
  <c r="BH12" i="3"/>
  <c r="BH5" i="3"/>
  <c r="BH18" i="3"/>
  <c r="AU411" i="3"/>
  <c r="BH21" i="3"/>
  <c r="BH22" i="3"/>
  <c r="BH25" i="3"/>
  <c r="BH4" i="3"/>
  <c r="BH20" i="3"/>
  <c r="BH7" i="3"/>
  <c r="BH13" i="3"/>
  <c r="BH3" i="3"/>
  <c r="BH23" i="3"/>
  <c r="BH10" i="3"/>
  <c r="BH17" i="3"/>
  <c r="BH24" i="3"/>
  <c r="BH19" i="3"/>
  <c r="BH6" i="3"/>
  <c r="BH14" i="3"/>
  <c r="BH8" i="3"/>
  <c r="BH15" i="3"/>
  <c r="BH9" i="3"/>
  <c r="BH16" i="3"/>
  <c r="BH11" i="3"/>
  <c r="BE6" i="3"/>
  <c r="BE15" i="3"/>
  <c r="BC6" i="3"/>
  <c r="BG12" i="3"/>
  <c r="BE19" i="3"/>
  <c r="BG19" i="3"/>
  <c r="BG8" i="3"/>
  <c r="BG15" i="3"/>
  <c r="BC9" i="3"/>
  <c r="BE9" i="3"/>
  <c r="BG5" i="3"/>
  <c r="BE12" i="3"/>
  <c r="BC19" i="3"/>
  <c r="BG25" i="3"/>
  <c r="BG6" i="3"/>
  <c r="BC20" i="3"/>
  <c r="BG13" i="3"/>
  <c r="BC14" i="3"/>
  <c r="BG7" i="3"/>
  <c r="BC21" i="3"/>
  <c r="BE21" i="3"/>
  <c r="BC13" i="3"/>
  <c r="BE13" i="3"/>
  <c r="BC7" i="3"/>
  <c r="BE20" i="3"/>
  <c r="BE7" i="3"/>
  <c r="BG20" i="3"/>
  <c r="BE14" i="3"/>
  <c r="BC8" i="3"/>
  <c r="BG14" i="3"/>
  <c r="BE8" i="3"/>
  <c r="BC15" i="3"/>
  <c r="BG21" i="3"/>
  <c r="BC22" i="3"/>
  <c r="BE3" i="3"/>
  <c r="BG23" i="3"/>
  <c r="BC17" i="3"/>
  <c r="BE24" i="3"/>
  <c r="BE22" i="3"/>
  <c r="BG22" i="3"/>
  <c r="BE16" i="3"/>
  <c r="BG16" i="3"/>
  <c r="BE10" i="3"/>
  <c r="BE17" i="3"/>
  <c r="BE4" i="3"/>
  <c r="BG17" i="3"/>
  <c r="BG4" i="3"/>
  <c r="BE11" i="3"/>
  <c r="BC18" i="3"/>
  <c r="BG24" i="3"/>
  <c r="BC3" i="3"/>
  <c r="BC23" i="3"/>
  <c r="BE23" i="3"/>
  <c r="BC4" i="3"/>
  <c r="BC24" i="3"/>
  <c r="BC11" i="3"/>
  <c r="BC5" i="3"/>
  <c r="BG11" i="3"/>
  <c r="BE18" i="3"/>
  <c r="BC25" i="3"/>
  <c r="BC16" i="3"/>
  <c r="BG9" i="3"/>
  <c r="BC10" i="3"/>
  <c r="BG3" i="3"/>
  <c r="BG10" i="3"/>
  <c r="BE5" i="3"/>
  <c r="BC12" i="3"/>
  <c r="BG18" i="3"/>
  <c r="BE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tc={9A2554B6-7230-4002-82B9-529BC287AB34}</author>
  </authors>
  <commentList>
    <comment ref="C1" authorId="0" shapeId="0" xr:uid="{9A2554B6-7230-4002-82B9-529BC287AB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Kannika SIRIPATTARAPRAVAT</author>
    <author>tc={98C0C458-E96E-4114-AFA1-1F0F85143B99}</author>
  </authors>
  <commentList>
    <comment ref="W2" authorId="0" shapeId="0" xr:uid="{26D4C892-646C-498B-8953-787DDDB2DF4D}">
      <text>
        <r>
          <rPr>
            <b/>
            <sz val="9"/>
            <color indexed="81"/>
            <rFont val="Tahoma"/>
            <family val="2"/>
          </rPr>
          <t>Abnormal
Freeze :2025-09-22
Location: Freezer -80°C</t>
        </r>
      </text>
    </comment>
    <comment ref="Y3" authorId="1" shapeId="0" xr:uid="{7B171E5E-6407-4C5F-A10A-573612FFE3ED}">
      <text>
        <r>
          <rPr>
            <sz val="11"/>
            <color theme="1"/>
            <rFont val="Calibri"/>
            <family val="2"/>
            <scheme val="minor"/>
          </rPr>
          <t>Kannika SIRIPATTARAPRAVAT:
death at day 8
Freeze 9/26/2025
Location:</t>
        </r>
      </text>
    </comment>
    <comment ref="X4" authorId="0" shapeId="0" xr:uid="{0C0F7CE5-514A-4299-A9BE-52699D24FB7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X5" authorId="0" shapeId="0" xr:uid="{8EFAD52D-9E7B-497A-B068-5CACE74549B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X6" authorId="0" shapeId="0" xr:uid="{F13693D3-3DE8-4925-A3E6-1C23523B0CD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U8" authorId="0" shapeId="0" xr:uid="{E4D94640-757C-48B3-96F0-9A75AEFA0AC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U9" authorId="0" shapeId="0" xr:uid="{65A608DF-2905-4751-B87B-86E7CA26DD0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:2025-10-02
Location:Freezer -80°C</t>
        </r>
      </text>
    </comment>
    <comment ref="V10" authorId="0" shapeId="0" xr:uid="{02B0804D-9556-432A-B52B-767934464CE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Alive abnormal/ degenerate at day 5
</t>
        </r>
      </text>
    </comment>
    <comment ref="AA11" authorId="0" shapeId="0" xr:uid="{399D8146-BB5C-4D6F-A9BC-7924A69F282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T13" authorId="0" shapeId="0" xr:uid="{E1BAD483-A26E-4F51-A42C-C75C2A421A6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T14" authorId="0" shapeId="0" xr:uid="{0D5D8E7C-D5D4-49A0-874D-D545ABA671D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T16" authorId="0" shapeId="0" xr:uid="{7174D9BA-D813-4821-A195-C9002A7E875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:2025-10-17
Location:Freezer -80°C</t>
        </r>
      </text>
    </comment>
    <comment ref="T17" authorId="0" shapeId="0" xr:uid="{D8AAD2E9-B5F4-4746-9C16-9A84F9F279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:2025-10-17
Location:Freezer -80°C</t>
        </r>
      </text>
    </comment>
    <comment ref="V18" authorId="0" shapeId="0" xr:uid="{311656FB-8A49-4743-818D-8C3494108A2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:2025-10-21
Location:Freezer -80°C</t>
        </r>
      </text>
    </comment>
    <comment ref="Y19" authorId="0" shapeId="0" xr:uid="{11E03753-3E14-4A22-9590-444728583D9B}">
      <text>
        <r>
          <rPr>
            <b/>
            <sz val="9"/>
            <color indexed="81"/>
            <rFont val="Tahoma"/>
            <family val="2"/>
          </rPr>
          <t>DELL:
death in system A</t>
        </r>
        <r>
          <rPr>
            <sz val="9"/>
            <color indexed="81"/>
            <rFont val="Tahoma"/>
            <family val="2"/>
          </rPr>
          <t xml:space="preserve">
Freeze :2025-10-28
Location:Freezer -80°C</t>
        </r>
      </text>
    </comment>
    <comment ref="T23" authorId="0" shapeId="0" xr:uid="{848427FB-9671-416E-8306-9A46A363EAA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:2025-10-23
Location:Freezer -80°C</t>
        </r>
      </text>
    </comment>
    <comment ref="X25" authorId="2" shapeId="0" xr:uid="{98C0C458-E96E-4114-AFA1-1F0F85143B99}">
      <text>
        <t>[Threaded comment]
Your version of Excel allows you to read this threaded comment; however, any edits to it will get removed if the file is opened in a newer version of Excel. Learn more: https://go.microsoft.com/fwlink/?linkid=870924
Comment:
    ยังดีอยู่</t>
      </text>
    </comment>
    <comment ref="Y25" authorId="1" shapeId="0" xr:uid="{8D3CEC71-4BE9-4429-A71D-76D8645A48E5}">
      <text>
        <r>
          <rPr>
            <sz val="11"/>
            <color theme="1"/>
            <rFont val="Calibri"/>
            <family val="2"/>
            <scheme val="minor"/>
          </rPr>
          <t>Kannika SIRIPATTARAPRAVAT:
Alive abnormal/ degenerate at day 8</t>
        </r>
      </text>
    </comment>
    <comment ref="W27" authorId="0" shapeId="0" xr:uid="{76EBFF0F-32A8-4C2A-A920-70A7B0CA67F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:2025-11-09
Location:Freezer -80°C</t>
        </r>
      </text>
    </comment>
    <comment ref="U28" authorId="0" shapeId="0" xr:uid="{2040C819-1B2F-4807-ADA5-791875BA7EE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system
OK</t>
        </r>
      </text>
    </comment>
    <comment ref="V28" authorId="0" shapeId="0" xr:uid="{237910FD-884F-4D87-9F98-40D097F1A96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5
</t>
        </r>
      </text>
    </comment>
    <comment ref="T36" authorId="0" shapeId="0" xr:uid="{BF7C4FA2-3BDD-496A-8A17-B9E00B8F0EC5}">
      <text>
        <r>
          <rPr>
            <b/>
            <sz val="9"/>
            <color indexed="81"/>
            <rFont val="Tahoma"/>
            <family val="2"/>
          </rPr>
          <t>DELL: Degenerate at day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" authorId="0" shapeId="0" xr:uid="{F0408A9F-B9C3-4A38-8DFA-51E0D31E15B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3</t>
        </r>
      </text>
    </comment>
    <comment ref="S39" authorId="0" shapeId="0" xr:uid="{D8EC8D1D-BA55-4736-9944-1A3BF1D37BA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3</t>
        </r>
      </text>
    </comment>
    <comment ref="R42" authorId="0" shapeId="0" xr:uid="{695DAE33-CD98-4E02-B927-BBCDC2187C7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3" authorId="0" shapeId="0" xr:uid="{65E6F69F-3CDB-49CE-B6B8-5D5AE7684FB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4" authorId="0" shapeId="0" xr:uid="{0322DD62-4E78-4D33-90D9-EA32BA540F9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5" authorId="0" shapeId="0" xr:uid="{CF1BE1A2-C5CA-4A4E-9C1F-1CB1A4DE68B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7" authorId="0" shapeId="0" xr:uid="{ED4562FB-4712-4C0F-B729-834F50E2005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</commentList>
</comments>
</file>

<file path=xl/sharedStrings.xml><?xml version="1.0" encoding="utf-8"?>
<sst xmlns="http://schemas.openxmlformats.org/spreadsheetml/2006/main" count="4046" uniqueCount="1311">
  <si>
    <t>Activated</t>
  </si>
  <si>
    <t xml:space="preserve">2-cell
</t>
  </si>
  <si>
    <t xml:space="preserve">4-cell
</t>
  </si>
  <si>
    <t xml:space="preserve">8-cell
</t>
  </si>
  <si>
    <t xml:space="preserve">16-cell
</t>
  </si>
  <si>
    <t xml:space="preserve">32-cell
</t>
  </si>
  <si>
    <t xml:space="preserve">64-cell
</t>
  </si>
  <si>
    <t xml:space="preserve">128-cell
</t>
  </si>
  <si>
    <t xml:space="preserve">256-cell
</t>
  </si>
  <si>
    <t xml:space="preserve">512-cell
</t>
  </si>
  <si>
    <t xml:space="preserve">1k-cell
</t>
  </si>
  <si>
    <t xml:space="preserve">High
</t>
  </si>
  <si>
    <t xml:space="preserve">Oblong
</t>
  </si>
  <si>
    <t xml:space="preserve">Sphere
</t>
  </si>
  <si>
    <t xml:space="preserve">Dome
</t>
  </si>
  <si>
    <t xml:space="preserve">30%epi
</t>
  </si>
  <si>
    <t xml:space="preserve">50%epi
</t>
  </si>
  <si>
    <t>Germ ring</t>
  </si>
  <si>
    <t xml:space="preserve">Shield
</t>
  </si>
  <si>
    <t xml:space="preserve">75%epi
</t>
  </si>
  <si>
    <t xml:space="preserve">90%epi
</t>
  </si>
  <si>
    <t>Day1</t>
  </si>
  <si>
    <t>Day3</t>
  </si>
  <si>
    <t>No</t>
  </si>
  <si>
    <t>Recipient egg</t>
  </si>
  <si>
    <t>% NBD</t>
  </si>
  <si>
    <t>Lot of CSOF</t>
  </si>
  <si>
    <t xml:space="preserve">Code of Egg </t>
  </si>
  <si>
    <t>Group</t>
  </si>
  <si>
    <t>Injection</t>
  </si>
  <si>
    <t>Enulceation</t>
  </si>
  <si>
    <t>Lot No.</t>
  </si>
  <si>
    <t>N</t>
  </si>
  <si>
    <t>Time</t>
  </si>
  <si>
    <t>Activated time</t>
  </si>
  <si>
    <t>Day2</t>
  </si>
  <si>
    <t>clone</t>
  </si>
  <si>
    <t>Remarks</t>
  </si>
  <si>
    <t>BY</t>
  </si>
  <si>
    <t>Timepoint</t>
  </si>
  <si>
    <t>N_TU</t>
  </si>
  <si>
    <t>%N_TU</t>
  </si>
  <si>
    <t>N_NHGRI</t>
  </si>
  <si>
    <t>%N_NHGRI</t>
  </si>
  <si>
    <t>N_AB</t>
  </si>
  <si>
    <t>%N_AB</t>
  </si>
  <si>
    <t>TAB taiwan 28-6-24</t>
  </si>
  <si>
    <t>16 cell = 55%</t>
  </si>
  <si>
    <t>CSOF 2024-19</t>
  </si>
  <si>
    <t>E4_2025-09-11</t>
  </si>
  <si>
    <t>TU</t>
  </si>
  <si>
    <t>TU dissociated cells-11</t>
  </si>
  <si>
    <t>จำนวน N ที่ได้เป็นการ pick-up egg มาครั้งละ 5 ฟอง แต่เจอ micropyle แค่จำนวน N ที่ได้ทำ</t>
  </si>
  <si>
    <t>Jan</t>
  </si>
  <si>
    <t>L</t>
  </si>
  <si>
    <t>Total number</t>
  </si>
  <si>
    <t>day 1 = 16.66 %</t>
  </si>
  <si>
    <t>O</t>
  </si>
  <si>
    <t>Q</t>
  </si>
  <si>
    <t>2-cell (1 h)</t>
  </si>
  <si>
    <t>R</t>
  </si>
  <si>
    <t>4-cell (1 h)</t>
  </si>
  <si>
    <t>S</t>
  </si>
  <si>
    <t>8-cell (1.25 h)</t>
  </si>
  <si>
    <t>T</t>
  </si>
  <si>
    <t>16-cell (1.5 h)</t>
  </si>
  <si>
    <t>Used  Hoechst 1:1000,
หยิบมา 3 ฟอง ไม่มี mycropyle 1 ฟอง</t>
  </si>
  <si>
    <t>June</t>
  </si>
  <si>
    <t>U</t>
  </si>
  <si>
    <t>32-cell (1.75 h)</t>
  </si>
  <si>
    <t>Used  Hoechst 1:1000
หยิบมา 3 ฟอง ไม่มี mycropyle 2 ฟอง</t>
  </si>
  <si>
    <t>V</t>
  </si>
  <si>
    <t>64-cell (2 h)</t>
  </si>
  <si>
    <t>Used  Hoechst 1:500
หยิบมา 5 ฟอง ไม่มี mycropyle 4 ฟอง</t>
  </si>
  <si>
    <t>W</t>
  </si>
  <si>
    <t>128-cell (2.25 h)</t>
  </si>
  <si>
    <t>Used  Hoechst 1:1000</t>
  </si>
  <si>
    <t>X</t>
  </si>
  <si>
    <t>256-cell (2.5 h)</t>
  </si>
  <si>
    <t>Y</t>
  </si>
  <si>
    <t>Z</t>
  </si>
  <si>
    <t>AA</t>
  </si>
  <si>
    <t>TAB taiwan 28-11-24</t>
  </si>
  <si>
    <t xml:space="preserve">2 cell = 62.5 % </t>
  </si>
  <si>
    <t>IVF 7  before sphere = 10 %</t>
  </si>
  <si>
    <t>E7_2025-09-16</t>
  </si>
  <si>
    <t>NHGRI</t>
  </si>
  <si>
    <t>NHGRI dissociated cells-11</t>
  </si>
  <si>
    <t>AB</t>
  </si>
  <si>
    <t>day 1 =9.375 %</t>
  </si>
  <si>
    <t>Day 1 = 10 %</t>
  </si>
  <si>
    <t>10.36/10.37</t>
  </si>
  <si>
    <t>AC</t>
  </si>
  <si>
    <t>IVF 7 after higt =24 %</t>
  </si>
  <si>
    <t>AD</t>
  </si>
  <si>
    <t>Day 1 = 4 %</t>
  </si>
  <si>
    <t>AE</t>
  </si>
  <si>
    <t>AF</t>
  </si>
  <si>
    <t>ค่อนข้างแย่มาก ไข่ไม่ดี หา micropyle
ไม่เจอเลย 100% แต่หา metaphaseII เจอ
เลยต้องทำการ laser DNA จากนั้น laser บริเวณ Animal pole เพื่อสร้างรูให้ inject เซลล์</t>
  </si>
  <si>
    <t>AG</t>
  </si>
  <si>
    <t>AH</t>
  </si>
  <si>
    <t>AI</t>
  </si>
  <si>
    <t>TAB taiwan 20-3-25</t>
  </si>
  <si>
    <t>64 cell = 93.33%</t>
  </si>
  <si>
    <t>IVF 4 before 4 cell = 74 %</t>
  </si>
  <si>
    <t>CSOF 6-8-25</t>
  </si>
  <si>
    <t>E4_2025-09-17</t>
  </si>
  <si>
    <t>AB Chunk-01</t>
  </si>
  <si>
    <t>AJ</t>
  </si>
  <si>
    <t>day 1 = 71.66 %</t>
  </si>
  <si>
    <t>Day 1 = 54 %</t>
  </si>
  <si>
    <t>AK</t>
  </si>
  <si>
    <t>IVF 4 after 64 cell = 74 %</t>
  </si>
  <si>
    <t>AL</t>
  </si>
  <si>
    <t>Day 1 = 60 %</t>
  </si>
  <si>
    <t>Bee1</t>
  </si>
  <si>
    <t>na</t>
  </si>
  <si>
    <t>-</t>
  </si>
  <si>
    <t>Bee2</t>
  </si>
  <si>
    <t>Bee3</t>
  </si>
  <si>
    <t>Bee4</t>
  </si>
  <si>
    <t>Bee5</t>
  </si>
  <si>
    <t>✖</t>
  </si>
  <si>
    <t>micropyle สวยมาก ไข่ดี</t>
  </si>
  <si>
    <t>โอเคดี หยิบมา 6 ฟอง ทำได้ 5 ฟอง อีกฟองไม่มี micropyle</t>
  </si>
  <si>
    <t>เติมเซลล์ก่อนเริ่มทำ, โอเคดี</t>
  </si>
  <si>
    <t>laser ให้พี่ผึ้ง 3 ฟอง ทำเอง 3 ฟอง</t>
  </si>
  <si>
    <t>OK</t>
  </si>
  <si>
    <t>NBD 4 128 cell =100 %</t>
  </si>
  <si>
    <t>IVF 4 before 16 cell = 40 %</t>
  </si>
  <si>
    <t>E4_2025-09-18</t>
  </si>
  <si>
    <t>TU dissociated cells-12</t>
  </si>
  <si>
    <t>Day 1 =100 %</t>
  </si>
  <si>
    <t>Day 1 =</t>
  </si>
  <si>
    <t>NBD 6 40.90 %</t>
  </si>
  <si>
    <t>IVF 4 after high = 42 cell</t>
  </si>
  <si>
    <t xml:space="preserve">Day 1 = </t>
  </si>
  <si>
    <t>IVF 6 before sphere = 56 %</t>
  </si>
  <si>
    <t>No.2_Freeze 2028-09-26_death at Day 8 Freeze-80</t>
  </si>
  <si>
    <t>IVF 6 after high = 28 %</t>
  </si>
  <si>
    <t>ไข่ E4 ในส่วนของจูน 50:50 คือ
ปนทั้งที่ mycropyle สวย metaphaseII สวย
ผสมกับหา micropyle ไม่เจอ แต่เห็นดีเอ็นเอ
ไข่ E6 แย่มาก แทบจะหา micropyle ไม่เจอเลย
**ใช้ injector gynemed band</t>
  </si>
  <si>
    <t>E6_2025-09-18</t>
  </si>
  <si>
    <t xml:space="preserve"> NBD 6 64 cell = 65.57 %</t>
  </si>
  <si>
    <t>IVF 6 before 2 cell = 100 %</t>
  </si>
  <si>
    <t>CSOF 2024-27</t>
  </si>
  <si>
    <t>E6_2025-09-23</t>
  </si>
  <si>
    <t>NHGRI dissociated cells-12</t>
  </si>
  <si>
    <t xml:space="preserve">day 1 =49.17 % </t>
  </si>
  <si>
    <t>IVF 6 after sphere 60 %</t>
  </si>
  <si>
    <t>No.3_Abnormal;Freeze-80@2025-09-30 Day7</t>
  </si>
  <si>
    <t>No.4_Abnormal ;Freeze-80@2025-09-30 Day7; Zebrafish with a curved tail</t>
  </si>
  <si>
    <t xml:space="preserve">NBD 5 4 cell = 59% </t>
  </si>
  <si>
    <t>IVF 5 before  16 cell = 32 %</t>
  </si>
  <si>
    <t>E5_2025-09-26</t>
  </si>
  <si>
    <t>AB dissociated cells-16</t>
  </si>
  <si>
    <t xml:space="preserve">day 1 = 45.45% </t>
  </si>
  <si>
    <t xml:space="preserve">NBD 6 128 cell = 91.22 % </t>
  </si>
  <si>
    <t>IVF 5 after oblong =16 %</t>
  </si>
  <si>
    <t>E6_2025-09-26</t>
  </si>
  <si>
    <t xml:space="preserve">Day 1 = 74.56% </t>
  </si>
  <si>
    <t>IVF 6 before 4 cell = 100 %</t>
  </si>
  <si>
    <t>IVF 6 after oblong = 80 %</t>
  </si>
  <si>
    <t>No.5_abnormal;Freeze-80@2025-09-30 Day7</t>
  </si>
  <si>
    <t xml:space="preserve">switch injection step:
laser + inject cell </t>
  </si>
  <si>
    <t>No.6_normal Alive ; in system A@2025-09-30 Day4</t>
  </si>
  <si>
    <t>No.7_abnormal;Freeze-80@2025-09-30 Day4</t>
  </si>
  <si>
    <t>TAB Taiwan 20-3-25</t>
  </si>
  <si>
    <t>NBD 2 256 cell = 83.11 %</t>
  </si>
  <si>
    <t xml:space="preserve">IVF 2 before  64 cell = 90 % </t>
  </si>
  <si>
    <t>E2_2025-09-30</t>
  </si>
  <si>
    <t>TU dissociated cells-13</t>
  </si>
  <si>
    <t>Day 1 = 74.02 %</t>
  </si>
  <si>
    <t>Day 1 =72 %</t>
  </si>
  <si>
    <t>IVF 2 after 30% epiboly 80 %</t>
  </si>
  <si>
    <t>Day 1 =70 %</t>
  </si>
  <si>
    <t>Bee6</t>
  </si>
  <si>
    <t>Bee7</t>
  </si>
  <si>
    <t>NBD 6 512 cell = 70 %</t>
  </si>
  <si>
    <t>IVF 6 before 16 cell = 76 %</t>
  </si>
  <si>
    <t>E6_2025-10-02</t>
  </si>
  <si>
    <t>NHGRI dissociated cells-13</t>
  </si>
  <si>
    <t>Day 1= 55 %</t>
  </si>
  <si>
    <t>Day 1 = 52 %</t>
  </si>
  <si>
    <t>IVF 6 after sphere 54 %</t>
  </si>
  <si>
    <t> </t>
  </si>
  <si>
    <t>No.8_abnormal;Freeze-80@2025-10-02 Day4</t>
  </si>
  <si>
    <t>NBD 3 256 cell = 82.92 %</t>
  </si>
  <si>
    <t>IVF 3 before 30% epiboly = 85 %</t>
  </si>
  <si>
    <t>E3_2025-10-03</t>
  </si>
  <si>
    <t>AB dissociated cells-17</t>
  </si>
  <si>
    <t>Day 1 = 76.60 %</t>
  </si>
  <si>
    <t>IVF 3 after sphere = 80 %</t>
  </si>
  <si>
    <t>No.10_abnormal;Freeze-80@2025-10-10 Day7; Zebrafish with a curved tail&amp; No.9_abnormal_degenerate</t>
  </si>
  <si>
    <t xml:space="preserve">Clone no.11 _at systemA </t>
  </si>
  <si>
    <t>NBD 4 64 cell = 90 %</t>
  </si>
  <si>
    <t>IVF 4 before sphere = 96 %</t>
  </si>
  <si>
    <t>E4_2025-10-07</t>
  </si>
  <si>
    <t>TU dissociated cells-14</t>
  </si>
  <si>
    <t>Day 1 = 80 %</t>
  </si>
  <si>
    <t>Day 1 = 88 %</t>
  </si>
  <si>
    <t>IVF 4 after high = 70 %</t>
  </si>
  <si>
    <t>Day 1 = 64 %</t>
  </si>
  <si>
    <t>No.12_abnormal;Freeze-80@2025-10-10 Day3 ; Zebrafish with a curved tail</t>
  </si>
  <si>
    <t>No.13_abnormal;Freeze-80@2025-10-10 Day3; Zebrafish with a curved tail</t>
  </si>
  <si>
    <t>NBD 5 32 cell = 100 %</t>
  </si>
  <si>
    <t>IVF 5 before 30% epiboly =96 %</t>
  </si>
  <si>
    <t>E5_2025-10-10</t>
  </si>
  <si>
    <t>NHGRI dissociated cells-14</t>
  </si>
  <si>
    <t>Day 1 = 97.39 %</t>
  </si>
  <si>
    <t>IVF 5 after high =84 %</t>
  </si>
  <si>
    <t xml:space="preserve">Clone no.14_at systemA </t>
  </si>
  <si>
    <t xml:space="preserve">NBD 6 2 cell = 96.15% </t>
  </si>
  <si>
    <t>IVF 6 before shield = 84 %</t>
  </si>
  <si>
    <t>E6_2025-10-14</t>
  </si>
  <si>
    <t>AB dissociated cells-18</t>
  </si>
  <si>
    <t>Day 1 =88.46 %</t>
  </si>
  <si>
    <t>Day 1 =76 %</t>
  </si>
  <si>
    <t>Day 1 =60 %</t>
  </si>
  <si>
    <t>Stop developing at stage 14-somite and degenerate.</t>
  </si>
  <si>
    <t>No.15 abnormal ;Freeze-80@2025-10-17 Day3</t>
  </si>
  <si>
    <t>No.16 abnormal ;Freeze-80@2025-10-10 Day3</t>
  </si>
  <si>
    <t>NBD 5 4 cell =63.63 %</t>
  </si>
  <si>
    <t>IVF 5 before 30% epiboly =62 %</t>
  </si>
  <si>
    <t>E5_2025-10-16</t>
  </si>
  <si>
    <t>NHGRI Chunks cells-01</t>
  </si>
  <si>
    <t>Day 1 = 59 %</t>
  </si>
  <si>
    <t>IVF 5 after oblong = 64 %</t>
  </si>
  <si>
    <t>abnormal freeze at day 5</t>
  </si>
  <si>
    <t>No.17 abnormal ;Freeze-80@2025-10-21 Day 5</t>
  </si>
  <si>
    <t>Day 1 = 40 %</t>
  </si>
  <si>
    <t>NBD 5 2 cell = 76.92 %</t>
  </si>
  <si>
    <t>CSOF 16-2021</t>
  </si>
  <si>
    <t>E7_2025-10-20</t>
  </si>
  <si>
    <t>NHGRI dissociated cells-15</t>
  </si>
  <si>
    <t>Day 1 38.46 %</t>
  </si>
  <si>
    <t>E7_2025-10-21</t>
  </si>
  <si>
    <t>NBD 7 2 cell =88.70 %</t>
  </si>
  <si>
    <t>E7_2025-10-22</t>
  </si>
  <si>
    <t>Normal</t>
  </si>
  <si>
    <t xml:space="preserve">No.18 normal;Hatch day 2 </t>
  </si>
  <si>
    <t>Day 1 =87.09 %</t>
  </si>
  <si>
    <t>E5_2025-10-23</t>
  </si>
  <si>
    <t>E5_2025-10-24</t>
  </si>
  <si>
    <t>E5_2025-10-25</t>
  </si>
  <si>
    <t>normal</t>
  </si>
  <si>
    <t xml:space="preserve">No.19 &amp; No.20 normal;Hatch day 2 </t>
  </si>
  <si>
    <t xml:space="preserve">No.21 normal;Hatch day 2 </t>
  </si>
  <si>
    <t>E5_2025-10-20</t>
  </si>
  <si>
    <t>No.22 Abnormal,short-tailed zebrafish</t>
  </si>
  <si>
    <t>zebrafish embryo arrested at the pharyngula stage</t>
  </si>
  <si>
    <t xml:space="preserve">No.23 normal ;Hatch day 2 </t>
  </si>
  <si>
    <t>TAB Taiwan 20-3-2025</t>
  </si>
  <si>
    <t>NBD 2 4 cell =96.49 %</t>
  </si>
  <si>
    <t>E2_2025-10-22</t>
  </si>
  <si>
    <t>AB dissociated cells-19</t>
  </si>
  <si>
    <t>No.24 normal</t>
  </si>
  <si>
    <t>Day 1 = 91.22 %</t>
  </si>
  <si>
    <t>Bee_1</t>
  </si>
  <si>
    <t>Bee_2</t>
  </si>
  <si>
    <t>Bee_3</t>
  </si>
  <si>
    <t>Bee_4</t>
  </si>
  <si>
    <t>Bee_5</t>
  </si>
  <si>
    <t>Bee_6</t>
  </si>
  <si>
    <t>Bee_7</t>
  </si>
  <si>
    <t>NBD 2 2 cell = 90 %</t>
  </si>
  <si>
    <t>CSOF 19-2024</t>
  </si>
  <si>
    <t>E2_2025-10-24</t>
  </si>
  <si>
    <t>AB Chunks cells-02</t>
  </si>
  <si>
    <t>Day 1 =90 %</t>
  </si>
  <si>
    <t>June_1</t>
  </si>
  <si>
    <t>June_2</t>
  </si>
  <si>
    <t>June_3</t>
  </si>
  <si>
    <t>June_4</t>
  </si>
  <si>
    <t>June_5</t>
  </si>
  <si>
    <t>June_6</t>
  </si>
  <si>
    <t>June_7</t>
  </si>
  <si>
    <t>June_8</t>
  </si>
  <si>
    <t>June_9</t>
  </si>
  <si>
    <t>June_10</t>
  </si>
  <si>
    <t>NBD 3 2 cell = 71.42 %</t>
  </si>
  <si>
    <t>E3_2025-10-28</t>
  </si>
  <si>
    <t>AB dissociated cell -20</t>
  </si>
  <si>
    <t>Jan_1</t>
  </si>
  <si>
    <t>Day 3 = 57.14 %</t>
  </si>
  <si>
    <t>Jan_2</t>
  </si>
  <si>
    <t>Jan_3</t>
  </si>
  <si>
    <t>Jan_4</t>
  </si>
  <si>
    <t>Jan_5</t>
  </si>
  <si>
    <t>Jan_6</t>
  </si>
  <si>
    <t>Jan_7</t>
  </si>
  <si>
    <t>Jan_8</t>
  </si>
  <si>
    <t>Jan_9</t>
  </si>
  <si>
    <t>Jan_10</t>
  </si>
  <si>
    <t>AB dissociated cells-20</t>
  </si>
  <si>
    <t>11..08</t>
  </si>
  <si>
    <t>June_11</t>
  </si>
  <si>
    <t>NBD 3 2 cell= 93.75 %</t>
  </si>
  <si>
    <t>E3_2025-10-30</t>
  </si>
  <si>
    <t>TU Chunks cells-01</t>
  </si>
  <si>
    <t>Day 1 = 93.75 %</t>
  </si>
  <si>
    <t>No.25 normal</t>
  </si>
  <si>
    <t>NBD 3 2 cell =83.33 %</t>
  </si>
  <si>
    <t>E3_2025-10-31</t>
  </si>
  <si>
    <t>AB03 dissociated cell</t>
  </si>
  <si>
    <t>Day 3 =83.33 %</t>
  </si>
  <si>
    <t>AB Chunks cells-03</t>
  </si>
  <si>
    <t>NBD 2 2 cell = 100 %</t>
  </si>
  <si>
    <t>E3_2025-11-03</t>
  </si>
  <si>
    <t>TU Chunks cells-02</t>
  </si>
  <si>
    <t>Day 3 = 90.325 %</t>
  </si>
  <si>
    <t>Abnormal</t>
  </si>
  <si>
    <t>No.26 abnormal</t>
  </si>
  <si>
    <t>No.27 normal</t>
  </si>
  <si>
    <t>No.28 normal</t>
  </si>
  <si>
    <t>Bee_8</t>
  </si>
  <si>
    <t>No.29 normal</t>
  </si>
  <si>
    <t>NBD 3 2 cell = 81.4 %</t>
  </si>
  <si>
    <t>CSOF 3-2021</t>
  </si>
  <si>
    <t>E3_2025-11-07</t>
  </si>
  <si>
    <t>AB Chunks cells-04</t>
  </si>
  <si>
    <t>Day 3 =81.42 %</t>
  </si>
  <si>
    <t>No.30 normal</t>
  </si>
  <si>
    <t>No.31 normal</t>
  </si>
  <si>
    <t>NBD 8 4 cell = 88 %</t>
  </si>
  <si>
    <t>TU Chunks cells-03</t>
  </si>
  <si>
    <t>Day 3 =14.28 %</t>
  </si>
  <si>
    <t>NBD 5 4 cell =90.72 %</t>
  </si>
  <si>
    <t>E5_2025-11-18</t>
  </si>
  <si>
    <t>NHGRI dissociated cells-16</t>
  </si>
  <si>
    <t>Day 3 =86.59 %</t>
  </si>
  <si>
    <t>NBD 2 2 cell =59.09 %</t>
  </si>
  <si>
    <t>E2_2025-11-20</t>
  </si>
  <si>
    <t>NHGRI dissociated cells-17</t>
  </si>
  <si>
    <t>normal ลง system แล้ว</t>
  </si>
  <si>
    <t>No.32 normal</t>
  </si>
  <si>
    <t>Day 2 = 59.09 %</t>
  </si>
  <si>
    <t>Long Fin 23-5-25</t>
  </si>
  <si>
    <t>NBD 9 4 cell = 100 %</t>
  </si>
  <si>
    <t>E9_2025-11-25</t>
  </si>
  <si>
    <t>NHGRI dissociated cells-18</t>
  </si>
  <si>
    <t>No.33 &amp;34 normal</t>
  </si>
  <si>
    <t>Day 3 = 81.25 %</t>
  </si>
  <si>
    <t>No.35 abnormal</t>
  </si>
  <si>
    <t>No.36 normal</t>
  </si>
  <si>
    <t>No.37 abnormal</t>
  </si>
  <si>
    <t>No.38 abnormal</t>
  </si>
  <si>
    <t>NBD 1 4 cell = 84.21 %</t>
  </si>
  <si>
    <t>NHGRI dissociated cells-19</t>
  </si>
  <si>
    <t>Day 3 = 75.43 %</t>
  </si>
  <si>
    <t>No.39 normal</t>
  </si>
  <si>
    <t>No.40 normal</t>
  </si>
  <si>
    <t>No.41 abnormal</t>
  </si>
  <si>
    <t>No.42 abnormal</t>
  </si>
  <si>
    <t>No.43 abnormal</t>
  </si>
  <si>
    <t>No.44 abnormal</t>
  </si>
  <si>
    <t>No.45 normal</t>
  </si>
  <si>
    <t>No.46 abnormal</t>
  </si>
  <si>
    <t>No.</t>
  </si>
  <si>
    <t>Name
of cell</t>
  </si>
  <si>
    <t>Total
Egg</t>
  </si>
  <si>
    <t>Day4-5</t>
  </si>
  <si>
    <t>%</t>
  </si>
  <si>
    <t xml:space="preserve">NHGRI </t>
  </si>
  <si>
    <t>CODE: Clone(CL)</t>
  </si>
  <si>
    <t>CODE: Recipient tail(RT)</t>
  </si>
  <si>
    <t>CODE: Donor cell(DC)</t>
  </si>
  <si>
    <t>DOB of clone</t>
  </si>
  <si>
    <t>Recipient breed</t>
  </si>
  <si>
    <t>No of recipient egg</t>
  </si>
  <si>
    <t>Donor cell</t>
  </si>
  <si>
    <t>Code</t>
  </si>
  <si>
    <t>Status</t>
  </si>
  <si>
    <t>Specimen type</t>
  </si>
  <si>
    <t>Sex</t>
  </si>
  <si>
    <t>Fin clip</t>
  </si>
  <si>
    <t>Age of clone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</si>
  <si>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</si>
  <si>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</si>
  <si>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</si>
  <si>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</si>
  <si>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</si>
  <si>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</si>
  <si>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</si>
  <si>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</si>
  <si>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</si>
  <si>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</si>
  <si>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</si>
  <si>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</si>
  <si>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</si>
  <si>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</si>
  <si>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</si>
  <si>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</si>
  <si>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</si>
  <si>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</si>
  <si>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</si>
  <si>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</si>
  <si>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</si>
  <si>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</si>
  <si>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</si>
  <si>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</si>
  <si>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</si>
  <si>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</si>
  <si>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</si>
  <si>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</si>
  <si>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</si>
  <si>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</si>
  <si>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</si>
  <si>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</si>
  <si>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</si>
  <si>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</si>
  <si>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</si>
  <si>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</si>
  <si>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</si>
  <si>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</si>
  <si>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</si>
  <si>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</si>
  <si>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</si>
  <si>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</si>
  <si>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</si>
  <si>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</si>
  <si>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</si>
  <si>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</si>
  <si>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</si>
  <si>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</si>
  <si>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</si>
  <si>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</si>
  <si>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</si>
  <si>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</si>
  <si>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</si>
  <si>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</si>
  <si>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</si>
  <si>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</si>
  <si>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</si>
  <si>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</si>
  <si>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</si>
  <si>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</si>
  <si>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</si>
  <si>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</si>
  <si>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</si>
  <si>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</si>
  <si>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</si>
  <si>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</si>
  <si>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</si>
  <si>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</si>
  <si>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</si>
  <si>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</si>
  <si>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</si>
  <si>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</si>
  <si>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</si>
  <si>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</si>
  <si>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</si>
  <si>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</si>
  <si>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</si>
  <si>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</si>
  <si>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</si>
  <si>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</si>
  <si>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</si>
  <si>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</si>
  <si>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</si>
  <si>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</si>
  <si>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</si>
  <si>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</si>
  <si>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</si>
  <si>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</si>
  <si>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</si>
  <si>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</si>
  <si>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</si>
  <si>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</si>
  <si>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</si>
  <si>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</si>
  <si>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</si>
  <si>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</si>
  <si>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</si>
  <si>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</si>
  <si>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</si>
  <si>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</si>
  <si>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</si>
  <si>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</si>
  <si>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</si>
  <si>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</si>
  <si>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</si>
  <si>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</si>
  <si>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</si>
  <si>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</si>
  <si>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</si>
  <si>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</si>
  <si>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</si>
  <si>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</si>
  <si>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</si>
  <si>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</si>
  <si>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</si>
  <si>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</si>
  <si>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</si>
  <si>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</si>
  <si>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</si>
  <si>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</si>
  <si>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</si>
  <si>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</si>
  <si>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</si>
  <si>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</si>
  <si>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</si>
  <si>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</si>
  <si>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</si>
  <si>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</si>
  <si>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</si>
  <si>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</si>
  <si>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</si>
  <si>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</si>
  <si>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</si>
  <si>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</si>
  <si>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</si>
  <si>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</si>
  <si>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</si>
  <si>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</si>
  <si>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</si>
  <si>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</si>
  <si>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</si>
  <si>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</si>
  <si>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</si>
  <si>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</si>
  <si>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</si>
  <si>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</si>
  <si>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</si>
  <si>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</si>
  <si>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</si>
  <si>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</si>
  <si>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</si>
  <si>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</si>
  <si>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</si>
  <si>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</si>
  <si>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</si>
  <si>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</si>
  <si>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</si>
  <si>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</si>
  <si>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</si>
  <si>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</si>
  <si>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</si>
  <si>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</si>
  <si>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</si>
  <si>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</si>
  <si>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</si>
  <si>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</si>
  <si>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</si>
  <si>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</si>
  <si>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</si>
  <si>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</si>
  <si>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</si>
  <si>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</si>
  <si>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</si>
  <si>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</si>
  <si>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</si>
  <si>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</si>
  <si>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</si>
  <si>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</si>
  <si>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</si>
  <si>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</si>
  <si>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</si>
  <si>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</si>
  <si>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</si>
  <si>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</si>
  <si>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</si>
  <si>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</si>
  <si>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</si>
  <si>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</si>
  <si>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</si>
  <si>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</si>
  <si>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</si>
  <si>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</si>
  <si>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</si>
  <si>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</si>
  <si>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</si>
  <si>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</si>
  <si>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</si>
  <si>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</si>
  <si>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</si>
  <si>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</si>
  <si>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</si>
  <si>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</si>
  <si>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</si>
  <si>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</si>
  <si>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</si>
  <si>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</si>
  <si>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</si>
  <si>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</si>
  <si>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</si>
  <si>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</si>
  <si>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</si>
  <si>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</si>
  <si>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</si>
  <si>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</si>
  <si>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</si>
  <si>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</si>
  <si>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</si>
  <si>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</si>
  <si>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</si>
  <si>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</si>
  <si>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Date of Freeze -20</t>
  </si>
  <si>
    <t>Status (@2025-11-11)</t>
  </si>
  <si>
    <t>Zebrafish box</t>
  </si>
  <si>
    <t>CL1</t>
  </si>
  <si>
    <t>RT1</t>
  </si>
  <si>
    <t>DC1</t>
  </si>
  <si>
    <t>TAB Taiwan 28-11-24</t>
  </si>
  <si>
    <t>E7</t>
  </si>
  <si>
    <t>No.1_Clone3-NHGRI cell-11</t>
  </si>
  <si>
    <t>Frozen</t>
  </si>
  <si>
    <t>Whole embryo</t>
  </si>
  <si>
    <t>alive/abnormal freeze at Day 6</t>
  </si>
  <si>
    <t>Freeze</t>
  </si>
  <si>
    <t>CL2</t>
  </si>
  <si>
    <t>RT2</t>
  </si>
  <si>
    <t>DC2</t>
  </si>
  <si>
    <t>TAB Taiwan 20-03-25</t>
  </si>
  <si>
    <t>E4</t>
  </si>
  <si>
    <t>No.2_Clone6-TU cell-12</t>
  </si>
  <si>
    <t>death at day 8</t>
  </si>
  <si>
    <t>CL3</t>
  </si>
  <si>
    <t>RT3</t>
  </si>
  <si>
    <t>DC3</t>
  </si>
  <si>
    <t>E6</t>
  </si>
  <si>
    <t>No.3_Clone2-NHGRI cell-12</t>
  </si>
  <si>
    <t>alive/abnormal freeze at  Day 7</t>
  </si>
  <si>
    <t>CL4</t>
  </si>
  <si>
    <t>No.4_Clone3-NHGRI cell-12</t>
  </si>
  <si>
    <t>CL5</t>
  </si>
  <si>
    <t>RT20</t>
  </si>
  <si>
    <t>DC4</t>
  </si>
  <si>
    <t>E5</t>
  </si>
  <si>
    <t>No.5_Clone1-AB cell-16</t>
  </si>
  <si>
    <t>CL6</t>
  </si>
  <si>
    <t>RT4</t>
  </si>
  <si>
    <t>No.6_Clone3-AB cell-16</t>
  </si>
  <si>
    <t>Alive</t>
  </si>
  <si>
    <t>Caudal fin clip</t>
  </si>
  <si>
    <t>M</t>
  </si>
  <si>
    <t>Normal alive at fish room 2025-09-29</t>
  </si>
  <si>
    <t>Day 46</t>
  </si>
  <si>
    <t>CL7</t>
  </si>
  <si>
    <t>No.7_Clone5-AB cell-16</t>
  </si>
  <si>
    <t>alive/abnormal freeze at Day 4</t>
  </si>
  <si>
    <t>CL8</t>
  </si>
  <si>
    <t>RT5</t>
  </si>
  <si>
    <t>DC5</t>
  </si>
  <si>
    <t>No.8_Clone5-NHGRI cell-13</t>
  </si>
  <si>
    <t>RT6</t>
  </si>
  <si>
    <t>DC6</t>
  </si>
  <si>
    <t>E3</t>
  </si>
  <si>
    <t>No.9_Clone4-AB cell-17</t>
  </si>
  <si>
    <t>Discarded</t>
  </si>
  <si>
    <t>Alive abnormal/degenerate</t>
  </si>
  <si>
    <t>Disscard</t>
  </si>
  <si>
    <t>CL9</t>
  </si>
  <si>
    <t>No.10_Clone4-AB cell-17</t>
  </si>
  <si>
    <t>CL10</t>
  </si>
  <si>
    <t>No.11_Clone4-AB cell-17</t>
  </si>
  <si>
    <t>Alive normal / fish room</t>
  </si>
  <si>
    <t>Day 39</t>
  </si>
  <si>
    <t>CL11</t>
  </si>
  <si>
    <t>RT7</t>
  </si>
  <si>
    <t>DC7</t>
  </si>
  <si>
    <t>No.12_Clone2-TU cell-13</t>
  </si>
  <si>
    <t>alive/abnormal freeze at Day 3</t>
  </si>
  <si>
    <t>CL12</t>
  </si>
  <si>
    <t>No.13_Clone5-TU cell-13</t>
  </si>
  <si>
    <t>CL30</t>
  </si>
  <si>
    <t>RT8</t>
  </si>
  <si>
    <t>DC8</t>
  </si>
  <si>
    <t>No.14_Clone4-NHGRI-14</t>
  </si>
  <si>
    <t>F</t>
  </si>
  <si>
    <t>Normal alive at fish room 2025-10-13</t>
  </si>
  <si>
    <t>Day 32</t>
  </si>
  <si>
    <t>CL13</t>
  </si>
  <si>
    <t>RT9</t>
  </si>
  <si>
    <t>DC9</t>
  </si>
  <si>
    <t>No.15_Clone5-AB cell-18</t>
  </si>
  <si>
    <t>CL14</t>
  </si>
  <si>
    <t>No.16_Clone6-AB cell-18</t>
  </si>
  <si>
    <t>CL15</t>
  </si>
  <si>
    <t>RT10</t>
  </si>
  <si>
    <t>DC10</t>
  </si>
  <si>
    <t>NHGRI Chunks cells-1</t>
  </si>
  <si>
    <t>No.17_Clone3-NHGRI cell-01</t>
  </si>
  <si>
    <t>alive/abnormal freeze at Day 5</t>
  </si>
  <si>
    <t>RT18</t>
  </si>
  <si>
    <t>DC12</t>
  </si>
  <si>
    <t>No.18_Clone3-NHGRI cell-15</t>
  </si>
  <si>
    <t xml:space="preserve">Alive normal </t>
  </si>
  <si>
    <t>Day 22</t>
  </si>
  <si>
    <t>Box-4
There were 5 fish. 
One died, so 4 are left.</t>
  </si>
  <si>
    <t>CL16</t>
  </si>
  <si>
    <t>No.19_Clone1-NHGRI cell-15</t>
  </si>
  <si>
    <t>Alive normal</t>
  </si>
  <si>
    <t>CL17</t>
  </si>
  <si>
    <t>No.20_Clone1-NHGRI cell-15</t>
  </si>
  <si>
    <t>CL18</t>
  </si>
  <si>
    <t>No.21_Clone4-NHGRI cell-15</t>
  </si>
  <si>
    <t>CL19</t>
  </si>
  <si>
    <t>RT11</t>
  </si>
  <si>
    <t>No.22_Clone5-NHGRI cell-15</t>
  </si>
  <si>
    <t>Abnormal,short-tailed zebrafish</t>
  </si>
  <si>
    <t>CL20</t>
  </si>
  <si>
    <t>No.23_Clone1-NHGRI cell-15</t>
  </si>
  <si>
    <t>RT12</t>
  </si>
  <si>
    <t>DC13</t>
  </si>
  <si>
    <t>E2</t>
  </si>
  <si>
    <t>No.24_Clone6-AB cell-19</t>
  </si>
  <si>
    <t>Alive abnormal/ degenerate at day 8</t>
  </si>
  <si>
    <t>CL21</t>
  </si>
  <si>
    <t>RT19</t>
  </si>
  <si>
    <t>DC14</t>
  </si>
  <si>
    <t>No.25_Clone7-TU cell-01</t>
  </si>
  <si>
    <t>Day 12</t>
  </si>
  <si>
    <t>CL22</t>
  </si>
  <si>
    <t>DC15</t>
  </si>
  <si>
    <t>No.26_Clone4-TU cell-02</t>
  </si>
  <si>
    <t>alive/abnormal freeze at Day  6</t>
  </si>
  <si>
    <t>No.27_Clone1-TU cell-02</t>
  </si>
  <si>
    <t>degenerate at day 5 in system (2025-11-08)</t>
  </si>
  <si>
    <t>Box-6
There were 3 fish.
One died, so 2 are left.</t>
  </si>
  <si>
    <t>No.28_Clone2-TU cell-02</t>
  </si>
  <si>
    <t>Day 8</t>
  </si>
  <si>
    <t>CL31</t>
  </si>
  <si>
    <t>RT13</t>
  </si>
  <si>
    <t>No.29_Clone8-TU cell-02</t>
  </si>
  <si>
    <t xml:space="preserve"> </t>
  </si>
  <si>
    <t>CL23</t>
  </si>
  <si>
    <t>RT14</t>
  </si>
  <si>
    <t>DC16</t>
  </si>
  <si>
    <t>No.30_Clone2-AB cell-04</t>
  </si>
  <si>
    <t>Day 4</t>
  </si>
  <si>
    <t>CL24</t>
  </si>
  <si>
    <t>No.31_Clone5-AB cell-04</t>
  </si>
  <si>
    <t>CL25</t>
  </si>
  <si>
    <t>RT15</t>
  </si>
  <si>
    <t>DC17</t>
  </si>
  <si>
    <t>No.32_Clone1-NHGRI_cell-17</t>
  </si>
  <si>
    <t>CL26</t>
  </si>
  <si>
    <t>RT16</t>
  </si>
  <si>
    <t>DC18</t>
  </si>
  <si>
    <t>LongFin 23-05-25</t>
  </si>
  <si>
    <t>E9</t>
  </si>
  <si>
    <t>No.33_Clone1-NHGRI_cell-18</t>
  </si>
  <si>
    <t>Anal fin clip</t>
  </si>
  <si>
    <t>CL27</t>
  </si>
  <si>
    <t>No.34_Clone1-NHGRI_cell-18</t>
  </si>
  <si>
    <t>No.35_Clone5-NHGRI_cell-18</t>
  </si>
  <si>
    <t>CL28</t>
  </si>
  <si>
    <t>No.36_Clone6-NHGRI_cell-18</t>
  </si>
  <si>
    <t>No.37_Clone2-NHGRI_cell-18</t>
  </si>
  <si>
    <t>No.38_Clone3-NHGRI_cell-18</t>
  </si>
  <si>
    <t>RT17</t>
  </si>
  <si>
    <t>DC19</t>
  </si>
  <si>
    <t>E1</t>
  </si>
  <si>
    <t>No.39_Clone2-NHGRI_cell-19</t>
  </si>
  <si>
    <t>No.40_Clone3-NHGRI_cell-19</t>
  </si>
  <si>
    <t>No.41_Clone4-NHGRI_cell-19</t>
  </si>
  <si>
    <t>No.42_Clone5-NHGRI_cell-19</t>
  </si>
  <si>
    <t>No.43_Clone6-NHGRI_cell-19</t>
  </si>
  <si>
    <t>No.44_Clone7-NHGRI_cell-19</t>
  </si>
  <si>
    <t>CL29</t>
  </si>
  <si>
    <t>No.45_Clone1-NHGRI_cell-19</t>
  </si>
  <si>
    <t>No.46_Clone3-NHGRI_cell-19</t>
  </si>
  <si>
    <t xml:space="preserve">    </t>
  </si>
  <si>
    <t>Replicate</t>
  </si>
  <si>
    <t>Date</t>
  </si>
  <si>
    <t>Row Labels</t>
  </si>
  <si>
    <t>Grand Total</t>
  </si>
  <si>
    <t>Column Labels</t>
  </si>
  <si>
    <t>Sequence</t>
  </si>
  <si>
    <t>Group_Rep</t>
  </si>
  <si>
    <t>Gr_Rep</t>
  </si>
  <si>
    <t>AB_1</t>
  </si>
  <si>
    <t>AB_2</t>
  </si>
  <si>
    <t>AB_3</t>
  </si>
  <si>
    <t>AB_4</t>
  </si>
  <si>
    <t>AB_5</t>
  </si>
  <si>
    <t>AB_6</t>
  </si>
  <si>
    <t>AB_7</t>
  </si>
  <si>
    <t>AB_8</t>
  </si>
  <si>
    <t>AB_9</t>
  </si>
  <si>
    <t>NHGRI_1</t>
  </si>
  <si>
    <t>NHGRI_2</t>
  </si>
  <si>
    <t>NHGRI_3</t>
  </si>
  <si>
    <t>NHGRI_4</t>
  </si>
  <si>
    <t>NHGRI_5</t>
  </si>
  <si>
    <t>NHGRI_6</t>
  </si>
  <si>
    <t>NHGRI_7</t>
  </si>
  <si>
    <t>NHGRI_8</t>
  </si>
  <si>
    <t>NHGRI_9</t>
  </si>
  <si>
    <t>NHGRI_10</t>
  </si>
  <si>
    <t>egg ไม่มี micropyle injected ตำแหน่ง animal pole เลย
No.1_Abnormal;Freeze-80@2025-09-30 Day6</t>
  </si>
  <si>
    <t>TU_1</t>
  </si>
  <si>
    <t>TU_2</t>
  </si>
  <si>
    <t>TU_3</t>
  </si>
  <si>
    <t>TU_4</t>
  </si>
  <si>
    <t>TU_5</t>
  </si>
  <si>
    <t>TU_6</t>
  </si>
  <si>
    <t>TU_7</t>
  </si>
  <si>
    <t>01_Activate</t>
  </si>
  <si>
    <t>Gr_Batch</t>
  </si>
  <si>
    <t>BatchRun</t>
  </si>
  <si>
    <t>Group_Batch</t>
  </si>
  <si>
    <t>TU_1_1</t>
  </si>
  <si>
    <t>TU_1_2</t>
  </si>
  <si>
    <t>TU_1_3</t>
  </si>
  <si>
    <t>TU_1_4</t>
  </si>
  <si>
    <t>TU_1_5</t>
  </si>
  <si>
    <t>TU_1_6</t>
  </si>
  <si>
    <t>TU_1_7</t>
  </si>
  <si>
    <t>TU_1_8</t>
  </si>
  <si>
    <t>TU_1_9</t>
  </si>
  <si>
    <t>TU_1_10</t>
  </si>
  <si>
    <t>TU_1_11</t>
  </si>
  <si>
    <t>TU_1_12</t>
  </si>
  <si>
    <t>TU_1_13</t>
  </si>
  <si>
    <t>NHGRI_1_1</t>
  </si>
  <si>
    <t>NHGRI_1_2</t>
  </si>
  <si>
    <t>NHGRI_1_3</t>
  </si>
  <si>
    <t>NHGRI_1_4</t>
  </si>
  <si>
    <t>NHGRI_1_5</t>
  </si>
  <si>
    <t>NHGRI_1_6</t>
  </si>
  <si>
    <t>NHGRI_1_7</t>
  </si>
  <si>
    <t>NHGRI_1_8</t>
  </si>
  <si>
    <t>AB_1_1</t>
  </si>
  <si>
    <t>AB_1_2</t>
  </si>
  <si>
    <t>AB_1_3</t>
  </si>
  <si>
    <t>AB_1_4</t>
  </si>
  <si>
    <t>AB_1_5</t>
  </si>
  <si>
    <t>AB_1_6</t>
  </si>
  <si>
    <t>AB_1_7</t>
  </si>
  <si>
    <t>AB_1_8</t>
  </si>
  <si>
    <t>AB_1_9</t>
  </si>
  <si>
    <t>AB_1_10</t>
  </si>
  <si>
    <t>AB_1_11</t>
  </si>
  <si>
    <t>AB_1_12</t>
  </si>
  <si>
    <t>AB_1_13</t>
  </si>
  <si>
    <t>AB_1_14</t>
  </si>
  <si>
    <t>AB_1_15</t>
  </si>
  <si>
    <t>TU_2_1</t>
  </si>
  <si>
    <t>TU_2_2</t>
  </si>
  <si>
    <t>TU_2_3</t>
  </si>
  <si>
    <t>TU_2_4</t>
  </si>
  <si>
    <t>TU_2_5</t>
  </si>
  <si>
    <t>TU_2_6</t>
  </si>
  <si>
    <t>TU_2_7</t>
  </si>
  <si>
    <t>TU_2_8</t>
  </si>
  <si>
    <t>TU_2_9</t>
  </si>
  <si>
    <t>TU_2_10</t>
  </si>
  <si>
    <t>TU_2_11</t>
  </si>
  <si>
    <t>TU_2_12</t>
  </si>
  <si>
    <t>TU_2_13</t>
  </si>
  <si>
    <t>TU_2_14</t>
  </si>
  <si>
    <t>NHGRI_2_1</t>
  </si>
  <si>
    <t>NHGRI_2_2</t>
  </si>
  <si>
    <t>NHGRI_2_3</t>
  </si>
  <si>
    <t>NHGRI_2_4</t>
  </si>
  <si>
    <t>NHGRI_2_5</t>
  </si>
  <si>
    <t>NHGRI_2_6</t>
  </si>
  <si>
    <t>NHGRI_2_7</t>
  </si>
  <si>
    <t>NHGRI_2_8</t>
  </si>
  <si>
    <t>NHGRI_2_9</t>
  </si>
  <si>
    <t>NHGRI_2_10</t>
  </si>
  <si>
    <t>NHGRI_2_11</t>
  </si>
  <si>
    <t>NHGRI_2_12</t>
  </si>
  <si>
    <t>NHGRI_2_13</t>
  </si>
  <si>
    <t>NHGRI_2_14</t>
  </si>
  <si>
    <t>NHGRI_2_15</t>
  </si>
  <si>
    <t>NHGRI_2_16</t>
  </si>
  <si>
    <t>NHGRI_2_17</t>
  </si>
  <si>
    <t>AB_2_1</t>
  </si>
  <si>
    <t>AB_2_2</t>
  </si>
  <si>
    <t>AB_2_3</t>
  </si>
  <si>
    <t>AB_2_4</t>
  </si>
  <si>
    <t>AB_2_5</t>
  </si>
  <si>
    <t>AB_2_6</t>
  </si>
  <si>
    <t>AB_2_7</t>
  </si>
  <si>
    <t>AB_2_8</t>
  </si>
  <si>
    <t>AB_2_9</t>
  </si>
  <si>
    <t>AB_2_10</t>
  </si>
  <si>
    <t>AB_2_11</t>
  </si>
  <si>
    <t>AB_2_12</t>
  </si>
  <si>
    <t>TU_3_1</t>
  </si>
  <si>
    <t>TU_3_2</t>
  </si>
  <si>
    <t>TU_3_3</t>
  </si>
  <si>
    <t>TU_3_4</t>
  </si>
  <si>
    <t>TU_3_5</t>
  </si>
  <si>
    <t>TU_3_6</t>
  </si>
  <si>
    <t>TU_3_7</t>
  </si>
  <si>
    <t>TU_3_8</t>
  </si>
  <si>
    <t>TU_3_9</t>
  </si>
  <si>
    <t>TU_3_10</t>
  </si>
  <si>
    <t>TU_3_11</t>
  </si>
  <si>
    <t>TU_3_12</t>
  </si>
  <si>
    <t>TU_3_13</t>
  </si>
  <si>
    <t>TU_3_14</t>
  </si>
  <si>
    <t>TU_3_15</t>
  </si>
  <si>
    <t>TU_3_16</t>
  </si>
  <si>
    <t>TU_3_17</t>
  </si>
  <si>
    <t>TU_3_18</t>
  </si>
  <si>
    <t>TU_3_19</t>
  </si>
  <si>
    <t>TU_3_20</t>
  </si>
  <si>
    <t>TU_3_21</t>
  </si>
  <si>
    <t>NHGRI_3_1</t>
  </si>
  <si>
    <t>NHGRI_3_2</t>
  </si>
  <si>
    <t>NHGRI_3_3</t>
  </si>
  <si>
    <t>NHGRI_3_4</t>
  </si>
  <si>
    <t>NHGRI_3_5</t>
  </si>
  <si>
    <t>NHGRI_3_6</t>
  </si>
  <si>
    <t>NHGRI_3_7</t>
  </si>
  <si>
    <t>NHGRI_3_8</t>
  </si>
  <si>
    <t>NHGRI_3_9</t>
  </si>
  <si>
    <t>NHGRI_3_10</t>
  </si>
  <si>
    <t>NHGRI_3_11</t>
  </si>
  <si>
    <t>NHGRI_3_12</t>
  </si>
  <si>
    <t>AB_3_1</t>
  </si>
  <si>
    <t>AB_3_2</t>
  </si>
  <si>
    <t>AB_3_3</t>
  </si>
  <si>
    <t>AB_3_4</t>
  </si>
  <si>
    <t>AB_3_5</t>
  </si>
  <si>
    <t>AB_3_6</t>
  </si>
  <si>
    <t>AB_3_7</t>
  </si>
  <si>
    <t>AB_3_8</t>
  </si>
  <si>
    <t>AB_3_9</t>
  </si>
  <si>
    <t>AB_3_10</t>
  </si>
  <si>
    <t>AB_3_11</t>
  </si>
  <si>
    <t>AB_3_12</t>
  </si>
  <si>
    <t>AB_3_13</t>
  </si>
  <si>
    <t>AB_3_14</t>
  </si>
  <si>
    <t>AB_3_15</t>
  </si>
  <si>
    <t>TU_4_1</t>
  </si>
  <si>
    <t>TU_4_2</t>
  </si>
  <si>
    <t>TU_4_3</t>
  </si>
  <si>
    <t>TU_4_4</t>
  </si>
  <si>
    <t>TU_4_5</t>
  </si>
  <si>
    <t>TU_4_6</t>
  </si>
  <si>
    <t>TU_4_7</t>
  </si>
  <si>
    <t>TU_4_8</t>
  </si>
  <si>
    <t>TU_4_9</t>
  </si>
  <si>
    <t>TU_4_10</t>
  </si>
  <si>
    <t>TU_4_11</t>
  </si>
  <si>
    <t>TU_4_12</t>
  </si>
  <si>
    <t>TU_4_13</t>
  </si>
  <si>
    <t>TU_4_14</t>
  </si>
  <si>
    <t>TU_4_15</t>
  </si>
  <si>
    <t>TU_4_16</t>
  </si>
  <si>
    <t>TU_4_17</t>
  </si>
  <si>
    <t>TU_4_18</t>
  </si>
  <si>
    <t>TU_4_19</t>
  </si>
  <si>
    <t>TU_4_20</t>
  </si>
  <si>
    <t>NHGRI_4_1</t>
  </si>
  <si>
    <t>NHGRI_4_2</t>
  </si>
  <si>
    <t>NHGRI_4_3</t>
  </si>
  <si>
    <t>NHGRI_4_4</t>
  </si>
  <si>
    <t>NHGRI_4_5</t>
  </si>
  <si>
    <t>NHGRI_4_6</t>
  </si>
  <si>
    <t>NHGRI_4_7</t>
  </si>
  <si>
    <t>NHGRI_4_8</t>
  </si>
  <si>
    <t>NHGRI_4_9</t>
  </si>
  <si>
    <t>NHGRI_4_10</t>
  </si>
  <si>
    <t>NHGRI_4_11</t>
  </si>
  <si>
    <t>NHGRI_4_12</t>
  </si>
  <si>
    <t>NHGRI_4_13</t>
  </si>
  <si>
    <t>NHGRI_4_14</t>
  </si>
  <si>
    <t>AB_4_1</t>
  </si>
  <si>
    <t>AB_4_2</t>
  </si>
  <si>
    <t>AB_4_3</t>
  </si>
  <si>
    <t>AB_4_4</t>
  </si>
  <si>
    <t>AB_4_5</t>
  </si>
  <si>
    <t>AB_4_6</t>
  </si>
  <si>
    <t>AB_4_7</t>
  </si>
  <si>
    <t>AB_4_8</t>
  </si>
  <si>
    <t>AB_4_9</t>
  </si>
  <si>
    <t>AB_4_10</t>
  </si>
  <si>
    <t>AB_4_11</t>
  </si>
  <si>
    <t>AB_4_12</t>
  </si>
  <si>
    <t>AB_4_13</t>
  </si>
  <si>
    <t>AB_4_14</t>
  </si>
  <si>
    <t>AB_4_15</t>
  </si>
  <si>
    <t>AB_4_16</t>
  </si>
  <si>
    <t>AB_4_17</t>
  </si>
  <si>
    <t>AB_4_18</t>
  </si>
  <si>
    <t>NHGRI_5_1</t>
  </si>
  <si>
    <t>NHGRI_5_2</t>
  </si>
  <si>
    <t>NHGRI_5_3</t>
  </si>
  <si>
    <t>NHGRI_5_4</t>
  </si>
  <si>
    <t>NHGRI_5_5</t>
  </si>
  <si>
    <t>NHGRI_5_6</t>
  </si>
  <si>
    <t>NHGRI_5_7</t>
  </si>
  <si>
    <t>NHGRI_5_8</t>
  </si>
  <si>
    <t>NHGRI_5_9</t>
  </si>
  <si>
    <t>NHGRI_5_10</t>
  </si>
  <si>
    <t>NHGRI_6_1</t>
  </si>
  <si>
    <t>NHGRI_6_2</t>
  </si>
  <si>
    <t>NHGRI_6_3</t>
  </si>
  <si>
    <t>NHGRI_6_4</t>
  </si>
  <si>
    <t>NHGRI_6_5</t>
  </si>
  <si>
    <t>NHGRI_6_6</t>
  </si>
  <si>
    <t>NHGRI_6_7</t>
  </si>
  <si>
    <t>NHGRI_6_8</t>
  </si>
  <si>
    <t>NHGRI_6_9</t>
  </si>
  <si>
    <t>NHGRI_6_10</t>
  </si>
  <si>
    <t>NHGRI_6_11</t>
  </si>
  <si>
    <t>NHGRI_6_12</t>
  </si>
  <si>
    <t>NHGRI_6_13</t>
  </si>
  <si>
    <t>NHGRI_6_14</t>
  </si>
  <si>
    <t>NHGRI_6_15</t>
  </si>
  <si>
    <t>NHGRI_6_16</t>
  </si>
  <si>
    <t>NHGRI_6_17</t>
  </si>
  <si>
    <t>NHGRI_6_18</t>
  </si>
  <si>
    <t>NHGRI_6_19</t>
  </si>
  <si>
    <t>NHGRI_6_20</t>
  </si>
  <si>
    <t>NHGRI_6_21</t>
  </si>
  <si>
    <t>NHGRI_6_22</t>
  </si>
  <si>
    <t>AB_5_1</t>
  </si>
  <si>
    <t>AB_5_2</t>
  </si>
  <si>
    <t>AB_5_3</t>
  </si>
  <si>
    <t>AB_5_4</t>
  </si>
  <si>
    <t>AB_5_5</t>
  </si>
  <si>
    <t>AB_5_6</t>
  </si>
  <si>
    <t>AB_5_7</t>
  </si>
  <si>
    <t>AB_5_8</t>
  </si>
  <si>
    <t>AB_5_9</t>
  </si>
  <si>
    <t>AB_5_10</t>
  </si>
  <si>
    <t>AB_5_11</t>
  </si>
  <si>
    <t>AB_5_12</t>
  </si>
  <si>
    <t>AB_5_13</t>
  </si>
  <si>
    <t>AB_5_14</t>
  </si>
  <si>
    <t>AB_5_15</t>
  </si>
  <si>
    <t>AB_5_16</t>
  </si>
  <si>
    <t>AB_6_1</t>
  </si>
  <si>
    <t>AB_6_2</t>
  </si>
  <si>
    <t>AB_6_3</t>
  </si>
  <si>
    <t>AB_6_4</t>
  </si>
  <si>
    <t>AB_6_5</t>
  </si>
  <si>
    <t>AB_6_6</t>
  </si>
  <si>
    <t>AB_6_7</t>
  </si>
  <si>
    <t>AB_6_8</t>
  </si>
  <si>
    <t>AB_6_9</t>
  </si>
  <si>
    <t>AB_6_10</t>
  </si>
  <si>
    <t>AB_6_11</t>
  </si>
  <si>
    <t>AB_6_12</t>
  </si>
  <si>
    <t>AB_6_13</t>
  </si>
  <si>
    <t>AB_6_14</t>
  </si>
  <si>
    <t>AB_6_15</t>
  </si>
  <si>
    <t>AB_6_16</t>
  </si>
  <si>
    <t>AB_6_17</t>
  </si>
  <si>
    <t>AB_6_18</t>
  </si>
  <si>
    <t>AB_6_19</t>
  </si>
  <si>
    <t>AB_7_1</t>
  </si>
  <si>
    <t>AB_7_2</t>
  </si>
  <si>
    <t>AB_7_3</t>
  </si>
  <si>
    <t>AB_7_4</t>
  </si>
  <si>
    <t>AB_7_5</t>
  </si>
  <si>
    <t>AB_7_6</t>
  </si>
  <si>
    <t>AB_7_7</t>
  </si>
  <si>
    <t>AB_7_8</t>
  </si>
  <si>
    <t>AB_7_9</t>
  </si>
  <si>
    <t>AB_7_10</t>
  </si>
  <si>
    <t>AB_7_11</t>
  </si>
  <si>
    <t>AB_7_12</t>
  </si>
  <si>
    <t>AB_7_13</t>
  </si>
  <si>
    <t>AB_7_14</t>
  </si>
  <si>
    <t>AB_7_15</t>
  </si>
  <si>
    <t>AB_7_16</t>
  </si>
  <si>
    <t>AB_7_17</t>
  </si>
  <si>
    <t>AB_7_18</t>
  </si>
  <si>
    <t>AB_7_19</t>
  </si>
  <si>
    <t>AB_7_20</t>
  </si>
  <si>
    <t>AB_7_21</t>
  </si>
  <si>
    <t>TU_5_1</t>
  </si>
  <si>
    <t>TU_5_2</t>
  </si>
  <si>
    <t>TU_5_3</t>
  </si>
  <si>
    <t>TU_5_4</t>
  </si>
  <si>
    <t>TU_5_5</t>
  </si>
  <si>
    <t>TU_5_6</t>
  </si>
  <si>
    <t>TU_5_7</t>
  </si>
  <si>
    <t>TU_5_8</t>
  </si>
  <si>
    <t>TU_5_9</t>
  </si>
  <si>
    <t>TU_5_10</t>
  </si>
  <si>
    <t>TU_5_11</t>
  </si>
  <si>
    <t>TU_5_12</t>
  </si>
  <si>
    <t>TU_5_13</t>
  </si>
  <si>
    <t>TU_5_14</t>
  </si>
  <si>
    <t>TU_5_15</t>
  </si>
  <si>
    <t>TU_5_16</t>
  </si>
  <si>
    <t>TU_5_17</t>
  </si>
  <si>
    <t>TU_5_18</t>
  </si>
  <si>
    <t>AB_8_1</t>
  </si>
  <si>
    <t>AB_8_2</t>
  </si>
  <si>
    <t>AB_8_3</t>
  </si>
  <si>
    <t>AB_8_4</t>
  </si>
  <si>
    <t>AB_8_5</t>
  </si>
  <si>
    <t>AB_8_6</t>
  </si>
  <si>
    <t>AB_8_7</t>
  </si>
  <si>
    <t>AB_8_8</t>
  </si>
  <si>
    <t>AB_8_9</t>
  </si>
  <si>
    <t>AB_8_10</t>
  </si>
  <si>
    <t>AB_8_11</t>
  </si>
  <si>
    <t>AB_8_12</t>
  </si>
  <si>
    <t>AB_8_13</t>
  </si>
  <si>
    <t>TU_6_1</t>
  </si>
  <si>
    <t>TU_6_2</t>
  </si>
  <si>
    <t>TU_6_3</t>
  </si>
  <si>
    <t>TU_6_4</t>
  </si>
  <si>
    <t>TU_6_5</t>
  </si>
  <si>
    <t>TU_6_6</t>
  </si>
  <si>
    <t>TU_6_7</t>
  </si>
  <si>
    <t>TU_6_8</t>
  </si>
  <si>
    <t>TU_6_9</t>
  </si>
  <si>
    <t>TU_6_10</t>
  </si>
  <si>
    <t>TU_6_11</t>
  </si>
  <si>
    <t>TU_6_12</t>
  </si>
  <si>
    <t>TU_6_13</t>
  </si>
  <si>
    <t>TU_6_14</t>
  </si>
  <si>
    <t>TU_6_15</t>
  </si>
  <si>
    <t>TU_6_16</t>
  </si>
  <si>
    <t>TU_6_17</t>
  </si>
  <si>
    <t>TU_6_18</t>
  </si>
  <si>
    <t>TU_6_19</t>
  </si>
  <si>
    <t>TU_6_20</t>
  </si>
  <si>
    <t>TU_6_21</t>
  </si>
  <si>
    <t>TU_6_22</t>
  </si>
  <si>
    <t>TU_6_23</t>
  </si>
  <si>
    <t>TU_6_24</t>
  </si>
  <si>
    <t>TU_6_25</t>
  </si>
  <si>
    <t>AB_9_1</t>
  </si>
  <si>
    <t>AB_9_2</t>
  </si>
  <si>
    <t>AB_9_3</t>
  </si>
  <si>
    <t>AB_9_4</t>
  </si>
  <si>
    <t>AB_9_5</t>
  </si>
  <si>
    <t>AB_9_6</t>
  </si>
  <si>
    <t>AB_9_7</t>
  </si>
  <si>
    <t>AB_9_8</t>
  </si>
  <si>
    <t>AB_9_9</t>
  </si>
  <si>
    <t>AB_9_10</t>
  </si>
  <si>
    <t>AB_9_11</t>
  </si>
  <si>
    <t>TU_7_1</t>
  </si>
  <si>
    <t>TU_7_2</t>
  </si>
  <si>
    <t>TU_7_3</t>
  </si>
  <si>
    <t>TU_7_4</t>
  </si>
  <si>
    <t>TU_7_5</t>
  </si>
  <si>
    <t>TU_7_6</t>
  </si>
  <si>
    <t>TU_7_7</t>
  </si>
  <si>
    <t>TU_7_8</t>
  </si>
  <si>
    <t>TU_7_9</t>
  </si>
  <si>
    <t>TU_7_10</t>
  </si>
  <si>
    <t>TU_7_11</t>
  </si>
  <si>
    <t>TU_7_12</t>
  </si>
  <si>
    <t>TU_7_13</t>
  </si>
  <si>
    <t>TU_7_14</t>
  </si>
  <si>
    <t>TU_7_15</t>
  </si>
  <si>
    <t>NHGRI_7_1</t>
  </si>
  <si>
    <t>NHGRI_7_2</t>
  </si>
  <si>
    <t>NHGRI_7_3</t>
  </si>
  <si>
    <t>NHGRI_7_4</t>
  </si>
  <si>
    <t>NHGRI_7_5</t>
  </si>
  <si>
    <t>NHGRI_7_6</t>
  </si>
  <si>
    <t>NHGRI_7_7</t>
  </si>
  <si>
    <t>NHGRI_7_8</t>
  </si>
  <si>
    <t>NHGRI_7_9</t>
  </si>
  <si>
    <t>NHGRI_7_10</t>
  </si>
  <si>
    <t>NHGRI_7_11</t>
  </si>
  <si>
    <t>NHGRI_8_1</t>
  </si>
  <si>
    <t>NHGRI_8_2</t>
  </si>
  <si>
    <t>NHGRI_8_3</t>
  </si>
  <si>
    <t>NHGRI_8_4</t>
  </si>
  <si>
    <t>NHGRI_8_5</t>
  </si>
  <si>
    <t>NHGRI_8_6</t>
  </si>
  <si>
    <t>NHGRI_8_7</t>
  </si>
  <si>
    <t>NHGRI_8_8</t>
  </si>
  <si>
    <t>NHGRI_8_9</t>
  </si>
  <si>
    <t>NHGRI_8_10</t>
  </si>
  <si>
    <t>NHGRI_8_11</t>
  </si>
  <si>
    <t>NHGRI_8_12</t>
  </si>
  <si>
    <t>NHGRI_8_13</t>
  </si>
  <si>
    <t>NHGRI_8_14</t>
  </si>
  <si>
    <t>NHGRI_8_15</t>
  </si>
  <si>
    <t>NHGRI_9_1</t>
  </si>
  <si>
    <t>NHGRI_9_2</t>
  </si>
  <si>
    <t>NHGRI_9_3</t>
  </si>
  <si>
    <t>NHGRI_9_4</t>
  </si>
  <si>
    <t>NHGRI_9_5</t>
  </si>
  <si>
    <t>NHGRI_9_6</t>
  </si>
  <si>
    <t>NHGRI_9_7</t>
  </si>
  <si>
    <t>NHGRI_9_8</t>
  </si>
  <si>
    <t>NHGRI_9_9</t>
  </si>
  <si>
    <t>NHGRI_9_10</t>
  </si>
  <si>
    <t>NHGRI_9_11</t>
  </si>
  <si>
    <t>NHGRI_9_12</t>
  </si>
  <si>
    <t>NHGRI_9_13</t>
  </si>
  <si>
    <t>NHGRI_9_14</t>
  </si>
  <si>
    <t>NHGRI_10_1</t>
  </si>
  <si>
    <t>NHGRI_10_2</t>
  </si>
  <si>
    <t>NHGRI_10_3</t>
  </si>
  <si>
    <t>NHGRI_10_4</t>
  </si>
  <si>
    <t>NHGRI_10_5</t>
  </si>
  <si>
    <t>NHGRI_10_6</t>
  </si>
  <si>
    <t>NHGRI_10_7</t>
  </si>
  <si>
    <t>NHGRI_10_8</t>
  </si>
  <si>
    <t>NHGRI_10_9</t>
  </si>
  <si>
    <t>NHGRI_10_10</t>
  </si>
  <si>
    <t>NHGRI_10_11</t>
  </si>
  <si>
    <t>NHGRI_10_12</t>
  </si>
  <si>
    <t>NHGRI_10_13</t>
  </si>
  <si>
    <t>NHGRI_10_14</t>
  </si>
  <si>
    <t>NHGRI_10_15</t>
  </si>
  <si>
    <t>NHGRI_10_16</t>
  </si>
  <si>
    <t>NHGRI_10_17</t>
  </si>
  <si>
    <t>NHGRI_10_18</t>
  </si>
  <si>
    <t>NHGRI_10_19</t>
  </si>
  <si>
    <t>NHGRI_10_20</t>
  </si>
  <si>
    <t>01_Activated</t>
  </si>
  <si>
    <t>02_2-cell</t>
  </si>
  <si>
    <t>03_4-cell</t>
  </si>
  <si>
    <t>04_8-cell</t>
  </si>
  <si>
    <t>05_16-cell</t>
  </si>
  <si>
    <t>06_32-cell</t>
  </si>
  <si>
    <t>07_64-cell</t>
  </si>
  <si>
    <t>08_128-cell</t>
  </si>
  <si>
    <t>09_256-cell</t>
  </si>
  <si>
    <t>10_512-cell</t>
  </si>
  <si>
    <t>11_1k-cell</t>
  </si>
  <si>
    <t>12_High</t>
  </si>
  <si>
    <t>13_Oblong</t>
  </si>
  <si>
    <t>14_Sphere</t>
  </si>
  <si>
    <t>15_Dome</t>
  </si>
  <si>
    <t>16_30%epi</t>
  </si>
  <si>
    <t>17_50%epi</t>
  </si>
  <si>
    <t>18_Germ ring</t>
  </si>
  <si>
    <t>19_Shield</t>
  </si>
  <si>
    <t>20_75%epi</t>
  </si>
  <si>
    <t>21_90%epi</t>
  </si>
  <si>
    <t>22_Day1</t>
  </si>
  <si>
    <t>23_Day2</t>
  </si>
  <si>
    <t>SUM</t>
  </si>
  <si>
    <t>InSystem</t>
  </si>
  <si>
    <t>SumText</t>
  </si>
  <si>
    <t>512-cell (2.75 h)</t>
  </si>
  <si>
    <t>1k-cell (3 h)</t>
  </si>
  <si>
    <t>High (3.3 h)</t>
  </si>
  <si>
    <t>Oblong (3.7 h)</t>
  </si>
  <si>
    <t>Sphere (4 h)</t>
  </si>
  <si>
    <t>Dome (4.3 h)</t>
  </si>
  <si>
    <t>30%epi (4.7 h)</t>
  </si>
  <si>
    <t>50%epi (5.3 h)</t>
  </si>
  <si>
    <t>Germ ring (5.7 h)</t>
  </si>
  <si>
    <t>Shield (6 h)</t>
  </si>
  <si>
    <t>75%epi (8 h)</t>
  </si>
  <si>
    <t>90%epi (9 h)</t>
  </si>
  <si>
    <t>18_GermRing</t>
  </si>
  <si>
    <t>Sum of 09_256-cell</t>
  </si>
  <si>
    <t>2-cell</t>
  </si>
  <si>
    <t>4-cell</t>
  </si>
  <si>
    <t>8-cell</t>
  </si>
  <si>
    <t>16-cell</t>
  </si>
  <si>
    <t>32-cell</t>
  </si>
  <si>
    <t>64-cell</t>
  </si>
  <si>
    <t>256-cell</t>
  </si>
  <si>
    <t>512-cell</t>
  </si>
  <si>
    <t>High</t>
  </si>
  <si>
    <t>Oblong</t>
  </si>
  <si>
    <t>Sphere</t>
  </si>
  <si>
    <t>Dome</t>
  </si>
  <si>
    <t>Shield</t>
  </si>
  <si>
    <t>Date of NT</t>
  </si>
  <si>
    <t>Total Embryos Activated</t>
  </si>
  <si>
    <t>1000-cell</t>
  </si>
  <si>
    <t>30% epi</t>
  </si>
  <si>
    <t>50% epi</t>
  </si>
  <si>
    <t>75% epi</t>
  </si>
  <si>
    <t>90% epi</t>
  </si>
  <si>
    <t>Day1 Normal</t>
  </si>
  <si>
    <t>Day 1 abnormal</t>
  </si>
  <si>
    <t>Swimming Larva (day 4-5)</t>
  </si>
  <si>
    <t>Stage Indeterminate on EVOS</t>
  </si>
  <si>
    <t>Recorded in Teams By</t>
  </si>
  <si>
    <t>% development (day 1 normal over total activated</t>
  </si>
  <si>
    <t>One body frozen 11/13/25, another on 11/14/25</t>
  </si>
  <si>
    <t>SF</t>
  </si>
  <si>
    <t>some eggs w/o micropyles (not injected</t>
  </si>
  <si>
    <t>Nat. fert. control = 0%</t>
  </si>
  <si>
    <t>some eggs w/o micropyles (not injected), natural fert control 58%</t>
  </si>
  <si>
    <t>body disintegrated, not frozen</t>
  </si>
  <si>
    <t>incubator not turned on until ~4 pm, no nat. fert. control due to fish not breeding</t>
  </si>
  <si>
    <t>many eggs did not fully expand</t>
  </si>
  <si>
    <t>last batches had poor expansion</t>
  </si>
  <si>
    <t>body was not frozen</t>
  </si>
  <si>
    <t>all 3 died around days 10-12; bodies frozen</t>
  </si>
  <si>
    <t>1 died on day 2, body was frozen. Another died and was frozen on 11/14/25</t>
  </si>
  <si>
    <t>1/2 embryo vial used</t>
  </si>
  <si>
    <t>2-cell_Normal</t>
  </si>
  <si>
    <t>2-cell_Abnormal</t>
  </si>
  <si>
    <t>2-cell_All</t>
  </si>
  <si>
    <t>Day1_All</t>
  </si>
  <si>
    <t>22_Day3</t>
  </si>
  <si>
    <t>08_256-cell</t>
  </si>
  <si>
    <t>09_512-cell</t>
  </si>
  <si>
    <t>10_1000-cell</t>
  </si>
  <si>
    <t>11_High</t>
  </si>
  <si>
    <t>12_Oblong</t>
  </si>
  <si>
    <t>13_Sphere</t>
  </si>
  <si>
    <t>14_Dome</t>
  </si>
  <si>
    <t>15_30%epi</t>
  </si>
  <si>
    <t>16_50%epi</t>
  </si>
  <si>
    <t>17_GermRing</t>
  </si>
  <si>
    <t>18_Shield</t>
  </si>
  <si>
    <t>19_75%epi</t>
  </si>
  <si>
    <t>20_90%epi</t>
  </si>
  <si>
    <t>21_Day1</t>
  </si>
  <si>
    <t>23_Swimming</t>
  </si>
  <si>
    <t>Sum of 01_Activate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</si>
</sst>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h:mm;@"/>
    <numFmt numFmtId="166" formatCode="m/d/yy;@"/>
    <numFmt numFmtId="167" formatCode="0.0"/>
  </numFmts>
  <fonts count="44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22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Tahoma"/>
      <family val="2"/>
    </font>
    <font>
      <sz val="11"/>
      <color rgb="FF0070C0"/>
      <name val="Wingdings"/>
      <charset val="2"/>
    </font>
    <font>
      <sz val="11"/>
      <color theme="1"/>
      <name val="Tahoma"/>
      <family val="2"/>
    </font>
    <font>
      <b/>
      <sz val="11"/>
      <name val="Calibri"/>
      <family val="2"/>
      <scheme val="minor"/>
    </font>
    <font>
      <sz val="11"/>
      <name val="Tahoma"/>
      <family val="2"/>
    </font>
    <font>
      <sz val="11"/>
      <color rgb="FF7030A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1"/>
      <name val="Aptos Narrow"/>
      <family val="2"/>
    </font>
    <font>
      <sz val="8"/>
      <name val="Calibri"/>
      <family val="2"/>
      <scheme val="minor"/>
    </font>
    <font>
      <b/>
      <sz val="11"/>
      <name val="Aptos Narrow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Aptos Narrow (Body)"/>
    </font>
    <font>
      <b/>
      <sz val="11"/>
      <color theme="1"/>
      <name val="Aptos Narrow (Body)"/>
    </font>
    <font>
      <b/>
      <sz val="10"/>
      <color theme="1"/>
      <name val="Aptos Narrow (Body)"/>
    </font>
    <font>
      <b/>
      <sz val="9"/>
      <color theme="1"/>
      <name val="Aptos Narrow (Body)"/>
    </font>
    <font>
      <sz val="9"/>
      <color theme="1"/>
      <name val="Calibri"/>
      <family val="2"/>
      <scheme val="minor"/>
    </font>
    <font>
      <b/>
      <sz val="11"/>
      <color rgb="FF0E2841"/>
      <name val="Aptos Narrow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E2841"/>
      <name val="Aptos Narrow"/>
      <family val="2"/>
    </font>
    <font>
      <b/>
      <sz val="9"/>
      <color rgb="FF0E2841"/>
      <name val="Aptos Narrow"/>
      <family val="2"/>
    </font>
    <font>
      <b/>
      <sz val="8"/>
      <color theme="1"/>
      <name val="Calibri"/>
      <family val="2"/>
      <scheme val="minor"/>
    </font>
    <font>
      <sz val="11"/>
      <color rgb="FF0E284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FFFFF"/>
      </patternFill>
    </fill>
  </fills>
  <borders count="4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/>
      <diagonal/>
    </border>
    <border>
      <left/>
      <right style="thin">
        <color indexed="64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95959"/>
      </right>
      <top style="thin">
        <color rgb="FF00000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/>
      <diagonal/>
    </border>
    <border>
      <left style="thin">
        <color rgb="FF595959"/>
      </left>
      <right/>
      <top style="thin">
        <color rgb="FF000000"/>
      </top>
      <bottom style="thin">
        <color rgb="FF595959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595959"/>
      </right>
      <top style="thin">
        <color rgb="FF595959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000000"/>
      </bottom>
      <diagonal/>
    </border>
    <border>
      <left style="thin">
        <color rgb="FF595959"/>
      </left>
      <right/>
      <top style="thin">
        <color rgb="FF595959"/>
      </top>
      <bottom style="thin">
        <color rgb="FF000000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25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2" fontId="7" fillId="6" borderId="6" xfId="0" applyNumberFormat="1" applyFont="1" applyFill="1" applyBorder="1" applyAlignment="1">
      <alignment horizontal="center" vertical="center"/>
    </xf>
    <xf numFmtId="2" fontId="7" fillId="6" borderId="11" xfId="0" applyNumberFormat="1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/>
    <xf numFmtId="49" fontId="0" fillId="0" borderId="0" xfId="0" applyNumberForma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3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2" fillId="9" borderId="0" xfId="0" applyNumberFormat="1" applyFont="1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12" fillId="9" borderId="0" xfId="0" applyFont="1" applyFill="1" applyAlignment="1">
      <alignment horizontal="center" vertical="center"/>
    </xf>
    <xf numFmtId="0" fontId="4" fillId="0" borderId="0" xfId="0" applyFont="1"/>
    <xf numFmtId="0" fontId="5" fillId="10" borderId="0" xfId="0" applyFont="1" applyFill="1" applyAlignment="1">
      <alignment horizontal="center"/>
    </xf>
    <xf numFmtId="0" fontId="5" fillId="10" borderId="9" xfId="0" applyFont="1" applyFill="1" applyBorder="1" applyAlignment="1">
      <alignment horizontal="center"/>
    </xf>
    <xf numFmtId="164" fontId="5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11" fillId="10" borderId="0" xfId="0" applyFont="1" applyFill="1" applyAlignment="1">
      <alignment horizontal="center" vertical="center"/>
    </xf>
    <xf numFmtId="0" fontId="0" fillId="10" borderId="0" xfId="0" applyFill="1"/>
    <xf numFmtId="0" fontId="4" fillId="0" borderId="0" xfId="0" applyFont="1" applyAlignment="1">
      <alignment horizontal="left" vertical="center"/>
    </xf>
    <xf numFmtId="0" fontId="4" fillId="0" borderId="0" xfId="3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9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3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5" fillId="10" borderId="0" xfId="0" applyFont="1" applyFill="1" applyAlignment="1">
      <alignment vertical="center"/>
    </xf>
    <xf numFmtId="164" fontId="3" fillId="10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0" fontId="5" fillId="10" borderId="0" xfId="3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16" fillId="10" borderId="0" xfId="0" applyFont="1" applyFill="1" applyAlignment="1">
      <alignment vertical="center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10" borderId="0" xfId="0" applyFont="1" applyFill="1" applyAlignment="1">
      <alignment horizontal="center" vertical="center"/>
    </xf>
    <xf numFmtId="0" fontId="4" fillId="10" borderId="0" xfId="0" applyFont="1" applyFill="1"/>
    <xf numFmtId="0" fontId="4" fillId="10" borderId="12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164" fontId="5" fillId="10" borderId="1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/>
    </xf>
    <xf numFmtId="0" fontId="16" fillId="10" borderId="12" xfId="0" applyFont="1" applyFill="1" applyBorder="1" applyAlignment="1">
      <alignment vertical="center"/>
    </xf>
    <xf numFmtId="0" fontId="16" fillId="10" borderId="12" xfId="0" applyFont="1" applyFill="1" applyBorder="1" applyAlignment="1">
      <alignment horizontal="center" vertical="center"/>
    </xf>
    <xf numFmtId="0" fontId="5" fillId="10" borderId="12" xfId="3" applyFont="1" applyFill="1" applyBorder="1" applyAlignment="1">
      <alignment horizontal="left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2" xfId="0" applyFont="1" applyFill="1" applyBorder="1"/>
    <xf numFmtId="0" fontId="16" fillId="10" borderId="12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 vertical="center"/>
    </xf>
    <xf numFmtId="0" fontId="4" fillId="10" borderId="12" xfId="0" applyFont="1" applyFill="1" applyBorder="1"/>
    <xf numFmtId="0" fontId="18" fillId="0" borderId="0" xfId="0" applyFont="1" applyAlignment="1">
      <alignment horizontal="center" vertical="center"/>
    </xf>
    <xf numFmtId="0" fontId="19" fillId="0" borderId="0" xfId="3" applyFont="1" applyFill="1" applyBorder="1" applyAlignment="1">
      <alignment horizontal="left" vertical="center"/>
    </xf>
    <xf numFmtId="0" fontId="5" fillId="0" borderId="0" xfId="0" applyFont="1"/>
    <xf numFmtId="0" fontId="0" fillId="0" borderId="0" xfId="0" pivotButton="1"/>
    <xf numFmtId="0" fontId="16" fillId="0" borderId="0" xfId="1" applyFont="1" applyFill="1" applyBorder="1" applyAlignment="1">
      <alignment horizontal="left" vertical="top"/>
    </xf>
    <xf numFmtId="164" fontId="16" fillId="0" borderId="0" xfId="1" applyNumberFormat="1" applyFont="1" applyFill="1" applyBorder="1" applyAlignment="1">
      <alignment horizontal="left" vertical="top"/>
    </xf>
    <xf numFmtId="0" fontId="16" fillId="11" borderId="0" xfId="1" applyFont="1" applyFill="1" applyBorder="1" applyAlignment="1">
      <alignment horizontal="left" vertical="top"/>
    </xf>
    <xf numFmtId="2" fontId="16" fillId="11" borderId="0" xfId="1" applyNumberFormat="1" applyFont="1" applyFill="1" applyBorder="1" applyAlignment="1">
      <alignment horizontal="left" vertical="top"/>
    </xf>
    <xf numFmtId="1" fontId="16" fillId="11" borderId="0" xfId="1" applyNumberFormat="1" applyFont="1" applyFill="1" applyBorder="1" applyAlignment="1">
      <alignment horizontal="left" vertical="top"/>
    </xf>
    <xf numFmtId="1" fontId="16" fillId="12" borderId="0" xfId="1" applyNumberFormat="1" applyFont="1" applyFill="1" applyBorder="1" applyAlignment="1">
      <alignment horizontal="left" vertical="top"/>
    </xf>
    <xf numFmtId="0" fontId="16" fillId="12" borderId="0" xfId="1" applyFont="1" applyFill="1" applyBorder="1" applyAlignment="1">
      <alignment horizontal="left" vertical="top"/>
    </xf>
    <xf numFmtId="0" fontId="16" fillId="12" borderId="0" xfId="1" applyNumberFormat="1" applyFont="1" applyFill="1" applyBorder="1" applyAlignment="1">
      <alignment horizontal="left" vertical="top"/>
    </xf>
    <xf numFmtId="0" fontId="16" fillId="13" borderId="0" xfId="1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vertical="top"/>
    </xf>
    <xf numFmtId="49" fontId="5" fillId="0" borderId="0" xfId="0" applyNumberFormat="1" applyFont="1" applyAlignment="1">
      <alignment horizontal="left" vertical="top"/>
    </xf>
    <xf numFmtId="0" fontId="22" fillId="0" borderId="0" xfId="0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2" fontId="5" fillId="0" borderId="0" xfId="1" applyNumberFormat="1" applyFont="1" applyFill="1" applyBorder="1" applyAlignment="1">
      <alignment horizontal="left" vertical="top"/>
    </xf>
    <xf numFmtId="1" fontId="5" fillId="0" borderId="0" xfId="1" applyNumberFormat="1" applyFont="1" applyFill="1" applyBorder="1" applyAlignment="1">
      <alignment horizontal="left" vertical="top"/>
    </xf>
    <xf numFmtId="2" fontId="16" fillId="0" borderId="0" xfId="1" applyNumberFormat="1" applyFont="1" applyFill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1" fontId="16" fillId="0" borderId="0" xfId="1" applyNumberFormat="1" applyFont="1" applyFill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" fontId="21" fillId="0" borderId="0" xfId="0" applyNumberFormat="1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6" fillId="14" borderId="0" xfId="0" applyFont="1" applyFill="1" applyAlignment="1">
      <alignment horizontal="left" vertical="top"/>
    </xf>
    <xf numFmtId="164" fontId="5" fillId="14" borderId="0" xfId="0" applyNumberFormat="1" applyFont="1" applyFill="1" applyAlignment="1">
      <alignment horizontal="left" vertical="top"/>
    </xf>
    <xf numFmtId="0" fontId="5" fillId="14" borderId="0" xfId="0" applyFont="1" applyFill="1" applyAlignment="1">
      <alignment horizontal="left" vertical="top"/>
    </xf>
    <xf numFmtId="2" fontId="5" fillId="14" borderId="0" xfId="0" applyNumberFormat="1" applyFont="1" applyFill="1" applyAlignment="1">
      <alignment horizontal="left" vertical="top"/>
    </xf>
    <xf numFmtId="1" fontId="5" fillId="14" borderId="0" xfId="0" applyNumberFormat="1" applyFont="1" applyFill="1" applyAlignment="1">
      <alignment horizontal="left" vertical="top"/>
    </xf>
    <xf numFmtId="2" fontId="5" fillId="14" borderId="0" xfId="1" applyNumberFormat="1" applyFont="1" applyFill="1" applyBorder="1" applyAlignment="1">
      <alignment horizontal="left" vertical="top"/>
    </xf>
    <xf numFmtId="0" fontId="24" fillId="14" borderId="0" xfId="0" applyFont="1" applyFill="1" applyAlignment="1">
      <alignment horizontal="left" vertical="top"/>
    </xf>
    <xf numFmtId="17" fontId="5" fillId="0" borderId="0" xfId="0" applyNumberFormat="1" applyFont="1" applyAlignment="1">
      <alignment horizontal="left" vertical="top"/>
    </xf>
    <xf numFmtId="0" fontId="16" fillId="0" borderId="12" xfId="0" applyFont="1" applyBorder="1" applyAlignment="1">
      <alignment horizontal="left" vertical="top"/>
    </xf>
    <xf numFmtId="164" fontId="5" fillId="0" borderId="12" xfId="0" applyNumberFormat="1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2" fontId="5" fillId="0" borderId="12" xfId="0" applyNumberFormat="1" applyFont="1" applyBorder="1" applyAlignment="1">
      <alignment horizontal="left" vertical="top"/>
    </xf>
    <xf numFmtId="2" fontId="5" fillId="0" borderId="12" xfId="1" applyNumberFormat="1" applyFont="1" applyFill="1" applyBorder="1" applyAlignment="1">
      <alignment horizontal="left" vertical="top"/>
    </xf>
    <xf numFmtId="1" fontId="5" fillId="0" borderId="12" xfId="1" applyNumberFormat="1" applyFont="1" applyFill="1" applyBorder="1" applyAlignment="1">
      <alignment horizontal="left" vertical="top"/>
    </xf>
    <xf numFmtId="1" fontId="5" fillId="0" borderId="12" xfId="0" applyNumberFormat="1" applyFont="1" applyBorder="1" applyAlignment="1">
      <alignment horizontal="left" vertical="top"/>
    </xf>
    <xf numFmtId="0" fontId="24" fillId="0" borderId="12" xfId="0" applyFont="1" applyBorder="1" applyAlignment="1">
      <alignment horizontal="left" vertical="top"/>
    </xf>
    <xf numFmtId="1" fontId="16" fillId="0" borderId="0" xfId="0" applyNumberFormat="1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7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6" fillId="0" borderId="0" xfId="1" applyNumberFormat="1" applyFont="1" applyFill="1" applyBorder="1" applyAlignment="1">
      <alignment horizontal="left" vertical="top" wrapText="1"/>
    </xf>
    <xf numFmtId="49" fontId="25" fillId="0" borderId="0" xfId="0" applyNumberFormat="1" applyFont="1" applyAlignment="1">
      <alignment horizontal="left" vertical="top"/>
    </xf>
    <xf numFmtId="2" fontId="26" fillId="0" borderId="0" xfId="1" applyNumberFormat="1" applyFont="1" applyFill="1" applyBorder="1" applyAlignment="1">
      <alignment horizontal="left" vertical="top" wrapText="1"/>
    </xf>
    <xf numFmtId="0" fontId="26" fillId="0" borderId="0" xfId="1" applyFont="1" applyFill="1" applyBorder="1" applyAlignment="1">
      <alignment horizontal="left" vertical="top" wrapText="1"/>
    </xf>
    <xf numFmtId="0" fontId="3" fillId="0" borderId="0" xfId="0" applyFont="1"/>
    <xf numFmtId="0" fontId="31" fillId="16" borderId="25" xfId="4" applyFont="1" applyFill="1" applyBorder="1" applyAlignment="1">
      <alignment horizontal="center" vertical="center" wrapText="1"/>
    </xf>
    <xf numFmtId="0" fontId="2" fillId="0" borderId="0" xfId="2"/>
    <xf numFmtId="0" fontId="31" fillId="16" borderId="28" xfId="4" applyFont="1" applyFill="1" applyBorder="1" applyAlignment="1">
      <alignment horizontal="center" vertical="center" wrapText="1"/>
    </xf>
    <xf numFmtId="0" fontId="31" fillId="16" borderId="29" xfId="4" applyFont="1" applyFill="1" applyBorder="1" applyAlignment="1">
      <alignment vertical="center" wrapText="1"/>
    </xf>
    <xf numFmtId="0" fontId="31" fillId="16" borderId="32" xfId="4" applyFont="1" applyFill="1" applyBorder="1" applyAlignment="1">
      <alignment horizontal="center" vertical="center" wrapText="1"/>
    </xf>
    <xf numFmtId="166" fontId="9" fillId="0" borderId="27" xfId="2" applyNumberFormat="1" applyFont="1" applyBorder="1"/>
    <xf numFmtId="1" fontId="9" fillId="0" borderId="22" xfId="2" applyNumberFormat="1" applyFont="1" applyBorder="1"/>
    <xf numFmtId="0" fontId="35" fillId="0" borderId="28" xfId="4" applyFont="1" applyFill="1" applyBorder="1"/>
    <xf numFmtId="0" fontId="35" fillId="0" borderId="29" xfId="4" applyFont="1" applyFill="1" applyBorder="1"/>
    <xf numFmtId="0" fontId="35" fillId="0" borderId="34" xfId="4" applyFont="1" applyFill="1" applyBorder="1"/>
    <xf numFmtId="0" fontId="9" fillId="0" borderId="22" xfId="2" applyFont="1" applyBorder="1"/>
    <xf numFmtId="0" fontId="36" fillId="0" borderId="22" xfId="2" applyFont="1" applyBorder="1" applyAlignment="1">
      <alignment wrapText="1"/>
    </xf>
    <xf numFmtId="0" fontId="35" fillId="0" borderId="22" xfId="4" applyFont="1" applyFill="1" applyBorder="1"/>
    <xf numFmtId="0" fontId="2" fillId="0" borderId="35" xfId="2" applyBorder="1"/>
    <xf numFmtId="0" fontId="37" fillId="0" borderId="22" xfId="2" applyFont="1" applyBorder="1"/>
    <xf numFmtId="0" fontId="2" fillId="0" borderId="22" xfId="2" applyBorder="1"/>
    <xf numFmtId="0" fontId="37" fillId="0" borderId="22" xfId="2" applyFont="1" applyBorder="1" applyAlignment="1">
      <alignment wrapText="1"/>
    </xf>
    <xf numFmtId="166" fontId="2" fillId="0" borderId="27" xfId="2" applyNumberFormat="1" applyBorder="1"/>
    <xf numFmtId="0" fontId="2" fillId="0" borderId="36" xfId="2" applyBorder="1"/>
    <xf numFmtId="0" fontId="2" fillId="0" borderId="37" xfId="2" applyBorder="1"/>
    <xf numFmtId="0" fontId="2" fillId="0" borderId="27" xfId="2" applyBorder="1"/>
    <xf numFmtId="0" fontId="2" fillId="0" borderId="38" xfId="2" applyBorder="1"/>
    <xf numFmtId="0" fontId="35" fillId="0" borderId="39" xfId="4" applyFont="1" applyFill="1" applyBorder="1"/>
    <xf numFmtId="0" fontId="35" fillId="0" borderId="40" xfId="4" applyFont="1" applyFill="1" applyBorder="1"/>
    <xf numFmtId="0" fontId="35" fillId="0" borderId="41" xfId="4" applyFont="1" applyFill="1" applyBorder="1"/>
    <xf numFmtId="167" fontId="38" fillId="0" borderId="22" xfId="2" applyNumberFormat="1" applyFont="1" applyBorder="1"/>
    <xf numFmtId="0" fontId="40" fillId="0" borderId="29" xfId="4" applyFont="1" applyFill="1" applyBorder="1" applyAlignment="1">
      <alignment wrapText="1"/>
    </xf>
    <xf numFmtId="0" fontId="41" fillId="0" borderId="22" xfId="4" applyFont="1" applyFill="1" applyBorder="1" applyAlignment="1">
      <alignment wrapText="1"/>
    </xf>
    <xf numFmtId="0" fontId="35" fillId="0" borderId="37" xfId="4" applyFont="1" applyFill="1" applyBorder="1"/>
    <xf numFmtId="0" fontId="42" fillId="0" borderId="22" xfId="2" applyFont="1" applyBorder="1" applyAlignment="1">
      <alignment wrapText="1"/>
    </xf>
    <xf numFmtId="0" fontId="9" fillId="0" borderId="37" xfId="2" applyFont="1" applyBorder="1"/>
    <xf numFmtId="0" fontId="36" fillId="0" borderId="22" xfId="2" applyFont="1" applyBorder="1" applyAlignment="1">
      <alignment horizontal="center" vertical="center"/>
    </xf>
    <xf numFmtId="0" fontId="36" fillId="0" borderId="22" xfId="2" applyFont="1" applyBorder="1"/>
    <xf numFmtId="0" fontId="35" fillId="0" borderId="29" xfId="4" applyFont="1" applyFill="1" applyBorder="1" applyAlignment="1">
      <alignment wrapText="1"/>
    </xf>
    <xf numFmtId="0" fontId="35" fillId="0" borderId="22" xfId="4" applyFont="1" applyFill="1" applyBorder="1" applyAlignment="1">
      <alignment wrapText="1"/>
    </xf>
    <xf numFmtId="0" fontId="41" fillId="0" borderId="29" xfId="4" applyFont="1" applyFill="1" applyBorder="1" applyAlignment="1">
      <alignment wrapText="1"/>
    </xf>
    <xf numFmtId="0" fontId="9" fillId="0" borderId="0" xfId="2" applyFont="1"/>
    <xf numFmtId="1" fontId="2" fillId="0" borderId="22" xfId="2" applyNumberFormat="1" applyBorder="1"/>
    <xf numFmtId="167" fontId="2" fillId="0" borderId="22" xfId="2" applyNumberFormat="1" applyBorder="1"/>
    <xf numFmtId="2" fontId="38" fillId="0" borderId="22" xfId="2" applyNumberFormat="1" applyFont="1" applyBorder="1"/>
    <xf numFmtId="0" fontId="28" fillId="0" borderId="0" xfId="2" applyFont="1" applyAlignment="1">
      <alignment horizontal="left" vertical="top"/>
    </xf>
    <xf numFmtId="166" fontId="28" fillId="0" borderId="0" xfId="2" applyNumberFormat="1" applyFont="1" applyAlignment="1">
      <alignment horizontal="left" vertical="top"/>
    </xf>
    <xf numFmtId="1" fontId="28" fillId="0" borderId="0" xfId="2" applyNumberFormat="1" applyFont="1" applyAlignment="1">
      <alignment horizontal="left" vertical="top"/>
    </xf>
    <xf numFmtId="0" fontId="43" fillId="0" borderId="0" xfId="4" applyFont="1" applyFill="1" applyBorder="1" applyAlignment="1">
      <alignment horizontal="left" vertical="top"/>
    </xf>
    <xf numFmtId="0" fontId="43" fillId="0" borderId="0" xfId="4" applyFont="1" applyFill="1" applyBorder="1" applyAlignment="1">
      <alignment horizontal="left" vertical="top" wrapText="1"/>
    </xf>
    <xf numFmtId="167" fontId="28" fillId="0" borderId="0" xfId="2" applyNumberFormat="1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15" borderId="0" xfId="2" applyFont="1" applyFill="1" applyAlignment="1">
      <alignment horizontal="left" vertical="top" wrapText="1"/>
    </xf>
    <xf numFmtId="0" fontId="3" fillId="16" borderId="0" xfId="4" applyFont="1" applyFill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14" fontId="28" fillId="0" borderId="0" xfId="2" applyNumberFormat="1" applyFont="1" applyAlignment="1">
      <alignment horizontal="left" vertical="top"/>
    </xf>
    <xf numFmtId="0" fontId="26" fillId="16" borderId="0" xfId="4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" fillId="5" borderId="19" xfId="1" applyNumberFormat="1" applyFill="1" applyBorder="1" applyAlignment="1">
      <alignment horizontal="center" wrapText="1"/>
    </xf>
    <xf numFmtId="0" fontId="1" fillId="5" borderId="2" xfId="1" applyNumberForma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7" xfId="1" applyBorder="1" applyAlignment="1">
      <alignment horizontal="center" vertical="center" wrapText="1"/>
    </xf>
    <xf numFmtId="0" fontId="1" fillId="2" borderId="16" xfId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5" xfId="1" applyNumberFormat="1" applyFill="1" applyBorder="1" applyAlignment="1">
      <alignment horizontal="center" wrapText="1"/>
    </xf>
    <xf numFmtId="0" fontId="1" fillId="5" borderId="7" xfId="1" applyNumberFormat="1" applyFill="1" applyBorder="1" applyAlignment="1">
      <alignment horizontal="center" wrapText="1"/>
    </xf>
    <xf numFmtId="0" fontId="1" fillId="5" borderId="19" xfId="1" applyFill="1" applyBorder="1" applyAlignment="1">
      <alignment horizontal="center" vertical="center" wrapText="1"/>
    </xf>
    <xf numFmtId="0" fontId="1" fillId="5" borderId="2" xfId="1" applyFill="1" applyBorder="1" applyAlignment="1">
      <alignment horizontal="center" vertical="center" wrapText="1"/>
    </xf>
    <xf numFmtId="0" fontId="1" fillId="5" borderId="20" xfId="1" applyFill="1" applyBorder="1" applyAlignment="1">
      <alignment horizontal="center" vertical="center" wrapText="1"/>
    </xf>
    <xf numFmtId="0" fontId="1" fillId="5" borderId="3" xfId="1" applyFill="1" applyBorder="1" applyAlignment="1">
      <alignment horizontal="center" vertical="center" wrapText="1"/>
    </xf>
    <xf numFmtId="0" fontId="1" fillId="5" borderId="5" xfId="1" applyNumberFormat="1" applyFill="1" applyBorder="1" applyAlignment="1">
      <alignment horizontal="center" vertical="center" wrapText="1"/>
    </xf>
    <xf numFmtId="0" fontId="1" fillId="5" borderId="7" xfId="1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32" fillId="16" borderId="24" xfId="4" applyFont="1" applyFill="1" applyBorder="1" applyAlignment="1">
      <alignment horizontal="center" vertical="center" wrapText="1"/>
    </xf>
    <xf numFmtId="0" fontId="32" fillId="16" borderId="31" xfId="4" applyFont="1" applyFill="1" applyBorder="1" applyAlignment="1">
      <alignment horizontal="center" vertical="center" wrapText="1"/>
    </xf>
    <xf numFmtId="0" fontId="33" fillId="16" borderId="25" xfId="4" applyFont="1" applyFill="1" applyBorder="1" applyAlignment="1">
      <alignment horizontal="center" vertical="center" wrapText="1"/>
    </xf>
    <xf numFmtId="0" fontId="33" fillId="16" borderId="32" xfId="4" applyFont="1" applyFill="1" applyBorder="1" applyAlignment="1">
      <alignment horizontal="center" vertical="center" wrapText="1"/>
    </xf>
    <xf numFmtId="0" fontId="31" fillId="16" borderId="26" xfId="4" applyFont="1" applyFill="1" applyBorder="1" applyAlignment="1">
      <alignment horizontal="center" vertical="center" wrapText="1"/>
    </xf>
    <xf numFmtId="0" fontId="31" fillId="16" borderId="33" xfId="4" applyFont="1" applyFill="1" applyBorder="1" applyAlignment="1">
      <alignment horizontal="center" vertical="center" wrapText="1"/>
    </xf>
    <xf numFmtId="0" fontId="34" fillId="0" borderId="22" xfId="2" applyFont="1" applyBorder="1" applyAlignment="1">
      <alignment horizontal="center" wrapText="1"/>
    </xf>
    <xf numFmtId="0" fontId="31" fillId="16" borderId="25" xfId="4" applyFont="1" applyFill="1" applyBorder="1" applyAlignment="1">
      <alignment horizontal="center" vertical="center" wrapText="1"/>
    </xf>
    <xf numFmtId="0" fontId="31" fillId="16" borderId="30" xfId="4" applyFont="1" applyFill="1" applyBorder="1" applyAlignment="1">
      <alignment horizontal="center" vertical="center" wrapText="1"/>
    </xf>
    <xf numFmtId="0" fontId="31" fillId="16" borderId="24" xfId="4" applyFont="1" applyFill="1" applyBorder="1" applyAlignment="1">
      <alignment horizontal="center" vertical="center" wrapText="1"/>
    </xf>
    <xf numFmtId="0" fontId="31" fillId="16" borderId="29" xfId="4" applyFont="1" applyFill="1" applyBorder="1" applyAlignment="1">
      <alignment horizontal="center" vertical="center" wrapText="1"/>
    </xf>
    <xf numFmtId="0" fontId="31" fillId="16" borderId="31" xfId="4" applyFont="1" applyFill="1" applyBorder="1" applyAlignment="1">
      <alignment horizontal="center" wrapText="1"/>
    </xf>
    <xf numFmtId="0" fontId="31" fillId="16" borderId="32" xfId="4" applyFont="1" applyFill="1" applyBorder="1" applyAlignment="1">
      <alignment horizontal="center" vertical="center" wrapText="1"/>
    </xf>
    <xf numFmtId="0" fontId="31" fillId="16" borderId="29" xfId="4" applyFont="1" applyFill="1" applyBorder="1" applyAlignment="1">
      <alignment horizontal="center" wrapText="1"/>
    </xf>
    <xf numFmtId="0" fontId="30" fillId="15" borderId="21" xfId="2" applyFont="1" applyFill="1" applyBorder="1" applyAlignment="1">
      <alignment horizontal="center"/>
    </xf>
    <xf numFmtId="0" fontId="30" fillId="15" borderId="27" xfId="2" applyFont="1" applyFill="1" applyBorder="1" applyAlignment="1">
      <alignment horizontal="center"/>
    </xf>
    <xf numFmtId="0" fontId="30" fillId="15" borderId="22" xfId="2" applyFont="1" applyFill="1" applyBorder="1" applyAlignment="1">
      <alignment horizontal="center" wrapText="1"/>
    </xf>
    <xf numFmtId="0" fontId="30" fillId="15" borderId="22" xfId="2" applyFont="1" applyFill="1" applyBorder="1" applyAlignment="1">
      <alignment horizontal="center"/>
    </xf>
    <xf numFmtId="0" fontId="31" fillId="16" borderId="23" xfId="4" applyFont="1" applyFill="1" applyBorder="1" applyAlignment="1">
      <alignment horizontal="center" vertical="center" wrapText="1"/>
    </xf>
    <xf numFmtId="0" fontId="31" fillId="16" borderId="31" xfId="4" applyFont="1" applyFill="1" applyBorder="1" applyAlignment="1">
      <alignment horizontal="center" vertical="center" wrapText="1"/>
    </xf>
    <xf numFmtId="0" fontId="39" fillId="15" borderId="36" xfId="2" applyFont="1" applyFill="1" applyBorder="1" applyAlignment="1">
      <alignment horizontal="center" wrapText="1"/>
    </xf>
    <xf numFmtId="0" fontId="39" fillId="15" borderId="35" xfId="2" applyFont="1" applyFill="1" applyBorder="1" applyAlignment="1">
      <alignment horizontal="center" wrapText="1"/>
    </xf>
    <xf numFmtId="0" fontId="31" fillId="16" borderId="25" xfId="4" applyFont="1" applyFill="1" applyBorder="1" applyAlignment="1">
      <alignment horizontal="center" vertical="center"/>
    </xf>
    <xf numFmtId="0" fontId="31" fillId="16" borderId="30" xfId="4" applyFont="1" applyFill="1" applyBorder="1" applyAlignment="1">
      <alignment horizontal="center" vertical="center"/>
    </xf>
  </cellXfs>
  <cellStyles count="5">
    <cellStyle name="Heading 4" xfId="4" builtinId="19"/>
    <cellStyle name="Hyperlink" xfId="3" builtinId="8"/>
    <cellStyle name="Normal" xfId="0" builtinId="0"/>
    <cellStyle name="Normal 2" xfId="2" xr:uid="{1D829956-7C9E-4CC5-AA13-51CEA91BADA0}"/>
    <cellStyle name="Output" xfId="1" builtinId="2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[Toon_SCNT_26-04.xlsx]KU_Pivot!PivotTable1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KU_Pivot!$B$3:$B$4</c:f>
              <c:strCache>
                <c:ptCount val="1"/>
                <c:pt idx="0">
                  <c:v>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KU_Pivot!$A$5:$A$31</c:f>
              <c:strCache>
                <c:ptCount val="26"/>
                <c:pt idx="0">
                  <c:v>AB_1</c:v>
                </c:pt>
                <c:pt idx="1">
                  <c:v>AB_2</c:v>
                </c:pt>
                <c:pt idx="2">
                  <c:v>AB_3</c:v>
                </c:pt>
                <c:pt idx="3">
                  <c:v>AB_4</c:v>
                </c:pt>
                <c:pt idx="4">
                  <c:v>AB_5</c:v>
                </c:pt>
                <c:pt idx="5">
                  <c:v>AB_6</c:v>
                </c:pt>
                <c:pt idx="6">
                  <c:v>AB_7</c:v>
                </c:pt>
                <c:pt idx="7">
                  <c:v>AB_8</c:v>
                </c:pt>
                <c:pt idx="8">
                  <c:v>AB_9</c:v>
                </c:pt>
                <c:pt idx="9">
                  <c:v>NHGRI_1</c:v>
                </c:pt>
                <c:pt idx="10">
                  <c:v>NHGRI_10</c:v>
                </c:pt>
                <c:pt idx="11">
                  <c:v>NHGRI_2</c:v>
                </c:pt>
                <c:pt idx="12">
                  <c:v>NHGRI_3</c:v>
                </c:pt>
                <c:pt idx="13">
                  <c:v>NHGRI_4</c:v>
                </c:pt>
                <c:pt idx="14">
                  <c:v>NHGRI_5</c:v>
                </c:pt>
                <c:pt idx="15">
                  <c:v>NHGRI_6</c:v>
                </c:pt>
                <c:pt idx="16">
                  <c:v>NHGRI_7</c:v>
                </c:pt>
                <c:pt idx="17">
                  <c:v>NHGRI_8</c:v>
                </c:pt>
                <c:pt idx="18">
                  <c:v>NHGRI_9</c:v>
                </c:pt>
                <c:pt idx="19">
                  <c:v>TU_1</c:v>
                </c:pt>
                <c:pt idx="20">
                  <c:v>TU_2</c:v>
                </c:pt>
                <c:pt idx="21">
                  <c:v>TU_3</c:v>
                </c:pt>
                <c:pt idx="22">
                  <c:v>TU_4</c:v>
                </c:pt>
                <c:pt idx="23">
                  <c:v>TU_5</c:v>
                </c:pt>
                <c:pt idx="24">
                  <c:v>TU_6</c:v>
                </c:pt>
                <c:pt idx="25">
                  <c:v>TU_7</c:v>
                </c:pt>
              </c:strCache>
            </c:strRef>
          </c:cat>
          <c:val>
            <c:numRef>
              <c:f>KU_Pivot!$B$5:$B$31</c:f>
              <c:numCache>
                <c:formatCode>General</c:formatCode>
                <c:ptCount val="26"/>
                <c:pt idx="0">
                  <c:v>31</c:v>
                </c:pt>
                <c:pt idx="1">
                  <c:v>18</c:v>
                </c:pt>
                <c:pt idx="2">
                  <c:v>26</c:v>
                </c:pt>
                <c:pt idx="3">
                  <c:v>22</c:v>
                </c:pt>
                <c:pt idx="4">
                  <c:v>3</c:v>
                </c:pt>
                <c:pt idx="5">
                  <c:v>25</c:v>
                </c:pt>
                <c:pt idx="6">
                  <c:v>17</c:v>
                </c:pt>
                <c:pt idx="7">
                  <c:v>6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4BC-49D4-AC21-68E67BB88FBF}"/>
            </c:ext>
          </c:extLst>
        </c:ser>
        <c:ser>
          <c:idx val="1"/>
          <c:order val="1"/>
          <c:tx>
            <c:strRef>
              <c:f>KU_Pivot!$C$3:$C$4</c:f>
              <c:strCache>
                <c:ptCount val="1"/>
                <c:pt idx="0">
                  <c:v>NHGRI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KU_Pivot!$A$5:$A$31</c:f>
              <c:strCache>
                <c:ptCount val="26"/>
                <c:pt idx="0">
                  <c:v>AB_1</c:v>
                </c:pt>
                <c:pt idx="1">
                  <c:v>AB_2</c:v>
                </c:pt>
                <c:pt idx="2">
                  <c:v>AB_3</c:v>
                </c:pt>
                <c:pt idx="3">
                  <c:v>AB_4</c:v>
                </c:pt>
                <c:pt idx="4">
                  <c:v>AB_5</c:v>
                </c:pt>
                <c:pt idx="5">
                  <c:v>AB_6</c:v>
                </c:pt>
                <c:pt idx="6">
                  <c:v>AB_7</c:v>
                </c:pt>
                <c:pt idx="7">
                  <c:v>AB_8</c:v>
                </c:pt>
                <c:pt idx="8">
                  <c:v>AB_9</c:v>
                </c:pt>
                <c:pt idx="9">
                  <c:v>NHGRI_1</c:v>
                </c:pt>
                <c:pt idx="10">
                  <c:v>NHGRI_10</c:v>
                </c:pt>
                <c:pt idx="11">
                  <c:v>NHGRI_2</c:v>
                </c:pt>
                <c:pt idx="12">
                  <c:v>NHGRI_3</c:v>
                </c:pt>
                <c:pt idx="13">
                  <c:v>NHGRI_4</c:v>
                </c:pt>
                <c:pt idx="14">
                  <c:v>NHGRI_5</c:v>
                </c:pt>
                <c:pt idx="15">
                  <c:v>NHGRI_6</c:v>
                </c:pt>
                <c:pt idx="16">
                  <c:v>NHGRI_7</c:v>
                </c:pt>
                <c:pt idx="17">
                  <c:v>NHGRI_8</c:v>
                </c:pt>
                <c:pt idx="18">
                  <c:v>NHGRI_9</c:v>
                </c:pt>
                <c:pt idx="19">
                  <c:v>TU_1</c:v>
                </c:pt>
                <c:pt idx="20">
                  <c:v>TU_2</c:v>
                </c:pt>
                <c:pt idx="21">
                  <c:v>TU_3</c:v>
                </c:pt>
                <c:pt idx="22">
                  <c:v>TU_4</c:v>
                </c:pt>
                <c:pt idx="23">
                  <c:v>TU_5</c:v>
                </c:pt>
                <c:pt idx="24">
                  <c:v>TU_6</c:v>
                </c:pt>
                <c:pt idx="25">
                  <c:v>TU_7</c:v>
                </c:pt>
              </c:strCache>
            </c:strRef>
          </c:cat>
          <c:val>
            <c:numRef>
              <c:f>KU_Pivot!$C$5:$C$31</c:f>
              <c:numCache>
                <c:formatCode>General</c:formatCode>
                <c:ptCount val="26"/>
                <c:pt idx="9">
                  <c:v>8</c:v>
                </c:pt>
                <c:pt idx="10">
                  <c:v>24</c:v>
                </c:pt>
                <c:pt idx="11">
                  <c:v>30</c:v>
                </c:pt>
                <c:pt idx="12">
                  <c:v>24</c:v>
                </c:pt>
                <c:pt idx="13">
                  <c:v>16</c:v>
                </c:pt>
                <c:pt idx="14">
                  <c:v>4</c:v>
                </c:pt>
                <c:pt idx="15">
                  <c:v>25</c:v>
                </c:pt>
                <c:pt idx="16">
                  <c:v>13</c:v>
                </c:pt>
                <c:pt idx="17">
                  <c:v>11</c:v>
                </c:pt>
                <c:pt idx="1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4BC-49D4-AC21-68E67BB88FBF}"/>
            </c:ext>
          </c:extLst>
        </c:ser>
        <c:ser>
          <c:idx val="2"/>
          <c:order val="2"/>
          <c:tx>
            <c:strRef>
              <c:f>KU_Pivot!$D$3:$D$4</c:f>
              <c:strCache>
                <c:ptCount val="1"/>
                <c:pt idx="0">
                  <c:v>TU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KU_Pivot!$A$5:$A$31</c:f>
              <c:strCache>
                <c:ptCount val="26"/>
                <c:pt idx="0">
                  <c:v>AB_1</c:v>
                </c:pt>
                <c:pt idx="1">
                  <c:v>AB_2</c:v>
                </c:pt>
                <c:pt idx="2">
                  <c:v>AB_3</c:v>
                </c:pt>
                <c:pt idx="3">
                  <c:v>AB_4</c:v>
                </c:pt>
                <c:pt idx="4">
                  <c:v>AB_5</c:v>
                </c:pt>
                <c:pt idx="5">
                  <c:v>AB_6</c:v>
                </c:pt>
                <c:pt idx="6">
                  <c:v>AB_7</c:v>
                </c:pt>
                <c:pt idx="7">
                  <c:v>AB_8</c:v>
                </c:pt>
                <c:pt idx="8">
                  <c:v>AB_9</c:v>
                </c:pt>
                <c:pt idx="9">
                  <c:v>NHGRI_1</c:v>
                </c:pt>
                <c:pt idx="10">
                  <c:v>NHGRI_10</c:v>
                </c:pt>
                <c:pt idx="11">
                  <c:v>NHGRI_2</c:v>
                </c:pt>
                <c:pt idx="12">
                  <c:v>NHGRI_3</c:v>
                </c:pt>
                <c:pt idx="13">
                  <c:v>NHGRI_4</c:v>
                </c:pt>
                <c:pt idx="14">
                  <c:v>NHGRI_5</c:v>
                </c:pt>
                <c:pt idx="15">
                  <c:v>NHGRI_6</c:v>
                </c:pt>
                <c:pt idx="16">
                  <c:v>NHGRI_7</c:v>
                </c:pt>
                <c:pt idx="17">
                  <c:v>NHGRI_8</c:v>
                </c:pt>
                <c:pt idx="18">
                  <c:v>NHGRI_9</c:v>
                </c:pt>
                <c:pt idx="19">
                  <c:v>TU_1</c:v>
                </c:pt>
                <c:pt idx="20">
                  <c:v>TU_2</c:v>
                </c:pt>
                <c:pt idx="21">
                  <c:v>TU_3</c:v>
                </c:pt>
                <c:pt idx="22">
                  <c:v>TU_4</c:v>
                </c:pt>
                <c:pt idx="23">
                  <c:v>TU_5</c:v>
                </c:pt>
                <c:pt idx="24">
                  <c:v>TU_6</c:v>
                </c:pt>
                <c:pt idx="25">
                  <c:v>TU_7</c:v>
                </c:pt>
              </c:strCache>
            </c:strRef>
          </c:cat>
          <c:val>
            <c:numRef>
              <c:f>KU_Pivot!$D$5:$D$31</c:f>
              <c:numCache>
                <c:formatCode>General</c:formatCode>
                <c:ptCount val="26"/>
                <c:pt idx="19">
                  <c:v>8</c:v>
                </c:pt>
                <c:pt idx="20">
                  <c:v>21</c:v>
                </c:pt>
                <c:pt idx="21">
                  <c:v>31</c:v>
                </c:pt>
                <c:pt idx="22">
                  <c:v>27</c:v>
                </c:pt>
                <c:pt idx="23">
                  <c:v>11</c:v>
                </c:pt>
                <c:pt idx="24">
                  <c:v>22</c:v>
                </c:pt>
                <c:pt idx="2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4BC-49D4-AC21-68E67BB8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766336"/>
        <c:axId val="612779776"/>
      </c:barChart>
      <c:catAx>
        <c:axId val="6127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79776"/>
        <c:crosses val="autoZero"/>
        <c:auto val="1"/>
        <c:lblAlgn val="ctr"/>
        <c:lblOffset val="100"/>
        <c:noMultiLvlLbl val="0"/>
      </c:catAx>
      <c:valAx>
        <c:axId val="6127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 b="1">
                <a:solidFill>
                  <a:sysClr val="windowText" lastClr="000000"/>
                </a:solidFill>
              </a:rPr>
              <a:t>Zebrafish Cloning Service : USA</a:t>
            </a:r>
          </a:p>
        </c:rich>
      </c:tx>
      <c:layout>
        <c:manualLayout>
          <c:xMode val="edge"/>
          <c:yMode val="edge"/>
          <c:x val="0.33928041557579125"/>
          <c:y val="2.0459179943910753E-2"/>
        </c:manualLayout>
      </c:layout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61749878806919E-2"/>
          <c:y val="0.138418839159128"/>
          <c:w val="0.89266708006191164"/>
          <c:h val="0.69573356357264748"/>
        </c:manualLayout>
      </c:layout>
      <c:lineChart>
        <c:grouping val="standard"/>
        <c:varyColors val="0"/>
        <c:ser>
          <c:idx val="0"/>
          <c:order val="0"/>
          <c:tx>
            <c:v>AB-Cell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KU_Sum!$D$1:$Z$2</c:f>
              <c:strCache>
                <c:ptCount val="23"/>
                <c:pt idx="0">
                  <c:v>Activated</c:v>
                </c:pt>
                <c:pt idx="1">
                  <c:v>2-cell
</c:v>
                </c:pt>
                <c:pt idx="2">
                  <c:v>4-cell
</c:v>
                </c:pt>
                <c:pt idx="3">
                  <c:v>8-cell
</c:v>
                </c:pt>
                <c:pt idx="4">
                  <c:v>16-cell
</c:v>
                </c:pt>
                <c:pt idx="5">
                  <c:v>32-cell
</c:v>
                </c:pt>
                <c:pt idx="6">
                  <c:v>64-cell
</c:v>
                </c:pt>
                <c:pt idx="7">
                  <c:v>128-cell
</c:v>
                </c:pt>
                <c:pt idx="8">
                  <c:v>256-cell
</c:v>
                </c:pt>
                <c:pt idx="9">
                  <c:v>512-cell
</c:v>
                </c:pt>
                <c:pt idx="10">
                  <c:v>1k-cell
</c:v>
                </c:pt>
                <c:pt idx="11">
                  <c:v>High
</c:v>
                </c:pt>
                <c:pt idx="12">
                  <c:v>Oblong
</c:v>
                </c:pt>
                <c:pt idx="13">
                  <c:v>Sphere
</c:v>
                </c:pt>
                <c:pt idx="14">
                  <c:v>Dome
</c:v>
                </c:pt>
                <c:pt idx="15">
                  <c:v>30%epi
</c:v>
                </c:pt>
                <c:pt idx="16">
                  <c:v>50%epi
</c:v>
                </c:pt>
                <c:pt idx="17">
                  <c:v>Germ ring</c:v>
                </c:pt>
                <c:pt idx="18">
                  <c:v>Shield
</c:v>
                </c:pt>
                <c:pt idx="19">
                  <c:v>75%epi
</c:v>
                </c:pt>
                <c:pt idx="20">
                  <c:v>90%epi
</c:v>
                </c:pt>
                <c:pt idx="21">
                  <c:v>Day1</c:v>
                </c:pt>
                <c:pt idx="22">
                  <c:v>Day2</c:v>
                </c:pt>
              </c:strCache>
            </c:strRef>
          </c:cat>
          <c:val>
            <c:numRef>
              <c:f>KU_Sum!$D$5:$Z$5</c:f>
              <c:numCache>
                <c:formatCode>0.00</c:formatCode>
                <c:ptCount val="23"/>
                <c:pt idx="0">
                  <c:v>100</c:v>
                </c:pt>
                <c:pt idx="1">
                  <c:v>47.717842323651453</c:v>
                </c:pt>
                <c:pt idx="2">
                  <c:v>44.190871369294605</c:v>
                </c:pt>
                <c:pt idx="3">
                  <c:v>41.286307053941911</c:v>
                </c:pt>
                <c:pt idx="4">
                  <c:v>37.136929460580916</c:v>
                </c:pt>
                <c:pt idx="5">
                  <c:v>36.099585062240664</c:v>
                </c:pt>
                <c:pt idx="6">
                  <c:v>35.892116182572614</c:v>
                </c:pt>
                <c:pt idx="7">
                  <c:v>35.062240663900418</c:v>
                </c:pt>
                <c:pt idx="8">
                  <c:v>35.062240663900418</c:v>
                </c:pt>
                <c:pt idx="9">
                  <c:v>34.024896265560166</c:v>
                </c:pt>
                <c:pt idx="10">
                  <c:v>32.572614107883815</c:v>
                </c:pt>
                <c:pt idx="11">
                  <c:v>30.497925311203318</c:v>
                </c:pt>
                <c:pt idx="12">
                  <c:v>27.178423236514522</c:v>
                </c:pt>
                <c:pt idx="13">
                  <c:v>23.651452282157678</c:v>
                </c:pt>
                <c:pt idx="14">
                  <c:v>16.390041493775932</c:v>
                </c:pt>
                <c:pt idx="15">
                  <c:v>11.203319502074688</c:v>
                </c:pt>
                <c:pt idx="16">
                  <c:v>7.8838174273858925</c:v>
                </c:pt>
                <c:pt idx="17">
                  <c:v>7.4688796680497926</c:v>
                </c:pt>
                <c:pt idx="18">
                  <c:v>6.0165975103734439</c:v>
                </c:pt>
                <c:pt idx="19">
                  <c:v>3.9419087136929463</c:v>
                </c:pt>
                <c:pt idx="20">
                  <c:v>2.904564315352697</c:v>
                </c:pt>
                <c:pt idx="21">
                  <c:v>2.2821576763485476</c:v>
                </c:pt>
                <c:pt idx="22">
                  <c:v>2.2821576763485476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8-4C1A-84AF-FA99F42D6C9C}"/>
            </c:ext>
          </c:extLst>
        </c:ser>
        <c:ser>
          <c:idx val="1"/>
          <c:order val="1"/>
          <c:tx>
            <c:v>TU-Cell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KU_Sum!$D$1:$Z$2</c:f>
              <c:strCache>
                <c:ptCount val="23"/>
                <c:pt idx="0">
                  <c:v>Activated</c:v>
                </c:pt>
                <c:pt idx="1">
                  <c:v>2-cell
</c:v>
                </c:pt>
                <c:pt idx="2">
                  <c:v>4-cell
</c:v>
                </c:pt>
                <c:pt idx="3">
                  <c:v>8-cell
</c:v>
                </c:pt>
                <c:pt idx="4">
                  <c:v>16-cell
</c:v>
                </c:pt>
                <c:pt idx="5">
                  <c:v>32-cell
</c:v>
                </c:pt>
                <c:pt idx="6">
                  <c:v>64-cell
</c:v>
                </c:pt>
                <c:pt idx="7">
                  <c:v>128-cell
</c:v>
                </c:pt>
                <c:pt idx="8">
                  <c:v>256-cell
</c:v>
                </c:pt>
                <c:pt idx="9">
                  <c:v>512-cell
</c:v>
                </c:pt>
                <c:pt idx="10">
                  <c:v>1k-cell
</c:v>
                </c:pt>
                <c:pt idx="11">
                  <c:v>High
</c:v>
                </c:pt>
                <c:pt idx="12">
                  <c:v>Oblong
</c:v>
                </c:pt>
                <c:pt idx="13">
                  <c:v>Sphere
</c:v>
                </c:pt>
                <c:pt idx="14">
                  <c:v>Dome
</c:v>
                </c:pt>
                <c:pt idx="15">
                  <c:v>30%epi
</c:v>
                </c:pt>
                <c:pt idx="16">
                  <c:v>50%epi
</c:v>
                </c:pt>
                <c:pt idx="17">
                  <c:v>Germ ring</c:v>
                </c:pt>
                <c:pt idx="18">
                  <c:v>Shield
</c:v>
                </c:pt>
                <c:pt idx="19">
                  <c:v>75%epi
</c:v>
                </c:pt>
                <c:pt idx="20">
                  <c:v>90%epi
</c:v>
                </c:pt>
                <c:pt idx="21">
                  <c:v>Day1</c:v>
                </c:pt>
                <c:pt idx="22">
                  <c:v>Day2</c:v>
                </c:pt>
              </c:strCache>
            </c:strRef>
          </c:cat>
          <c:val>
            <c:numRef>
              <c:f>KU_Sum!$D$8:$Z$8</c:f>
              <c:numCache>
                <c:formatCode>0.00</c:formatCode>
                <c:ptCount val="23"/>
                <c:pt idx="0">
                  <c:v>100</c:v>
                </c:pt>
                <c:pt idx="1">
                  <c:v>45.111111111111114</c:v>
                </c:pt>
                <c:pt idx="2">
                  <c:v>41.111111111111114</c:v>
                </c:pt>
                <c:pt idx="3">
                  <c:v>37.555555555555557</c:v>
                </c:pt>
                <c:pt idx="4">
                  <c:v>34.666666666666664</c:v>
                </c:pt>
                <c:pt idx="5">
                  <c:v>32.222222222222221</c:v>
                </c:pt>
                <c:pt idx="6">
                  <c:v>32</c:v>
                </c:pt>
                <c:pt idx="7">
                  <c:v>31.777777777777779</c:v>
                </c:pt>
                <c:pt idx="8">
                  <c:v>31.111111111111111</c:v>
                </c:pt>
                <c:pt idx="9">
                  <c:v>30</c:v>
                </c:pt>
                <c:pt idx="10">
                  <c:v>29.777777777777779</c:v>
                </c:pt>
                <c:pt idx="11">
                  <c:v>26.666666666666668</c:v>
                </c:pt>
                <c:pt idx="12">
                  <c:v>24.444444444444443</c:v>
                </c:pt>
                <c:pt idx="13">
                  <c:v>22.666666666666668</c:v>
                </c:pt>
                <c:pt idx="14">
                  <c:v>14.222222222222221</c:v>
                </c:pt>
                <c:pt idx="15">
                  <c:v>8.6666666666666661</c:v>
                </c:pt>
                <c:pt idx="16">
                  <c:v>5.333333333333333</c:v>
                </c:pt>
                <c:pt idx="17">
                  <c:v>4.8888888888888893</c:v>
                </c:pt>
                <c:pt idx="18">
                  <c:v>4.4444444444444446</c:v>
                </c:pt>
                <c:pt idx="19">
                  <c:v>2.4444444444444446</c:v>
                </c:pt>
                <c:pt idx="20">
                  <c:v>1.7777777777777777</c:v>
                </c:pt>
                <c:pt idx="21">
                  <c:v>1.7777777777777777</c:v>
                </c:pt>
                <c:pt idx="22">
                  <c:v>1.7777777777777777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68-4C1A-84AF-FA99F42D6C9C}"/>
            </c:ext>
          </c:extLst>
        </c:ser>
        <c:ser>
          <c:idx val="2"/>
          <c:order val="2"/>
          <c:tx>
            <c:v>NHGRI-Cell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KU_Sum!$D$1:$Z$2</c:f>
              <c:strCache>
                <c:ptCount val="23"/>
                <c:pt idx="0">
                  <c:v>Activated</c:v>
                </c:pt>
                <c:pt idx="1">
                  <c:v>2-cell
</c:v>
                </c:pt>
                <c:pt idx="2">
                  <c:v>4-cell
</c:v>
                </c:pt>
                <c:pt idx="3">
                  <c:v>8-cell
</c:v>
                </c:pt>
                <c:pt idx="4">
                  <c:v>16-cell
</c:v>
                </c:pt>
                <c:pt idx="5">
                  <c:v>32-cell
</c:v>
                </c:pt>
                <c:pt idx="6">
                  <c:v>64-cell
</c:v>
                </c:pt>
                <c:pt idx="7">
                  <c:v>128-cell
</c:v>
                </c:pt>
                <c:pt idx="8">
                  <c:v>256-cell
</c:v>
                </c:pt>
                <c:pt idx="9">
                  <c:v>512-cell
</c:v>
                </c:pt>
                <c:pt idx="10">
                  <c:v>1k-cell
</c:v>
                </c:pt>
                <c:pt idx="11">
                  <c:v>High
</c:v>
                </c:pt>
                <c:pt idx="12">
                  <c:v>Oblong
</c:v>
                </c:pt>
                <c:pt idx="13">
                  <c:v>Sphere
</c:v>
                </c:pt>
                <c:pt idx="14">
                  <c:v>Dome
</c:v>
                </c:pt>
                <c:pt idx="15">
                  <c:v>30%epi
</c:v>
                </c:pt>
                <c:pt idx="16">
                  <c:v>50%epi
</c:v>
                </c:pt>
                <c:pt idx="17">
                  <c:v>Germ ring</c:v>
                </c:pt>
                <c:pt idx="18">
                  <c:v>Shield
</c:v>
                </c:pt>
                <c:pt idx="19">
                  <c:v>75%epi
</c:v>
                </c:pt>
                <c:pt idx="20">
                  <c:v>90%epi
</c:v>
                </c:pt>
                <c:pt idx="21">
                  <c:v>Day1</c:v>
                </c:pt>
                <c:pt idx="22">
                  <c:v>Day2</c:v>
                </c:pt>
              </c:strCache>
            </c:strRef>
          </c:cat>
          <c:val>
            <c:numRef>
              <c:f>KU_Sum!$D$11:$Z$11</c:f>
              <c:numCache>
                <c:formatCode>0.00</c:formatCode>
                <c:ptCount val="23"/>
                <c:pt idx="0">
                  <c:v>100</c:v>
                </c:pt>
                <c:pt idx="1">
                  <c:v>48.347107438016529</c:v>
                </c:pt>
                <c:pt idx="2">
                  <c:v>45.454545454545453</c:v>
                </c:pt>
                <c:pt idx="3">
                  <c:v>43.388429752066116</c:v>
                </c:pt>
                <c:pt idx="4">
                  <c:v>41.528925619834709</c:v>
                </c:pt>
                <c:pt idx="5">
                  <c:v>39.876033057851238</c:v>
                </c:pt>
                <c:pt idx="6">
                  <c:v>39.256198347107436</c:v>
                </c:pt>
                <c:pt idx="7">
                  <c:v>37.190082644628099</c:v>
                </c:pt>
                <c:pt idx="8">
                  <c:v>36.776859504132233</c:v>
                </c:pt>
                <c:pt idx="9">
                  <c:v>35.537190082644628</c:v>
                </c:pt>
                <c:pt idx="10">
                  <c:v>34.710743801652896</c:v>
                </c:pt>
                <c:pt idx="11">
                  <c:v>33.471074380165291</c:v>
                </c:pt>
                <c:pt idx="12">
                  <c:v>30.165289256198346</c:v>
                </c:pt>
                <c:pt idx="13">
                  <c:v>26.239669421487605</c:v>
                </c:pt>
                <c:pt idx="14">
                  <c:v>19.214876033057852</c:v>
                </c:pt>
                <c:pt idx="15">
                  <c:v>16.322314049586776</c:v>
                </c:pt>
                <c:pt idx="16">
                  <c:v>14.049586776859504</c:v>
                </c:pt>
                <c:pt idx="17">
                  <c:v>14.049586776859504</c:v>
                </c:pt>
                <c:pt idx="18">
                  <c:v>11.570247933884298</c:v>
                </c:pt>
                <c:pt idx="19">
                  <c:v>10.537190082644628</c:v>
                </c:pt>
                <c:pt idx="20">
                  <c:v>7.0247933884297522</c:v>
                </c:pt>
                <c:pt idx="21">
                  <c:v>5.5785123966942152</c:v>
                </c:pt>
                <c:pt idx="22">
                  <c:v>5.5785123966942152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8-4C1A-84AF-FA99F42D6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739608"/>
        <c:axId val="989738528"/>
      </c:lineChart>
      <c:catAx>
        <c:axId val="989739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Developmental stages</a:t>
                </a:r>
              </a:p>
            </c:rich>
          </c:tx>
          <c:layout>
            <c:manualLayout>
              <c:xMode val="edge"/>
              <c:yMode val="edge"/>
              <c:x val="0.41834311653898282"/>
              <c:y val="0.92104896405845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89738528"/>
        <c:crosses val="autoZero"/>
        <c:auto val="1"/>
        <c:lblAlgn val="ctr"/>
        <c:lblOffset val="100"/>
        <c:noMultiLvlLbl val="0"/>
      </c:catAx>
      <c:valAx>
        <c:axId val="9897385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% of development</a:t>
                </a:r>
                <a:endParaRPr lang="en-TH" sz="2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3462338667618739E-3"/>
              <c:y val="0.30219670635217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89739608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885080555276482"/>
          <c:y val="8.6979975092561695E-2"/>
          <c:w val="0.30565250422237178"/>
          <c:h val="3.9608152291194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730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[Toon_SCNT_26-04.xlsx]MSU_Pivot!PivotTable1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MSU_Pivot!$B$1:$B$2</c:f>
              <c:strCache>
                <c:ptCount val="1"/>
                <c:pt idx="0">
                  <c:v>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MSU_Pivot!$A$3:$A$20</c:f>
              <c:strCache>
                <c:ptCount val="17"/>
                <c:pt idx="0">
                  <c:v>AB_1</c:v>
                </c:pt>
                <c:pt idx="1">
                  <c:v>AB_2</c:v>
                </c:pt>
                <c:pt idx="2">
                  <c:v>AB_3</c:v>
                </c:pt>
                <c:pt idx="3">
                  <c:v>AB_4</c:v>
                </c:pt>
                <c:pt idx="4">
                  <c:v>AB_5</c:v>
                </c:pt>
                <c:pt idx="5">
                  <c:v>AB_6</c:v>
                </c:pt>
                <c:pt idx="6">
                  <c:v>AB_7</c:v>
                </c:pt>
                <c:pt idx="7">
                  <c:v>NHGRI_1</c:v>
                </c:pt>
                <c:pt idx="8">
                  <c:v>NHGRI_2</c:v>
                </c:pt>
                <c:pt idx="9">
                  <c:v>NHGRI_3</c:v>
                </c:pt>
                <c:pt idx="10">
                  <c:v>NHGRI_4</c:v>
                </c:pt>
                <c:pt idx="11">
                  <c:v>NHGRI_5</c:v>
                </c:pt>
                <c:pt idx="12">
                  <c:v>TU_1</c:v>
                </c:pt>
                <c:pt idx="13">
                  <c:v>TU_2</c:v>
                </c:pt>
                <c:pt idx="14">
                  <c:v>TU_3</c:v>
                </c:pt>
                <c:pt idx="15">
                  <c:v>TU_4</c:v>
                </c:pt>
                <c:pt idx="16">
                  <c:v>TU_5</c:v>
                </c:pt>
              </c:strCache>
            </c:strRef>
          </c:cat>
          <c:val>
            <c:numRef>
              <c:f>MSU_Pivot!$B$3:$B$20</c:f>
              <c:numCache>
                <c:formatCode>General</c:formatCode>
                <c:ptCount val="17"/>
                <c:pt idx="0">
                  <c:v>50</c:v>
                </c:pt>
                <c:pt idx="1">
                  <c:v>48</c:v>
                </c:pt>
                <c:pt idx="2">
                  <c:v>47</c:v>
                </c:pt>
                <c:pt idx="3">
                  <c:v>28</c:v>
                </c:pt>
                <c:pt idx="4">
                  <c:v>65</c:v>
                </c:pt>
                <c:pt idx="5">
                  <c:v>27</c:v>
                </c:pt>
                <c:pt idx="6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4F3-869F-803357A905DC}"/>
            </c:ext>
          </c:extLst>
        </c:ser>
        <c:ser>
          <c:idx val="1"/>
          <c:order val="1"/>
          <c:tx>
            <c:strRef>
              <c:f>MSU_Pivot!$C$1:$C$2</c:f>
              <c:strCache>
                <c:ptCount val="1"/>
                <c:pt idx="0">
                  <c:v>NHGRI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MSU_Pivot!$A$3:$A$20</c:f>
              <c:strCache>
                <c:ptCount val="17"/>
                <c:pt idx="0">
                  <c:v>AB_1</c:v>
                </c:pt>
                <c:pt idx="1">
                  <c:v>AB_2</c:v>
                </c:pt>
                <c:pt idx="2">
                  <c:v>AB_3</c:v>
                </c:pt>
                <c:pt idx="3">
                  <c:v>AB_4</c:v>
                </c:pt>
                <c:pt idx="4">
                  <c:v>AB_5</c:v>
                </c:pt>
                <c:pt idx="5">
                  <c:v>AB_6</c:v>
                </c:pt>
                <c:pt idx="6">
                  <c:v>AB_7</c:v>
                </c:pt>
                <c:pt idx="7">
                  <c:v>NHGRI_1</c:v>
                </c:pt>
                <c:pt idx="8">
                  <c:v>NHGRI_2</c:v>
                </c:pt>
                <c:pt idx="9">
                  <c:v>NHGRI_3</c:v>
                </c:pt>
                <c:pt idx="10">
                  <c:v>NHGRI_4</c:v>
                </c:pt>
                <c:pt idx="11">
                  <c:v>NHGRI_5</c:v>
                </c:pt>
                <c:pt idx="12">
                  <c:v>TU_1</c:v>
                </c:pt>
                <c:pt idx="13">
                  <c:v>TU_2</c:v>
                </c:pt>
                <c:pt idx="14">
                  <c:v>TU_3</c:v>
                </c:pt>
                <c:pt idx="15">
                  <c:v>TU_4</c:v>
                </c:pt>
                <c:pt idx="16">
                  <c:v>TU_5</c:v>
                </c:pt>
              </c:strCache>
            </c:strRef>
          </c:cat>
          <c:val>
            <c:numRef>
              <c:f>MSU_Pivot!$C$3:$C$20</c:f>
              <c:numCache>
                <c:formatCode>General</c:formatCode>
                <c:ptCount val="17"/>
                <c:pt idx="7">
                  <c:v>47</c:v>
                </c:pt>
                <c:pt idx="8">
                  <c:v>46</c:v>
                </c:pt>
                <c:pt idx="9">
                  <c:v>43</c:v>
                </c:pt>
                <c:pt idx="10">
                  <c:v>54</c:v>
                </c:pt>
                <c:pt idx="1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6-44F3-869F-803357A905DC}"/>
            </c:ext>
          </c:extLst>
        </c:ser>
        <c:ser>
          <c:idx val="2"/>
          <c:order val="2"/>
          <c:tx>
            <c:strRef>
              <c:f>MSU_Pivot!$D$1:$D$2</c:f>
              <c:strCache>
                <c:ptCount val="1"/>
                <c:pt idx="0">
                  <c:v>TU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MSU_Pivot!$A$3:$A$20</c:f>
              <c:strCache>
                <c:ptCount val="17"/>
                <c:pt idx="0">
                  <c:v>AB_1</c:v>
                </c:pt>
                <c:pt idx="1">
                  <c:v>AB_2</c:v>
                </c:pt>
                <c:pt idx="2">
                  <c:v>AB_3</c:v>
                </c:pt>
                <c:pt idx="3">
                  <c:v>AB_4</c:v>
                </c:pt>
                <c:pt idx="4">
                  <c:v>AB_5</c:v>
                </c:pt>
                <c:pt idx="5">
                  <c:v>AB_6</c:v>
                </c:pt>
                <c:pt idx="6">
                  <c:v>AB_7</c:v>
                </c:pt>
                <c:pt idx="7">
                  <c:v>NHGRI_1</c:v>
                </c:pt>
                <c:pt idx="8">
                  <c:v>NHGRI_2</c:v>
                </c:pt>
                <c:pt idx="9">
                  <c:v>NHGRI_3</c:v>
                </c:pt>
                <c:pt idx="10">
                  <c:v>NHGRI_4</c:v>
                </c:pt>
                <c:pt idx="11">
                  <c:v>NHGRI_5</c:v>
                </c:pt>
                <c:pt idx="12">
                  <c:v>TU_1</c:v>
                </c:pt>
                <c:pt idx="13">
                  <c:v>TU_2</c:v>
                </c:pt>
                <c:pt idx="14">
                  <c:v>TU_3</c:v>
                </c:pt>
                <c:pt idx="15">
                  <c:v>TU_4</c:v>
                </c:pt>
                <c:pt idx="16">
                  <c:v>TU_5</c:v>
                </c:pt>
              </c:strCache>
            </c:strRef>
          </c:cat>
          <c:val>
            <c:numRef>
              <c:f>MSU_Pivot!$D$3:$D$20</c:f>
              <c:numCache>
                <c:formatCode>General</c:formatCode>
                <c:ptCount val="17"/>
                <c:pt idx="12">
                  <c:v>20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  <c:pt idx="1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6-44F3-869F-803357A90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57135"/>
        <c:axId val="179463375"/>
      </c:barChart>
      <c:catAx>
        <c:axId val="1794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375"/>
        <c:crosses val="autoZero"/>
        <c:auto val="1"/>
        <c:lblAlgn val="ctr"/>
        <c:lblOffset val="100"/>
        <c:noMultiLvlLbl val="0"/>
      </c:catAx>
      <c:valAx>
        <c:axId val="17946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5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1</xdr:row>
      <xdr:rowOff>185737</xdr:rowOff>
    </xdr:from>
    <xdr:to>
      <xdr:col>12</xdr:col>
      <xdr:colOff>266700</xdr:colOff>
      <xdr:row>16</xdr:row>
      <xdr:rowOff>71437</xdr:rowOff>
    </xdr:to>
    <xdr:graphicFrame macro="">
      <xdr:nvGraphicFramePr>
        <xdr:cNvPr id="2" name="KU_raw">
          <a:extLst>
            <a:ext uri="{FF2B5EF4-FFF2-40B4-BE49-F238E27FC236}">
              <a16:creationId xmlns:a16="http://schemas.microsoft.com/office/drawing/2014/main" id="{02A5F1B5-3131-6D48-1F0B-60A5E56D4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524686</xdr:colOff>
      <xdr:row>11</xdr:row>
      <xdr:rowOff>130197</xdr:rowOff>
    </xdr:from>
    <xdr:to>
      <xdr:col>25</xdr:col>
      <xdr:colOff>355865</xdr:colOff>
      <xdr:row>53</xdr:row>
      <xdr:rowOff>101599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5B6C23D-E2BE-4273-9D38-645C9A9EC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2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4339D-A57A-68F5-7159-FA96BE13A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uvacb.sharepoint.com/sites/Zebrafishcloningservices/Shared%20Documents/Cloning/Analysis/Toon_Results%20of%20the%20Zebrafish%20Cloning%20Service_26-04-18.xlsx" TargetMode="External"/><Relationship Id="rId1" Type="http://schemas.openxmlformats.org/officeDocument/2006/relationships/externalLinkPath" Target="Toon_Results%20of%20the%20Zebrafish%20Cloning%20Service_26-04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 sheet_Cloning"/>
      <sheetName val="June"/>
      <sheetName val="Jan"/>
      <sheetName val="raw data"/>
      <sheetName val="Summary"/>
      <sheetName val="% of development"/>
      <sheetName val="NBD"/>
      <sheetName val="Cloned fish status"/>
      <sheetName val="Cloned fish status(Master)"/>
      <sheetName val="Specimen Code for DNA Analysis"/>
    </sheetNames>
    <sheetDataSet>
      <sheetData sheetId="0"/>
      <sheetData sheetId="1"/>
      <sheetData sheetId="2"/>
      <sheetData sheetId="3">
        <row r="3">
          <cell r="AV3">
            <v>450</v>
          </cell>
          <cell r="AX3">
            <v>484</v>
          </cell>
          <cell r="AZ3">
            <v>482</v>
          </cell>
        </row>
        <row r="4">
          <cell r="AV4">
            <v>450</v>
          </cell>
          <cell r="AW4">
            <v>100</v>
          </cell>
          <cell r="AX4">
            <v>484</v>
          </cell>
          <cell r="AY4">
            <v>100</v>
          </cell>
          <cell r="AZ4">
            <v>482</v>
          </cell>
          <cell r="BA4">
            <v>100</v>
          </cell>
        </row>
        <row r="5">
          <cell r="AV5">
            <v>203</v>
          </cell>
          <cell r="AW5">
            <v>45.111111111111114</v>
          </cell>
          <cell r="AX5">
            <v>234</v>
          </cell>
          <cell r="AY5">
            <v>48.347107438016529</v>
          </cell>
          <cell r="AZ5">
            <v>230</v>
          </cell>
          <cell r="BA5">
            <v>47.717842323651453</v>
          </cell>
        </row>
        <row r="6">
          <cell r="AV6">
            <v>185</v>
          </cell>
          <cell r="AW6">
            <v>41.111111111111114</v>
          </cell>
          <cell r="AX6">
            <v>220</v>
          </cell>
          <cell r="AY6">
            <v>45.454545454545453</v>
          </cell>
          <cell r="AZ6">
            <v>213</v>
          </cell>
          <cell r="BA6">
            <v>44.190871369294605</v>
          </cell>
        </row>
        <row r="7">
          <cell r="AV7">
            <v>169</v>
          </cell>
          <cell r="AW7">
            <v>37.555555555555557</v>
          </cell>
          <cell r="AX7">
            <v>210</v>
          </cell>
          <cell r="AY7">
            <v>43.388429752066116</v>
          </cell>
          <cell r="AZ7">
            <v>199</v>
          </cell>
          <cell r="BA7">
            <v>41.286307053941911</v>
          </cell>
        </row>
        <row r="8">
          <cell r="AV8">
            <v>156</v>
          </cell>
          <cell r="AW8">
            <v>34.666666666666664</v>
          </cell>
          <cell r="AX8">
            <v>201</v>
          </cell>
          <cell r="AY8">
            <v>41.528925619834709</v>
          </cell>
          <cell r="AZ8">
            <v>179</v>
          </cell>
          <cell r="BA8">
            <v>37.136929460580916</v>
          </cell>
        </row>
        <row r="9">
          <cell r="AV9">
            <v>145</v>
          </cell>
          <cell r="AW9">
            <v>32.222222222222221</v>
          </cell>
          <cell r="AX9">
            <v>193</v>
          </cell>
          <cell r="AY9">
            <v>39.876033057851238</v>
          </cell>
          <cell r="AZ9">
            <v>174</v>
          </cell>
          <cell r="BA9">
            <v>36.099585062240664</v>
          </cell>
        </row>
        <row r="10">
          <cell r="AV10">
            <v>144</v>
          </cell>
          <cell r="AW10">
            <v>32</v>
          </cell>
          <cell r="AX10">
            <v>190</v>
          </cell>
          <cell r="AY10">
            <v>39.256198347107436</v>
          </cell>
          <cell r="AZ10">
            <v>173</v>
          </cell>
          <cell r="BA10">
            <v>35.892116182572614</v>
          </cell>
        </row>
        <row r="11">
          <cell r="AV11">
            <v>143</v>
          </cell>
          <cell r="AW11">
            <v>31.777777777777779</v>
          </cell>
          <cell r="AX11">
            <v>180</v>
          </cell>
          <cell r="AY11">
            <v>37.190082644628099</v>
          </cell>
          <cell r="AZ11">
            <v>169</v>
          </cell>
          <cell r="BA11">
            <v>35.062240663900418</v>
          </cell>
        </row>
        <row r="12">
          <cell r="AV12">
            <v>140</v>
          </cell>
          <cell r="AW12">
            <v>31.111111111111111</v>
          </cell>
          <cell r="AX12">
            <v>178</v>
          </cell>
          <cell r="AY12">
            <v>36.776859504132233</v>
          </cell>
          <cell r="AZ12">
            <v>169</v>
          </cell>
          <cell r="BA12">
            <v>35.062240663900418</v>
          </cell>
        </row>
        <row r="13">
          <cell r="AV13">
            <v>135</v>
          </cell>
          <cell r="AW13">
            <v>30</v>
          </cell>
          <cell r="AX13">
            <v>172</v>
          </cell>
          <cell r="AY13">
            <v>35.537190082644628</v>
          </cell>
          <cell r="AZ13">
            <v>164</v>
          </cell>
          <cell r="BA13">
            <v>34.024896265560166</v>
          </cell>
        </row>
        <row r="14">
          <cell r="AV14">
            <v>134</v>
          </cell>
          <cell r="AW14">
            <v>29.777777777777779</v>
          </cell>
          <cell r="AX14">
            <v>168</v>
          </cell>
          <cell r="AY14">
            <v>34.710743801652896</v>
          </cell>
          <cell r="AZ14">
            <v>157</v>
          </cell>
          <cell r="BA14">
            <v>32.572614107883815</v>
          </cell>
        </row>
        <row r="15">
          <cell r="AV15">
            <v>120</v>
          </cell>
          <cell r="AW15">
            <v>26.666666666666668</v>
          </cell>
          <cell r="AX15">
            <v>162</v>
          </cell>
          <cell r="AY15">
            <v>33.471074380165291</v>
          </cell>
          <cell r="AZ15">
            <v>147</v>
          </cell>
          <cell r="BA15">
            <v>30.497925311203318</v>
          </cell>
        </row>
        <row r="16">
          <cell r="AV16">
            <v>110</v>
          </cell>
          <cell r="AW16">
            <v>24.444444444444443</v>
          </cell>
          <cell r="AX16">
            <v>146</v>
          </cell>
          <cell r="AY16">
            <v>30.165289256198346</v>
          </cell>
          <cell r="AZ16">
            <v>131</v>
          </cell>
          <cell r="BA16">
            <v>27.178423236514522</v>
          </cell>
        </row>
        <row r="17">
          <cell r="AV17">
            <v>102</v>
          </cell>
          <cell r="AW17">
            <v>22.666666666666668</v>
          </cell>
          <cell r="AX17">
            <v>127</v>
          </cell>
          <cell r="AY17">
            <v>26.239669421487605</v>
          </cell>
          <cell r="AZ17">
            <v>114</v>
          </cell>
          <cell r="BA17">
            <v>23.651452282157678</v>
          </cell>
        </row>
        <row r="18">
          <cell r="AV18">
            <v>64</v>
          </cell>
          <cell r="AW18">
            <v>14.222222222222221</v>
          </cell>
          <cell r="AX18">
            <v>93</v>
          </cell>
          <cell r="AY18">
            <v>19.214876033057852</v>
          </cell>
          <cell r="AZ18">
            <v>79</v>
          </cell>
          <cell r="BA18">
            <v>16.390041493775932</v>
          </cell>
        </row>
        <row r="19">
          <cell r="AV19">
            <v>39</v>
          </cell>
          <cell r="AW19">
            <v>8.6666666666666661</v>
          </cell>
          <cell r="AX19">
            <v>79</v>
          </cell>
          <cell r="AY19">
            <v>16.322314049586776</v>
          </cell>
          <cell r="AZ19">
            <v>54</v>
          </cell>
          <cell r="BA19">
            <v>11.203319502074688</v>
          </cell>
        </row>
        <row r="20">
          <cell r="AV20">
            <v>24</v>
          </cell>
          <cell r="AW20">
            <v>5.333333333333333</v>
          </cell>
          <cell r="AX20">
            <v>68</v>
          </cell>
          <cell r="AY20">
            <v>14.049586776859504</v>
          </cell>
          <cell r="AZ20">
            <v>38</v>
          </cell>
          <cell r="BA20">
            <v>7.8838174273858925</v>
          </cell>
        </row>
        <row r="21">
          <cell r="AV21">
            <v>22</v>
          </cell>
          <cell r="AW21">
            <v>4.8888888888888893</v>
          </cell>
          <cell r="AX21">
            <v>68</v>
          </cell>
          <cell r="AY21">
            <v>14.049586776859504</v>
          </cell>
          <cell r="AZ21">
            <v>36</v>
          </cell>
          <cell r="BA21">
            <v>7.4688796680497926</v>
          </cell>
        </row>
        <row r="22">
          <cell r="AV22">
            <v>20</v>
          </cell>
          <cell r="AW22">
            <v>4.4444444444444446</v>
          </cell>
          <cell r="AX22">
            <v>56</v>
          </cell>
          <cell r="AY22">
            <v>11.570247933884298</v>
          </cell>
          <cell r="AZ22">
            <v>29</v>
          </cell>
          <cell r="BA22">
            <v>6.0165975103734439</v>
          </cell>
        </row>
        <row r="23">
          <cell r="AV23">
            <v>11</v>
          </cell>
          <cell r="AW23">
            <v>2.4444444444444446</v>
          </cell>
          <cell r="AX23">
            <v>51</v>
          </cell>
          <cell r="AY23">
            <v>10.537190082644628</v>
          </cell>
          <cell r="AZ23">
            <v>19</v>
          </cell>
          <cell r="BA23">
            <v>3.9419087136929463</v>
          </cell>
        </row>
        <row r="24">
          <cell r="AV24">
            <v>8</v>
          </cell>
          <cell r="AW24">
            <v>1.7777777777777777</v>
          </cell>
          <cell r="AX24">
            <v>34</v>
          </cell>
          <cell r="AY24">
            <v>7.0247933884297522</v>
          </cell>
          <cell r="AZ24">
            <v>14</v>
          </cell>
          <cell r="BA24">
            <v>2.904564315352697</v>
          </cell>
        </row>
        <row r="25">
          <cell r="AV25">
            <v>8</v>
          </cell>
          <cell r="AW25">
            <v>1.7777777777777777</v>
          </cell>
          <cell r="AX25">
            <v>27</v>
          </cell>
          <cell r="AY25">
            <v>5.5785123966942152</v>
          </cell>
          <cell r="AZ25">
            <v>11</v>
          </cell>
          <cell r="BA25">
            <v>2.2821576763485476</v>
          </cell>
        </row>
        <row r="26">
          <cell r="AV26">
            <v>8</v>
          </cell>
          <cell r="AW26">
            <v>1.7777777777777777</v>
          </cell>
          <cell r="AX26">
            <v>27</v>
          </cell>
          <cell r="AY26">
            <v>5.5785123966942152</v>
          </cell>
          <cell r="AZ26">
            <v>11</v>
          </cell>
          <cell r="BA26">
            <v>2.2821576763485476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Yanika PIYASANTI" id="{26569247-4491-4069-84E9-A89CFB5AC1EE}" userId="S::yanika.p@kuvacb.com::4ab95fee-2da3-48a3-9912-6b701b45d797" providerId="AD"/>
  <person displayName="Kannika SIRIPATTARAPRAVAT" id="{37AC6C1A-4F28-43AC-B966-5D258ADCB9CA}" userId="S::kannika.si@kuvacb.com::19e2ba2c-f611-420e-b785-88736dce2ee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3.381261921299" createdVersion="8" refreshedVersion="8" minRefreshableVersion="3" recordCount="17" xr:uid="{C70E19E3-28AD-4393-ACC8-1DE312788716}">
  <cacheSource type="worksheet">
    <worksheetSource ref="A1:AG18" sheet="MSU_raw"/>
  </cacheSource>
  <cacheFields count="33">
    <cacheField name="Date of NT" numFmtId="0">
      <sharedItems containsSemiMixedTypes="0" containsNonDate="0" containsDate="1" containsString="0" minDate="2025-10-16T00:00:00" maxDate="2026-03-21T00:00:00"/>
    </cacheField>
    <cacheField name="Group" numFmtId="0">
      <sharedItems count="3">
        <s v="AB"/>
        <s v="NHGRI"/>
        <s v="TU"/>
      </sharedItems>
    </cacheField>
    <cacheField name="Replicate" numFmtId="0">
      <sharedItems containsSemiMixedTypes="0" containsString="0" containsNumber="1" containsInteger="1" minValue="1" maxValue="7"/>
    </cacheField>
    <cacheField name="Gr_Rep" numFmtId="0">
      <sharedItems/>
    </cacheField>
    <cacheField name="Group_Rep" numFmtId="0">
      <sharedItems count="17">
        <s v="AB_1"/>
        <s v="AB_2"/>
        <s v="AB_3"/>
        <s v="AB_4"/>
        <s v="AB_5"/>
        <s v="AB_6"/>
        <s v="AB_7"/>
        <s v="NHGRI_1"/>
        <s v="NHGRI_2"/>
        <s v="NHGRI_3"/>
        <s v="NHGRI_4"/>
        <s v="NHGRI_5"/>
        <s v="TU_1"/>
        <s v="TU_2"/>
        <s v="TU_3"/>
        <s v="TU_4"/>
        <s v="TU_5"/>
      </sharedItems>
    </cacheField>
    <cacheField name="01_Activate" numFmtId="0">
      <sharedItems containsSemiMixedTypes="0" containsString="0" containsNumber="1" containsInteger="1" minValue="20" maxValue="71"/>
    </cacheField>
    <cacheField name="2-cell_Normal" numFmtId="0">
      <sharedItems containsSemiMixedTypes="0" containsString="0" containsNumber="1" containsInteger="1" minValue="5" maxValue="31"/>
    </cacheField>
    <cacheField name="2-cell_Abnormal" numFmtId="0">
      <sharedItems containsSemiMixedTypes="0" containsString="0" containsNumber="1" containsInteger="1" minValue="11" maxValue="42"/>
    </cacheField>
    <cacheField name="2-cell_All" numFmtId="0">
      <sharedItems containsSemiMixedTypes="0" containsString="0" containsNumber="1" containsInteger="1" minValue="20" maxValue="70"/>
    </cacheField>
    <cacheField name="02_2-cell" numFmtId="0">
      <sharedItems containsSemiMixedTypes="0" containsString="0" containsNumber="1" containsInteger="1" minValue="20" maxValue="70"/>
    </cacheField>
    <cacheField name="03_4-cell" numFmtId="0">
      <sharedItems containsSemiMixedTypes="0" containsString="0" containsNumber="1" containsInteger="1" minValue="5" maxValue="31"/>
    </cacheField>
    <cacheField name="04_8-cell" numFmtId="0">
      <sharedItems containsSemiMixedTypes="0" containsString="0" containsNumber="1" containsInteger="1" minValue="5" maxValue="31"/>
    </cacheField>
    <cacheField name="05_16-cell" numFmtId="0">
      <sharedItems containsSemiMixedTypes="0" containsString="0" containsNumber="1" containsInteger="1" minValue="5" maxValue="31"/>
    </cacheField>
    <cacheField name="06_32-cell" numFmtId="0">
      <sharedItems containsSemiMixedTypes="0" containsString="0" containsNumber="1" containsInteger="1" minValue="5" maxValue="31"/>
    </cacheField>
    <cacheField name="07_64-cell" numFmtId="0">
      <sharedItems containsSemiMixedTypes="0" containsString="0" containsNumber="1" containsInteger="1" minValue="5" maxValue="31"/>
    </cacheField>
    <cacheField name="08_256-cell" numFmtId="0">
      <sharedItems containsSemiMixedTypes="0" containsString="0" containsNumber="1" containsInteger="1" minValue="5" maxValue="30"/>
    </cacheField>
    <cacheField name="09_512-cell" numFmtId="0">
      <sharedItems containsSemiMixedTypes="0" containsString="0" containsNumber="1" containsInteger="1" minValue="5" maxValue="30"/>
    </cacheField>
    <cacheField name="10_1000-cell" numFmtId="0">
      <sharedItems containsSemiMixedTypes="0" containsString="0" containsNumber="1" containsInteger="1" minValue="5" maxValue="30"/>
    </cacheField>
    <cacheField name="11_High" numFmtId="0">
      <sharedItems containsSemiMixedTypes="0" containsString="0" containsNumber="1" containsInteger="1" minValue="5" maxValue="30"/>
    </cacheField>
    <cacheField name="12_Oblong" numFmtId="0">
      <sharedItems containsSemiMixedTypes="0" containsString="0" containsNumber="1" containsInteger="1" minValue="5" maxValue="29"/>
    </cacheField>
    <cacheField name="13_Sphere" numFmtId="0">
      <sharedItems containsSemiMixedTypes="0" containsString="0" containsNumber="1" containsInteger="1" minValue="4" maxValue="21"/>
    </cacheField>
    <cacheField name="14_Dome" numFmtId="0">
      <sharedItems containsSemiMixedTypes="0" containsString="0" containsNumber="1" containsInteger="1" minValue="3" maxValue="20"/>
    </cacheField>
    <cacheField name="15_30%epi" numFmtId="0">
      <sharedItems containsSemiMixedTypes="0" containsString="0" containsNumber="1" containsInteger="1" minValue="3" maxValue="18"/>
    </cacheField>
    <cacheField name="16_50%epi" numFmtId="0">
      <sharedItems containsSemiMixedTypes="0" containsString="0" containsNumber="1" containsInteger="1" minValue="2" maxValue="15"/>
    </cacheField>
    <cacheField name="17_GermRing" numFmtId="0">
      <sharedItems containsSemiMixedTypes="0" containsString="0" containsNumber="1" containsInteger="1" minValue="2" maxValue="15"/>
    </cacheField>
    <cacheField name="18_Shield" numFmtId="0">
      <sharedItems containsSemiMixedTypes="0" containsString="0" containsNumber="1" containsInteger="1" minValue="2" maxValue="15"/>
    </cacheField>
    <cacheField name="19_75%epi" numFmtId="0">
      <sharedItems containsSemiMixedTypes="0" containsString="0" containsNumber="1" containsInteger="1" minValue="2" maxValue="14"/>
    </cacheField>
    <cacheField name="20_90%epi" numFmtId="0">
      <sharedItems containsSemiMixedTypes="0" containsString="0" containsNumber="1" containsInteger="1" minValue="1" maxValue="12"/>
    </cacheField>
    <cacheField name="Day1 Normal" numFmtId="0">
      <sharedItems containsSemiMixedTypes="0" containsString="0" containsNumber="1" containsInteger="1" minValue="0" maxValue="8"/>
    </cacheField>
    <cacheField name="Day 1 abnormal" numFmtId="0">
      <sharedItems containsSemiMixedTypes="0" containsString="0" containsNumber="1" containsInteger="1" minValue="0" maxValue="3"/>
    </cacheField>
    <cacheField name="Day1_All" numFmtId="0">
      <sharedItems containsSemiMixedTypes="0" containsString="0" containsNumber="1" containsInteger="1" minValue="0" maxValue="11"/>
    </cacheField>
    <cacheField name="21_Day1" numFmtId="0">
      <sharedItems containsSemiMixedTypes="0" containsString="0" containsNumber="1" containsInteger="1" minValue="0" maxValue="11"/>
    </cacheField>
    <cacheField name="22_Day3" numFmtId="0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3.381262499999" createdVersion="8" refreshedVersion="8" minRefreshableVersion="3" recordCount="409" xr:uid="{48691A12-C25A-4415-A3A2-A27D085120B5}">
  <cacheSource type="worksheet">
    <worksheetSource ref="A1:AX410" sheet="KU_raw"/>
  </cacheSource>
  <cacheFields count="50">
    <cacheField name="Sequence" numFmtId="0">
      <sharedItems containsSemiMixedTypes="0" containsString="0" containsNumber="1" containsInteger="1" minValue="1" maxValue="26"/>
    </cacheField>
    <cacheField name="Date" numFmtId="164">
      <sharedItems containsSemiMixedTypes="0" containsNonDate="0" containsDate="1" containsString="0" minDate="2025-09-11T00:00:00" maxDate="2025-11-28T00:00:00"/>
    </cacheField>
    <cacheField name="Recipient egg" numFmtId="0">
      <sharedItems containsBlank="1"/>
    </cacheField>
    <cacheField name="% NBD" numFmtId="0">
      <sharedItems containsBlank="1"/>
    </cacheField>
    <cacheField name="Field5" caption="Field5" numFmtId="0">
      <sharedItems containsBlank="1"/>
    </cacheField>
    <cacheField name="Lot of CSOF" numFmtId="0">
      <sharedItems containsBlank="1"/>
    </cacheField>
    <cacheField name="Code of Egg " numFmtId="0">
      <sharedItems containsBlank="1"/>
    </cacheField>
    <cacheField name="Replicate" numFmtId="0">
      <sharedItems containsSemiMixedTypes="0" containsString="0" containsNumber="1" containsInteger="1" minValue="1" maxValue="10"/>
    </cacheField>
    <cacheField name="Gr_Rep" numFmtId="2">
      <sharedItems/>
    </cacheField>
    <cacheField name="Group_Rep" numFmtId="2">
      <sharedItems count="26">
        <s v="TU_1"/>
        <s v="NHGRI_1"/>
        <s v="AB_1"/>
        <s v="TU_2"/>
        <s v="NHGRI_2"/>
        <s v="AB_2"/>
        <s v="TU_3"/>
        <s v="NHGRI_3"/>
        <s v="AB_3"/>
        <s v="TU_4"/>
        <s v="NHGRI_4"/>
        <s v="AB_4"/>
        <s v="NHGRI_5"/>
        <s v="NHGRI_6"/>
        <s v="AB_5"/>
        <s v="AB_6"/>
        <s v="AB_7"/>
        <s v="TU_5"/>
        <s v="AB_8"/>
        <s v="TU_6"/>
        <s v="AB_9"/>
        <s v="TU_7"/>
        <s v="NHGRI_7"/>
        <s v="NHGRI_8"/>
        <s v="NHGRI_9"/>
        <s v="NHGRI_10"/>
      </sharedItems>
    </cacheField>
    <cacheField name="BatchRun" numFmtId="1">
      <sharedItems containsSemiMixedTypes="0" containsString="0" containsNumber="1" containsInteger="1" minValue="1" maxValue="25"/>
    </cacheField>
    <cacheField name="Gr_Batch" numFmtId="2">
      <sharedItems/>
    </cacheField>
    <cacheField name="Group_Batch" numFmtId="2">
      <sharedItems/>
    </cacheField>
    <cacheField name="Group" numFmtId="0">
      <sharedItems count="3">
        <s v="TU"/>
        <s v="NHGRI"/>
        <s v="AB"/>
      </sharedItems>
    </cacheField>
    <cacheField name="Injection" numFmtId="0">
      <sharedItems/>
    </cacheField>
    <cacheField name="Enulceation" numFmtId="0">
      <sharedItems containsMixedTypes="1" containsNumber="1" containsInteger="1" minValue="100" maxValue="100"/>
    </cacheField>
    <cacheField name="Field17" caption="Field17" numFmtId="0">
      <sharedItems containsMixedTypes="1" containsNumber="1" containsInteger="1" minValue="500" maxValue="500"/>
    </cacheField>
    <cacheField name="Field18" caption="Field18" numFmtId="0">
      <sharedItems containsString="0" containsBlank="1" containsNumber="1" containsInteger="1" minValue="60" maxValue="100"/>
    </cacheField>
    <cacheField name="Lot No." numFmtId="0">
      <sharedItems containsMixedTypes="1" containsNumber="1" containsInteger="1" minValue="1" maxValue="9"/>
    </cacheField>
    <cacheField name="N" numFmtId="0">
      <sharedItems containsSemiMixedTypes="0" containsString="0" containsNumber="1" containsInteger="1" minValue="1" maxValue="7"/>
    </cacheField>
    <cacheField name="Time" numFmtId="0">
      <sharedItems containsDate="1" containsMixedTypes="1" minDate="1900-01-06T14:35:04" maxDate="1900-01-08T02:24:04"/>
    </cacheField>
    <cacheField name="Field22" caption="Field22" numFmtId="0">
      <sharedItems containsMixedTypes="1" containsNumber="1" minValue="9.42" maxValue="13.11"/>
    </cacheField>
    <cacheField name="01_Activated" numFmtId="0">
      <sharedItems containsSemiMixedTypes="0" containsString="0" containsNumber="1" containsInteger="1" minValue="1" maxValue="7"/>
    </cacheField>
    <cacheField name="Activated time" numFmtId="1">
      <sharedItems containsMixedTypes="1" containsNumber="1" minValue="9.59" maxValue="13.27"/>
    </cacheField>
    <cacheField name="02_2-cell" numFmtId="1">
      <sharedItems containsSemiMixedTypes="0" containsString="0" containsNumber="1" containsInteger="1" minValue="0" maxValue="6"/>
    </cacheField>
    <cacheField name="03_4-cell" numFmtId="1">
      <sharedItems containsSemiMixedTypes="0" containsString="0" containsNumber="1" containsInteger="1" minValue="0" maxValue="5"/>
    </cacheField>
    <cacheField name="04_8-cell" numFmtId="1">
      <sharedItems containsSemiMixedTypes="0" containsString="0" containsNumber="1" containsInteger="1" minValue="0" maxValue="5"/>
    </cacheField>
    <cacheField name="05_16-cell" numFmtId="1">
      <sharedItems containsSemiMixedTypes="0" containsString="0" containsNumber="1" containsInteger="1" minValue="0" maxValue="5"/>
    </cacheField>
    <cacheField name="06_32-cell" numFmtId="1">
      <sharedItems containsSemiMixedTypes="0" containsString="0" containsNumber="1" containsInteger="1" minValue="0" maxValue="5"/>
    </cacheField>
    <cacheField name="07_64-cell" numFmtId="1">
      <sharedItems containsSemiMixedTypes="0" containsString="0" containsNumber="1" containsInteger="1" minValue="0" maxValue="5"/>
    </cacheField>
    <cacheField name="08_128-cell" numFmtId="1">
      <sharedItems containsSemiMixedTypes="0" containsString="0" containsNumber="1" containsInteger="1" minValue="0" maxValue="5"/>
    </cacheField>
    <cacheField name="09_256-cell" numFmtId="1">
      <sharedItems containsSemiMixedTypes="0" containsString="0" containsNumber="1" containsInteger="1" minValue="0" maxValue="5"/>
    </cacheField>
    <cacheField name="10_512-cell" numFmtId="1">
      <sharedItems containsSemiMixedTypes="0" containsString="0" containsNumber="1" containsInteger="1" minValue="0" maxValue="5"/>
    </cacheField>
    <cacheField name="11_1k-cell" numFmtId="1">
      <sharedItems containsSemiMixedTypes="0" containsString="0" containsNumber="1" containsInteger="1" minValue="0" maxValue="5"/>
    </cacheField>
    <cacheField name="12_High" numFmtId="1">
      <sharedItems containsSemiMixedTypes="0" containsString="0" containsNumber="1" containsInteger="1" minValue="0" maxValue="5"/>
    </cacheField>
    <cacheField name="13_Oblong" numFmtId="1">
      <sharedItems containsString="0" containsBlank="1" containsNumber="1" containsInteger="1" minValue="0" maxValue="5"/>
    </cacheField>
    <cacheField name="14_Sphere" numFmtId="1">
      <sharedItems containsString="0" containsBlank="1" containsNumber="1" containsInteger="1" minValue="0" maxValue="5"/>
    </cacheField>
    <cacheField name="15_Dome" numFmtId="1">
      <sharedItems containsSemiMixedTypes="0" containsString="0" containsNumber="1" containsInteger="1" minValue="0" maxValue="5"/>
    </cacheField>
    <cacheField name="16_30%epi" numFmtId="1">
      <sharedItems containsSemiMixedTypes="0" containsString="0" containsNumber="1" containsInteger="1" minValue="0" maxValue="4"/>
    </cacheField>
    <cacheField name="17_50%epi" numFmtId="1">
      <sharedItems containsSemiMixedTypes="0" containsString="0" containsNumber="1" containsInteger="1" minValue="0" maxValue="3"/>
    </cacheField>
    <cacheField name="18_Germ ring" numFmtId="1">
      <sharedItems containsSemiMixedTypes="0" containsString="0" containsNumber="1" containsInteger="1" minValue="0" maxValue="3"/>
    </cacheField>
    <cacheField name="19_Shield" numFmtId="1">
      <sharedItems containsSemiMixedTypes="0" containsString="0" containsNumber="1" containsInteger="1" minValue="0" maxValue="3"/>
    </cacheField>
    <cacheField name="20_75%epi" numFmtId="1">
      <sharedItems containsSemiMixedTypes="0" containsString="0" containsNumber="1" containsInteger="1" minValue="0" maxValue="2"/>
    </cacheField>
    <cacheField name="21_90%epi" numFmtId="1">
      <sharedItems containsSemiMixedTypes="0" containsString="0" containsNumber="1" containsInteger="1" minValue="0" maxValue="2"/>
    </cacheField>
    <cacheField name="22_Day1" numFmtId="1">
      <sharedItems containsSemiMixedTypes="0" containsString="0" containsNumber="1" containsInteger="1" minValue="0" maxValue="2"/>
    </cacheField>
    <cacheField name="23_Day2" numFmtId="1">
      <sharedItems containsString="0" containsBlank="1" containsNumber="1" containsInteger="1" minValue="0" maxValue="2"/>
    </cacheField>
    <cacheField name="clone" numFmtId="0">
      <sharedItems containsSemiMixedTypes="0" containsString="0" containsNumber="1" containsInteger="1" minValue="0" maxValue="2"/>
    </cacheField>
    <cacheField name="InSystem" numFmtId="0">
      <sharedItems containsBlank="1" containsMixedTypes="1" containsNumber="1" containsInteger="1" minValue="0" maxValue="1"/>
    </cacheField>
    <cacheField name="Remarks" numFmtId="0">
      <sharedItems containsBlank="1"/>
    </cacheField>
    <cacheField name="B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d v="2025-11-05T00:00:00"/>
    <x v="0"/>
    <n v="1"/>
    <s v="AB_1"/>
    <x v="0"/>
    <n v="50"/>
    <n v="21"/>
    <n v="22"/>
    <n v="43"/>
    <n v="43"/>
    <n v="21"/>
    <n v="20"/>
    <n v="18"/>
    <n v="16"/>
    <n v="16"/>
    <n v="11"/>
    <n v="10"/>
    <n v="10"/>
    <n v="10"/>
    <n v="7"/>
    <n v="6"/>
    <n v="4"/>
    <n v="3"/>
    <n v="3"/>
    <n v="3"/>
    <n v="2"/>
    <n v="2"/>
    <n v="1"/>
    <n v="1"/>
    <n v="0"/>
    <n v="1"/>
    <n v="1"/>
    <n v="0"/>
  </r>
  <r>
    <d v="2025-12-01T00:00:00"/>
    <x v="0"/>
    <n v="2"/>
    <s v="AB_2"/>
    <x v="1"/>
    <n v="48"/>
    <n v="18"/>
    <n v="30"/>
    <n v="48"/>
    <n v="48"/>
    <n v="18"/>
    <n v="18"/>
    <n v="16"/>
    <n v="16"/>
    <n v="16"/>
    <n v="16"/>
    <n v="14"/>
    <n v="14"/>
    <n v="14"/>
    <n v="10"/>
    <n v="9"/>
    <n v="6"/>
    <n v="5"/>
    <n v="4"/>
    <n v="4"/>
    <n v="4"/>
    <n v="3"/>
    <n v="3"/>
    <n v="0"/>
    <n v="0"/>
    <n v="0"/>
    <n v="0"/>
    <n v="0"/>
  </r>
  <r>
    <d v="2025-12-08T00:00:00"/>
    <x v="0"/>
    <n v="3"/>
    <s v="AB_3"/>
    <x v="2"/>
    <n v="47"/>
    <n v="24"/>
    <n v="21"/>
    <n v="45"/>
    <n v="45"/>
    <n v="24"/>
    <n v="24"/>
    <n v="24"/>
    <n v="24"/>
    <n v="24"/>
    <n v="24"/>
    <n v="24"/>
    <n v="24"/>
    <n v="22"/>
    <n v="13"/>
    <n v="8"/>
    <n v="6"/>
    <n v="5"/>
    <n v="4"/>
    <n v="4"/>
    <n v="4"/>
    <n v="3"/>
    <n v="3"/>
    <n v="2"/>
    <n v="0"/>
    <n v="2"/>
    <n v="2"/>
    <n v="2"/>
  </r>
  <r>
    <d v="2025-12-10T00:00:00"/>
    <x v="0"/>
    <n v="4"/>
    <s v="AB_4"/>
    <x v="3"/>
    <n v="28"/>
    <n v="17"/>
    <n v="11"/>
    <n v="28"/>
    <n v="28"/>
    <n v="17"/>
    <n v="17"/>
    <n v="17"/>
    <n v="17"/>
    <n v="17"/>
    <n v="17"/>
    <n v="17"/>
    <n v="17"/>
    <n v="17"/>
    <n v="15"/>
    <n v="11"/>
    <n v="9"/>
    <n v="8"/>
    <n v="7"/>
    <n v="6"/>
    <n v="6"/>
    <n v="5"/>
    <n v="5"/>
    <n v="2"/>
    <n v="1"/>
    <n v="3"/>
    <n v="3"/>
    <n v="0"/>
  </r>
  <r>
    <d v="2026-02-17T00:00:00"/>
    <x v="0"/>
    <n v="5"/>
    <s v="AB_5"/>
    <x v="4"/>
    <n v="65"/>
    <n v="21"/>
    <n v="39"/>
    <n v="60"/>
    <n v="60"/>
    <n v="21"/>
    <n v="21"/>
    <n v="21"/>
    <n v="21"/>
    <n v="21"/>
    <n v="21"/>
    <n v="21"/>
    <n v="21"/>
    <n v="21"/>
    <n v="13"/>
    <n v="5"/>
    <n v="3"/>
    <n v="3"/>
    <n v="2"/>
    <n v="2"/>
    <n v="2"/>
    <n v="2"/>
    <n v="1"/>
    <n v="0"/>
    <n v="1"/>
    <n v="1"/>
    <n v="1"/>
    <n v="0"/>
  </r>
  <r>
    <d v="2026-02-18T00:00:00"/>
    <x v="0"/>
    <n v="6"/>
    <s v="AB_6"/>
    <x v="5"/>
    <n v="27"/>
    <n v="5"/>
    <n v="21"/>
    <n v="26"/>
    <n v="26"/>
    <n v="5"/>
    <n v="5"/>
    <n v="5"/>
    <n v="5"/>
    <n v="5"/>
    <n v="5"/>
    <n v="5"/>
    <n v="5"/>
    <n v="5"/>
    <n v="5"/>
    <n v="4"/>
    <n v="4"/>
    <n v="4"/>
    <n v="3"/>
    <n v="3"/>
    <n v="3"/>
    <n v="3"/>
    <n v="3"/>
    <n v="0"/>
    <n v="2"/>
    <n v="2"/>
    <n v="2"/>
    <n v="0"/>
  </r>
  <r>
    <d v="2026-02-19T00:00:00"/>
    <x v="0"/>
    <n v="7"/>
    <s v="AB_7"/>
    <x v="6"/>
    <n v="71"/>
    <n v="28"/>
    <n v="42"/>
    <n v="70"/>
    <n v="70"/>
    <n v="28"/>
    <n v="28"/>
    <n v="28"/>
    <n v="28"/>
    <n v="28"/>
    <n v="28"/>
    <n v="28"/>
    <n v="28"/>
    <n v="28"/>
    <n v="12"/>
    <n v="4"/>
    <n v="4"/>
    <n v="4"/>
    <n v="4"/>
    <n v="2"/>
    <n v="2"/>
    <n v="2"/>
    <n v="2"/>
    <n v="0"/>
    <n v="1"/>
    <n v="1"/>
    <n v="1"/>
    <n v="0"/>
  </r>
  <r>
    <d v="2025-11-10T00:00:00"/>
    <x v="1"/>
    <n v="1"/>
    <s v="NHGRI_1"/>
    <x v="7"/>
    <n v="47"/>
    <n v="22"/>
    <n v="22"/>
    <n v="44"/>
    <n v="44"/>
    <n v="22"/>
    <n v="22"/>
    <n v="22"/>
    <n v="22"/>
    <n v="22"/>
    <n v="22"/>
    <n v="22"/>
    <n v="22"/>
    <n v="22"/>
    <n v="18"/>
    <n v="14"/>
    <n v="12"/>
    <n v="9"/>
    <n v="9"/>
    <n v="8"/>
    <n v="8"/>
    <n v="8"/>
    <n v="6"/>
    <n v="4"/>
    <n v="1"/>
    <n v="5"/>
    <n v="5"/>
    <n v="3"/>
  </r>
  <r>
    <d v="2025-11-14T00:00:00"/>
    <x v="1"/>
    <n v="2"/>
    <s v="NHGRI_2"/>
    <x v="8"/>
    <n v="46"/>
    <n v="22"/>
    <n v="24"/>
    <n v="46"/>
    <n v="46"/>
    <n v="21"/>
    <n v="20"/>
    <n v="19"/>
    <n v="19"/>
    <n v="19"/>
    <n v="17"/>
    <n v="17"/>
    <n v="17"/>
    <n v="17"/>
    <n v="16"/>
    <n v="12"/>
    <n v="11"/>
    <n v="8"/>
    <n v="8"/>
    <n v="8"/>
    <n v="8"/>
    <n v="8"/>
    <n v="7"/>
    <n v="4"/>
    <n v="1"/>
    <n v="5"/>
    <n v="5"/>
    <n v="3"/>
  </r>
  <r>
    <d v="2025-11-19T00:00:00"/>
    <x v="1"/>
    <n v="3"/>
    <s v="NHGRI_3"/>
    <x v="9"/>
    <n v="43"/>
    <n v="17"/>
    <n v="24"/>
    <n v="41"/>
    <n v="41"/>
    <n v="17"/>
    <n v="17"/>
    <n v="17"/>
    <n v="17"/>
    <n v="17"/>
    <n v="17"/>
    <n v="17"/>
    <n v="17"/>
    <n v="16"/>
    <n v="15"/>
    <n v="12"/>
    <n v="6"/>
    <n v="4"/>
    <n v="4"/>
    <n v="4"/>
    <n v="4"/>
    <n v="4"/>
    <n v="4"/>
    <n v="4"/>
    <n v="0"/>
    <n v="4"/>
    <n v="4"/>
    <n v="3"/>
  </r>
  <r>
    <d v="2026-03-16T00:00:00"/>
    <x v="1"/>
    <n v="4"/>
    <s v="NHGRI_4"/>
    <x v="10"/>
    <n v="54"/>
    <n v="15"/>
    <n v="38"/>
    <n v="53"/>
    <n v="53"/>
    <n v="15"/>
    <n v="15"/>
    <n v="15"/>
    <n v="15"/>
    <n v="15"/>
    <n v="15"/>
    <n v="15"/>
    <n v="15"/>
    <n v="15"/>
    <n v="13"/>
    <n v="8"/>
    <n v="8"/>
    <n v="7"/>
    <n v="6"/>
    <n v="6"/>
    <n v="6"/>
    <n v="6"/>
    <n v="5"/>
    <n v="1"/>
    <n v="3"/>
    <n v="4"/>
    <n v="4"/>
    <n v="1"/>
  </r>
  <r>
    <d v="2026-03-20T00:00:00"/>
    <x v="1"/>
    <n v="5"/>
    <s v="NHGRI_5"/>
    <x v="11"/>
    <n v="59"/>
    <n v="20"/>
    <n v="37"/>
    <n v="57"/>
    <n v="57"/>
    <n v="20"/>
    <n v="20"/>
    <n v="20"/>
    <n v="20"/>
    <n v="20"/>
    <n v="20"/>
    <n v="20"/>
    <n v="20"/>
    <n v="20"/>
    <n v="19"/>
    <n v="7"/>
    <n v="7"/>
    <n v="7"/>
    <n v="5"/>
    <n v="5"/>
    <n v="5"/>
    <n v="5"/>
    <n v="5"/>
    <n v="1"/>
    <n v="3"/>
    <n v="4"/>
    <n v="4"/>
    <n v="1"/>
  </r>
  <r>
    <d v="2025-10-16T00:00:00"/>
    <x v="2"/>
    <n v="1"/>
    <s v="TU_1"/>
    <x v="12"/>
    <n v="20"/>
    <n v="8"/>
    <n v="12"/>
    <n v="20"/>
    <n v="20"/>
    <n v="8"/>
    <n v="8"/>
    <n v="8"/>
    <n v="8"/>
    <n v="8"/>
    <n v="8"/>
    <n v="8"/>
    <n v="8"/>
    <n v="8"/>
    <n v="7"/>
    <n v="6"/>
    <n v="5"/>
    <n v="4"/>
    <n v="3"/>
    <n v="3"/>
    <n v="3"/>
    <n v="2"/>
    <n v="1"/>
    <n v="1"/>
    <n v="0"/>
    <n v="1"/>
    <n v="1"/>
    <n v="1"/>
  </r>
  <r>
    <d v="2025-10-24T00:00:00"/>
    <x v="2"/>
    <n v="2"/>
    <s v="TU_2"/>
    <x v="13"/>
    <n v="46"/>
    <n v="20"/>
    <n v="19"/>
    <n v="39"/>
    <n v="39"/>
    <n v="20"/>
    <n v="20"/>
    <n v="19"/>
    <n v="19"/>
    <n v="19"/>
    <n v="19"/>
    <n v="18"/>
    <n v="18"/>
    <n v="18"/>
    <n v="18"/>
    <n v="9"/>
    <n v="9"/>
    <n v="7"/>
    <n v="7"/>
    <n v="7"/>
    <n v="7"/>
    <n v="7"/>
    <n v="7"/>
    <n v="3"/>
    <n v="2"/>
    <n v="5"/>
    <n v="5"/>
    <n v="3"/>
  </r>
  <r>
    <d v="2025-11-03T00:00:00"/>
    <x v="2"/>
    <n v="3"/>
    <s v="TU_3"/>
    <x v="14"/>
    <n v="48"/>
    <n v="20"/>
    <n v="24"/>
    <n v="44"/>
    <n v="44"/>
    <n v="20"/>
    <n v="20"/>
    <n v="20"/>
    <n v="20"/>
    <n v="20"/>
    <n v="20"/>
    <n v="18"/>
    <n v="18"/>
    <n v="18"/>
    <n v="18"/>
    <n v="10"/>
    <n v="7"/>
    <n v="6"/>
    <n v="4"/>
    <n v="4"/>
    <n v="4"/>
    <n v="4"/>
    <n v="4"/>
    <n v="3"/>
    <n v="1"/>
    <n v="4"/>
    <n v="4"/>
    <n v="2"/>
  </r>
  <r>
    <d v="2025-12-15T00:00:00"/>
    <x v="2"/>
    <n v="4"/>
    <s v="TU_4"/>
    <x v="15"/>
    <n v="50"/>
    <n v="31"/>
    <n v="19"/>
    <n v="50"/>
    <n v="50"/>
    <n v="31"/>
    <n v="31"/>
    <n v="31"/>
    <n v="31"/>
    <n v="31"/>
    <n v="30"/>
    <n v="30"/>
    <n v="30"/>
    <n v="30"/>
    <n v="29"/>
    <n v="21"/>
    <n v="20"/>
    <n v="18"/>
    <n v="15"/>
    <n v="15"/>
    <n v="15"/>
    <n v="14"/>
    <n v="12"/>
    <n v="8"/>
    <n v="3"/>
    <n v="11"/>
    <n v="11"/>
    <n v="8"/>
  </r>
  <r>
    <d v="2026-02-10T00:00:00"/>
    <x v="2"/>
    <n v="5"/>
    <s v="TU_5"/>
    <x v="16"/>
    <n v="66"/>
    <n v="26"/>
    <n v="37"/>
    <n v="63"/>
    <n v="63"/>
    <n v="26"/>
    <n v="26"/>
    <n v="26"/>
    <n v="26"/>
    <n v="26"/>
    <n v="26"/>
    <n v="26"/>
    <n v="26"/>
    <n v="26"/>
    <n v="21"/>
    <n v="6"/>
    <n v="5"/>
    <n v="3"/>
    <n v="2"/>
    <n v="2"/>
    <n v="2"/>
    <n v="2"/>
    <n v="1"/>
    <n v="0"/>
    <n v="1"/>
    <n v="1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n v="1"/>
    <d v="2025-09-11T00:00:00"/>
    <s v="TAB taiwan 28-6-24"/>
    <s v="16 cell = 55%"/>
    <m/>
    <s v="CSOF 2024-19"/>
    <s v="E4_2025-09-11"/>
    <n v="1"/>
    <s v="TU_1"/>
    <x v="0"/>
    <n v="1"/>
    <s v="TU_1_1"/>
    <s v="TU_1_1"/>
    <x v="0"/>
    <s v="TU dissociated cells-11"/>
    <n v="100"/>
    <n v="500"/>
    <n v="80"/>
    <n v="1"/>
    <n v="3"/>
    <n v="10"/>
    <n v="10.25"/>
    <n v="3"/>
    <n v="10.41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m/>
    <s v="จำนวน N ที่ได้เป็นการ pick-up egg มาครั้งละ 5 ฟอง แต่เจอ micropyle แค่จำนวน N ที่ได้ทำ"/>
    <s v="Jan"/>
  </r>
  <r>
    <n v="1"/>
    <d v="2025-09-11T00:00:00"/>
    <m/>
    <s v="day 1 = 16.66 %"/>
    <m/>
    <m/>
    <s v="E4_2025-09-11"/>
    <n v="1"/>
    <s v="TU_1"/>
    <x v="0"/>
    <n v="2"/>
    <s v="TU_1_2"/>
    <s v="TU_1_2"/>
    <x v="0"/>
    <s v="TU dissociated cells-11"/>
    <n v="100"/>
    <n v="500"/>
    <m/>
    <n v="2"/>
    <n v="3"/>
    <n v="10.32"/>
    <n v="10.55"/>
    <n v="3"/>
    <n v="11.11"/>
    <n v="3"/>
    <n v="3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m/>
    <s v="จำนวน N ที่ได้เป็นการ pick-up egg มาครั้งละ 5 ฟอง แต่เจอ micropyle แค่จำนวน N ที่ได้ทำ"/>
    <m/>
  </r>
  <r>
    <n v="1"/>
    <d v="2025-09-11T00:00:00"/>
    <m/>
    <m/>
    <m/>
    <m/>
    <s v="E4_2025-09-11"/>
    <n v="1"/>
    <s v="TU_1"/>
    <x v="0"/>
    <n v="3"/>
    <s v="TU_1_3"/>
    <s v="TU_1_3"/>
    <x v="0"/>
    <s v="TU dissociated cells-11"/>
    <n v="100"/>
    <n v="500"/>
    <m/>
    <n v="3"/>
    <n v="4"/>
    <n v="10.57"/>
    <n v="11.21"/>
    <n v="4"/>
    <n v="11.45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จำนวน N ที่ได้เป็นการ pick-up egg มาครั้งละ 5 ฟอง แต่เจอ micropyle แค่จำนวน N ที่ได้ทำ"/>
    <m/>
  </r>
  <r>
    <n v="1"/>
    <d v="2025-09-11T00:00:00"/>
    <m/>
    <m/>
    <m/>
    <m/>
    <s v="E4_2025-09-11"/>
    <n v="1"/>
    <s v="TU_1"/>
    <x v="0"/>
    <n v="4"/>
    <s v="TU_1_4"/>
    <s v="TU_1_4"/>
    <x v="0"/>
    <s v="TU dissociated cells-11"/>
    <n v="100"/>
    <n v="500"/>
    <m/>
    <n v="4"/>
    <n v="3"/>
    <n v="11.31"/>
    <n v="11.45"/>
    <n v="3"/>
    <n v="12.0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จำนวน N ที่ได้เป็นการ pick-up egg มาครั้งละ 5 ฟอง แต่เจอ micropyle แค่จำนวน N ที่ได้ทำ"/>
    <m/>
  </r>
  <r>
    <n v="1"/>
    <d v="2025-09-11T00:00:00"/>
    <m/>
    <m/>
    <m/>
    <m/>
    <s v="E4_2025-09-11"/>
    <n v="1"/>
    <s v="TU_1"/>
    <x v="0"/>
    <n v="5"/>
    <s v="TU_1_5"/>
    <s v="TU_1_5"/>
    <x v="0"/>
    <s v="TU dissociated cells-11"/>
    <n v="100"/>
    <n v="500"/>
    <m/>
    <n v="5"/>
    <n v="1"/>
    <n v="11.5"/>
    <n v="12.04"/>
    <n v="1"/>
    <n v="12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จำนวน N ที่ได้เป็นการ pick-up egg มาครั้งละ 5 ฟอง แต่เจอ micropyle แค่จำนวน N ที่ได้ทำ"/>
    <m/>
  </r>
  <r>
    <n v="1"/>
    <d v="2025-09-11T00:00:00"/>
    <m/>
    <m/>
    <m/>
    <m/>
    <s v="E4_2025-09-11"/>
    <n v="1"/>
    <s v="TU_1"/>
    <x v="0"/>
    <n v="6"/>
    <s v="TU_1_6"/>
    <s v="TU_1_6"/>
    <x v="0"/>
    <s v="TU dissociated cells-11"/>
    <n v="100"/>
    <n v="500"/>
    <m/>
    <n v="6"/>
    <n v="4"/>
    <n v="12.07"/>
    <n v="12.24"/>
    <n v="4"/>
    <n v="12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จำนวน N ที่ได้เป็นการ pick-up egg มาครั้งละ 5 ฟอง แต่เจอ micropyle แค่จำนวน N ที่ได้ทำ"/>
    <m/>
  </r>
  <r>
    <n v="1"/>
    <d v="2025-09-11T00:00:00"/>
    <m/>
    <m/>
    <m/>
    <m/>
    <s v="E4_2025-09-11"/>
    <n v="1"/>
    <s v="TU_1"/>
    <x v="0"/>
    <n v="7"/>
    <s v="TU_1_7"/>
    <s v="TU_1_7"/>
    <x v="0"/>
    <s v="TU dissociated cells-11"/>
    <n v="100"/>
    <n v="500"/>
    <n v="90"/>
    <n v="1"/>
    <n v="2"/>
    <n v="10.02"/>
    <n v="10.210000000000001"/>
    <n v="2"/>
    <n v="10.3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Used  Hoechst 1:1000,_x000a_หยิบมา 3 ฟอง ไม่มี mycropyle 1 ฟอง"/>
    <s v="June"/>
  </r>
  <r>
    <n v="1"/>
    <d v="2025-09-11T00:00:00"/>
    <m/>
    <m/>
    <m/>
    <m/>
    <s v="E4_2025-09-11"/>
    <n v="1"/>
    <s v="TU_1"/>
    <x v="0"/>
    <n v="8"/>
    <s v="TU_1_8"/>
    <s v="TU_1_8"/>
    <x v="0"/>
    <s v="TU dissociated cells-11"/>
    <n v="100"/>
    <n v="500"/>
    <m/>
    <n v="2"/>
    <n v="1"/>
    <n v="10.32"/>
    <n v="10.39"/>
    <n v="1"/>
    <n v="10.57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s v="Used  Hoechst 1:1000_x000a_หยิบมา 3 ฟอง ไม่มี mycropyle 2 ฟอง"/>
    <m/>
  </r>
  <r>
    <n v="1"/>
    <d v="2025-09-11T00:00:00"/>
    <m/>
    <m/>
    <m/>
    <m/>
    <s v="E4_2025-09-11"/>
    <n v="1"/>
    <s v="TU_1"/>
    <x v="0"/>
    <n v="9"/>
    <s v="TU_1_9"/>
    <s v="TU_1_9"/>
    <x v="0"/>
    <s v="TU dissociated cells-11"/>
    <n v="100"/>
    <n v="500"/>
    <m/>
    <n v="3"/>
    <n v="1"/>
    <n v="11.12"/>
    <n v="11.26"/>
    <n v="1"/>
    <n v="11.42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s v="Used  Hoechst 1:500_x000a_หยิบมา 5 ฟอง ไม่มี mycropyle 4 ฟอง"/>
    <m/>
  </r>
  <r>
    <n v="1"/>
    <d v="2025-09-11T00:00:00"/>
    <m/>
    <m/>
    <m/>
    <m/>
    <s v="E4_2025-09-11"/>
    <n v="1"/>
    <s v="TU_1"/>
    <x v="0"/>
    <n v="10"/>
    <s v="TU_1_10"/>
    <s v="TU_1_10"/>
    <x v="0"/>
    <s v="TU dissociated cells-11"/>
    <n v="100"/>
    <n v="500"/>
    <m/>
    <n v="4"/>
    <n v="1"/>
    <n v="11.12"/>
    <n v="11.36"/>
    <n v="1"/>
    <n v="11.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Used  Hoechst 1:1000"/>
    <m/>
  </r>
  <r>
    <n v="1"/>
    <d v="2025-09-11T00:00:00"/>
    <m/>
    <m/>
    <m/>
    <m/>
    <s v="E4_2025-09-11"/>
    <n v="1"/>
    <s v="TU_1"/>
    <x v="0"/>
    <n v="11"/>
    <s v="TU_1_11"/>
    <s v="TU_1_11"/>
    <x v="0"/>
    <s v="TU dissociated cells-11"/>
    <n v="100"/>
    <n v="500"/>
    <m/>
    <n v="5"/>
    <n v="1"/>
    <n v="11.39"/>
    <n v="11.43"/>
    <n v="1"/>
    <n v="11.59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s v="Used  Hoechst 1:1000"/>
    <m/>
  </r>
  <r>
    <n v="1"/>
    <d v="2025-09-11T00:00:00"/>
    <m/>
    <m/>
    <m/>
    <m/>
    <s v="E4_2025-09-11"/>
    <n v="1"/>
    <s v="TU_1"/>
    <x v="0"/>
    <n v="12"/>
    <s v="TU_1_12"/>
    <s v="TU_1_12"/>
    <x v="0"/>
    <s v="TU dissociated cells-11"/>
    <n v="100"/>
    <n v="500"/>
    <m/>
    <n v="6"/>
    <n v="1"/>
    <d v="1899-12-30T11:52:00"/>
    <n v="12.02"/>
    <n v="1"/>
    <n v="12.14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s v="Used  Hoechst 1:1000"/>
    <m/>
  </r>
  <r>
    <n v="1"/>
    <d v="2025-09-11T00:00:00"/>
    <m/>
    <m/>
    <m/>
    <m/>
    <s v="E4_2025-09-11"/>
    <n v="1"/>
    <s v="TU_1"/>
    <x v="0"/>
    <n v="13"/>
    <s v="TU_1_13"/>
    <s v="TU_1_13"/>
    <x v="0"/>
    <s v="TU dissociated cells-11"/>
    <n v="100"/>
    <n v="500"/>
    <m/>
    <n v="7"/>
    <n v="2"/>
    <n v="12.05"/>
    <n v="12.22"/>
    <n v="2"/>
    <n v="12.3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Used  Hoechst 1:1000"/>
    <m/>
  </r>
  <r>
    <n v="2"/>
    <d v="2025-09-16T00:00:00"/>
    <s v="TAB taiwan 28-11-24"/>
    <s v="2 cell = 62.5 % "/>
    <s v="IVF 7  before sphere = 10 %"/>
    <s v="CSOF 2024-19"/>
    <s v="E7_2025-09-16"/>
    <n v="1"/>
    <s v="NHGRI_1"/>
    <x v="1"/>
    <n v="1"/>
    <s v="NHGRI_1_1"/>
    <s v="NHGRI_1_1"/>
    <x v="1"/>
    <s v="NHGRI dissociated cells-11"/>
    <n v="100"/>
    <n v="500"/>
    <n v="80"/>
    <n v="1"/>
    <n v="5"/>
    <n v="9.41"/>
    <n v="10.1"/>
    <n v="5"/>
    <n v="10.27"/>
    <n v="3"/>
    <n v="3"/>
    <n v="3"/>
    <n v="3"/>
    <n v="3"/>
    <n v="3"/>
    <n v="3"/>
    <n v="3"/>
    <n v="3"/>
    <n v="3"/>
    <n v="3"/>
    <n v="2"/>
    <n v="1"/>
    <n v="0"/>
    <n v="0"/>
    <n v="0"/>
    <n v="0"/>
    <n v="0"/>
    <n v="0"/>
    <n v="0"/>
    <n v="0"/>
    <n v="0"/>
    <n v="0"/>
    <m/>
    <s v="egg ไม่มี micropyle injected ตำแหน่ง animal pole เลย_x000a_No.1_Abnormal;Freeze-80@2025-09-30 Day6"/>
    <s v="Jan"/>
  </r>
  <r>
    <n v="2"/>
    <d v="2025-09-16T00:00:00"/>
    <m/>
    <s v="day 1 =9.375 %"/>
    <s v="Day 1 = 10 %"/>
    <m/>
    <s v="E7_2025-09-16"/>
    <n v="1"/>
    <s v="NHGRI_1"/>
    <x v="1"/>
    <n v="2"/>
    <s v="NHGRI_1_2"/>
    <s v="NHGRI_1_2"/>
    <x v="1"/>
    <s v="NHGRI dissociated cells-11"/>
    <n v="100"/>
    <n v="500"/>
    <m/>
    <n v="2"/>
    <n v="2"/>
    <n v="10.119999999999999"/>
    <n v="10.19"/>
    <n v="2"/>
    <s v="10.36/10.37"/>
    <n v="2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s v="egg ไม่มี micropyle injected ตำแหน่ง animal pole เลย_x000a_No.1_Abnormal;Freeze-80@2025-09-30 Day6"/>
    <m/>
  </r>
  <r>
    <n v="2"/>
    <d v="2025-09-16T00:00:00"/>
    <m/>
    <m/>
    <s v="IVF 7 after higt =24 %"/>
    <m/>
    <s v="E7_2025-09-16"/>
    <n v="1"/>
    <s v="NHGRI_1"/>
    <x v="1"/>
    <n v="3"/>
    <s v="NHGRI_1_3"/>
    <s v="NHGRI_1_3"/>
    <x v="1"/>
    <s v="NHGRI dissociated cells-11"/>
    <n v="100"/>
    <n v="500"/>
    <m/>
    <n v="3"/>
    <n v="2"/>
    <n v="10.27"/>
    <n v="10.59"/>
    <n v="2"/>
    <n v="10.5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0"/>
    <s v="egg ไม่มี micropyle injected ตำแหน่ง animal pole เลย_x000a_No.1_Abnormal;Freeze-80@2025-09-30 Day6"/>
    <m/>
  </r>
  <r>
    <n v="2"/>
    <d v="2025-09-16T00:00:00"/>
    <m/>
    <m/>
    <s v="Day 1 = 4 %"/>
    <m/>
    <s v="E7_2025-09-16"/>
    <n v="1"/>
    <s v="NHGRI_1"/>
    <x v="1"/>
    <n v="4"/>
    <s v="NHGRI_1_4"/>
    <s v="NHGRI_1_4"/>
    <x v="1"/>
    <s v="NHGRI dissociated cells-11"/>
    <n v="100"/>
    <n v="500"/>
    <m/>
    <n v="4"/>
    <n v="4"/>
    <n v="10.38"/>
    <n v="10.59"/>
    <n v="4"/>
    <n v="11.15"/>
    <n v="4"/>
    <n v="4"/>
    <n v="4"/>
    <n v="4"/>
    <n v="4"/>
    <n v="4"/>
    <n v="2"/>
    <n v="2"/>
    <n v="2"/>
    <n v="2"/>
    <n v="2"/>
    <n v="2"/>
    <n v="0"/>
    <n v="0"/>
    <n v="0"/>
    <n v="0"/>
    <n v="0"/>
    <n v="0"/>
    <n v="0"/>
    <n v="0"/>
    <n v="0"/>
    <n v="0"/>
    <n v="0"/>
    <m/>
    <s v="egg ไม่มี micropyle injected ตำแหน่ง animal pole เลย_x000a_No.1_Abnormal;Freeze-80@2025-09-30 Day6"/>
    <m/>
  </r>
  <r>
    <n v="2"/>
    <d v="2025-09-16T00:00:00"/>
    <m/>
    <m/>
    <m/>
    <m/>
    <s v="E7_2025-09-16"/>
    <n v="1"/>
    <s v="NHGRI_1"/>
    <x v="1"/>
    <n v="5"/>
    <s v="NHGRI_1_5"/>
    <s v="NHGRI_1_5"/>
    <x v="1"/>
    <s v="NHGRI dissociated cells-11"/>
    <n v="100"/>
    <n v="500"/>
    <m/>
    <n v="5"/>
    <n v="1"/>
    <n v="11.02"/>
    <n v="11.08"/>
    <n v="1"/>
    <n v="11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egg ไม่มี micropyle injected ตำแหน่ง animal pole เลย_x000a_No.1_Abnormal;Freeze-80@2025-09-30 Day6"/>
    <m/>
  </r>
  <r>
    <n v="2"/>
    <d v="2025-09-16T00:00:00"/>
    <m/>
    <m/>
    <m/>
    <m/>
    <s v="E7_2025-09-16"/>
    <n v="1"/>
    <s v="NHGRI_1"/>
    <x v="1"/>
    <n v="6"/>
    <s v="NHGRI_1_6"/>
    <s v="NHGRI_1_6"/>
    <x v="1"/>
    <s v="NHGRI dissociated cells-11"/>
    <n v="100"/>
    <n v="500"/>
    <n v="86"/>
    <n v="1"/>
    <n v="3"/>
    <n v="9.4"/>
    <n v="10.039999999999999"/>
    <n v="3"/>
    <n v="10.22000000000000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m/>
    <s v="ค่อนข้างแย่มาก ไข่ไม่ดี หา micropyle_x000a_ไม่เจอเลย 100% แต่หา metaphaseII เจอ_x000a_เลยต้องทำการ laser DNA จากนั้น laser บริเวณ Animal pole เพื่อสร้างรูให้ inject เซลล์"/>
    <s v="June"/>
  </r>
  <r>
    <n v="2"/>
    <d v="2025-09-16T00:00:00"/>
    <m/>
    <m/>
    <m/>
    <m/>
    <s v="E7_2025-09-16"/>
    <n v="1"/>
    <s v="NHGRI_1"/>
    <x v="1"/>
    <n v="7"/>
    <s v="NHGRI_1_7"/>
    <s v="NHGRI_1_7"/>
    <x v="1"/>
    <s v="NHGRI dissociated cells-11"/>
    <n v="100"/>
    <n v="500"/>
    <m/>
    <n v="2"/>
    <n v="1"/>
    <n v="10.09"/>
    <n v="10.199999999999999"/>
    <n v="1"/>
    <n v="10.45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s v="ค่อนข้างแย่มาก ไข่ไม่ดี หา micropyle_x000a_ไม่เจอเลย 100% แต่หา metaphaseII เจอ_x000a_เลยต้องทำการ laser DNA จากนั้น laser บริเวณ Animal pole เพื่อสร้างรูให้ inject เซลล์"/>
    <m/>
  </r>
  <r>
    <n v="2"/>
    <d v="2025-09-16T00:00:00"/>
    <m/>
    <m/>
    <m/>
    <m/>
    <s v="E7_2025-09-16"/>
    <n v="1"/>
    <s v="NHGRI_1"/>
    <x v="1"/>
    <n v="8"/>
    <s v="NHGRI_1_8"/>
    <s v="NHGRI_1_8"/>
    <x v="1"/>
    <s v="NHGRI dissociated cells-11"/>
    <n v="100"/>
    <n v="500"/>
    <m/>
    <n v="3"/>
    <n v="5"/>
    <n v="10.28"/>
    <n v="10.54"/>
    <n v="5"/>
    <n v="11.12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ค่อนข้างแย่มาก ไข่ไม่ดี หา micropyle_x000a_ไม่เจอเลย 100% แต่หา metaphaseII เจอ_x000a_เลยต้องทำการ laser DNA จากนั้น laser บริเวณ Animal pole เพื่อสร้างรูให้ inject เซลล์"/>
    <m/>
  </r>
  <r>
    <n v="3"/>
    <d v="2025-09-17T00:00:00"/>
    <s v="TAB taiwan 20-3-25"/>
    <s v="64 cell = 93.33%"/>
    <s v="IVF 4 before 4 cell = 74 %"/>
    <s v="CSOF 6-8-25"/>
    <s v="E4_2025-09-17"/>
    <n v="1"/>
    <s v="AB_1"/>
    <x v="2"/>
    <n v="1"/>
    <s v="AB_1_1"/>
    <s v="AB_1_1"/>
    <x v="2"/>
    <s v="AB Chunk-01"/>
    <n v="100"/>
    <n v="500"/>
    <n v="80"/>
    <n v="1"/>
    <n v="6"/>
    <n v="9.48"/>
    <n v="10.130000000000001"/>
    <n v="6"/>
    <n v="10.31"/>
    <n v="3"/>
    <n v="3"/>
    <n v="3"/>
    <n v="3"/>
    <n v="3"/>
    <n v="3"/>
    <n v="3"/>
    <n v="3"/>
    <n v="3"/>
    <n v="1"/>
    <n v="1"/>
    <n v="1"/>
    <n v="1"/>
    <n v="1"/>
    <n v="1"/>
    <n v="0"/>
    <n v="0"/>
    <n v="0"/>
    <n v="0"/>
    <n v="0"/>
    <n v="0"/>
    <n v="0"/>
    <n v="0"/>
    <m/>
    <m/>
    <s v="Jan"/>
  </r>
  <r>
    <n v="3"/>
    <d v="2025-09-17T00:00:00"/>
    <m/>
    <s v="day 1 = 71.66 %"/>
    <s v="Day 1 = 54 %"/>
    <m/>
    <s v="E4_2025-09-17"/>
    <n v="1"/>
    <s v="AB_1"/>
    <x v="2"/>
    <n v="2"/>
    <s v="AB_1_2"/>
    <s v="AB_1_2"/>
    <x v="2"/>
    <s v="AB Chunk-01"/>
    <n v="100"/>
    <n v="500"/>
    <m/>
    <n v="2"/>
    <n v="5"/>
    <n v="10.16"/>
    <n v="10.34"/>
    <n v="5"/>
    <n v="10.49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m/>
    <m/>
    <m/>
  </r>
  <r>
    <n v="3"/>
    <d v="2025-09-17T00:00:00"/>
    <m/>
    <m/>
    <s v="IVF 4 after 64 cell = 74 %"/>
    <m/>
    <s v="E4_2025-09-17"/>
    <n v="1"/>
    <s v="AB_1"/>
    <x v="2"/>
    <n v="3"/>
    <s v="AB_1_3"/>
    <s v="AB_1_3"/>
    <x v="2"/>
    <s v="AB Chunk-01"/>
    <n v="100"/>
    <n v="500"/>
    <m/>
    <n v="3"/>
    <n v="5"/>
    <n v="10.49"/>
    <n v="11.08"/>
    <n v="5"/>
    <n v="11.24"/>
    <n v="4"/>
    <n v="4"/>
    <n v="4"/>
    <n v="4"/>
    <n v="4"/>
    <n v="4"/>
    <n v="4"/>
    <n v="4"/>
    <n v="4"/>
    <n v="4"/>
    <n v="4"/>
    <n v="4"/>
    <n v="4"/>
    <n v="4"/>
    <n v="0"/>
    <n v="0"/>
    <n v="0"/>
    <n v="0"/>
    <n v="0"/>
    <n v="0"/>
    <n v="0"/>
    <n v="0"/>
    <n v="0"/>
    <m/>
    <m/>
    <m/>
  </r>
  <r>
    <n v="3"/>
    <d v="2025-09-17T00:00:00"/>
    <m/>
    <m/>
    <s v="Day 1 = 60 %"/>
    <m/>
    <s v="E4_2025-09-17"/>
    <n v="1"/>
    <s v="AB_1"/>
    <x v="2"/>
    <n v="4"/>
    <s v="AB_1_4"/>
    <s v="AB_1_4"/>
    <x v="2"/>
    <s v="AB Chunk-01"/>
    <n v="100"/>
    <n v="500"/>
    <m/>
    <n v="4"/>
    <n v="6"/>
    <n v="11.25"/>
    <n v="11.53"/>
    <n v="6"/>
    <n v="12.08"/>
    <n v="3"/>
    <n v="3"/>
    <n v="3"/>
    <n v="3"/>
    <n v="3"/>
    <n v="3"/>
    <n v="3"/>
    <n v="3"/>
    <n v="3"/>
    <n v="3"/>
    <n v="3"/>
    <n v="3"/>
    <n v="3"/>
    <n v="3"/>
    <n v="0"/>
    <n v="0"/>
    <n v="0"/>
    <n v="0"/>
    <n v="0"/>
    <n v="0"/>
    <n v="0"/>
    <n v="0"/>
    <n v="0"/>
    <m/>
    <m/>
    <m/>
  </r>
  <r>
    <n v="3"/>
    <d v="2025-09-17T00:00:00"/>
    <m/>
    <m/>
    <m/>
    <m/>
    <s v="E4_2025-09-17"/>
    <n v="1"/>
    <s v="AB_1"/>
    <x v="2"/>
    <n v="5"/>
    <s v="AB_1_5"/>
    <s v="AB_1_5"/>
    <x v="2"/>
    <s v="AB Chunk-01"/>
    <n v="100"/>
    <n v="500"/>
    <m/>
    <n v="5"/>
    <n v="5"/>
    <n v="11.57"/>
    <n v="12.08"/>
    <n v="5"/>
    <n v="12.2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3"/>
    <d v="2025-09-17T00:00:00"/>
    <m/>
    <m/>
    <m/>
    <m/>
    <s v="E4_2025-09-17"/>
    <n v="1"/>
    <s v="AB_1"/>
    <x v="2"/>
    <n v="6"/>
    <s v="AB_1_6"/>
    <s v="AB_1_6"/>
    <x v="2"/>
    <s v="AB Chunk-01"/>
    <n v="100"/>
    <n v="500"/>
    <m/>
    <s v="Bee2"/>
    <n v="4"/>
    <s v="-"/>
    <s v="-"/>
    <n v="4"/>
    <n v="11.15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3"/>
    <d v="2025-09-17T00:00:00"/>
    <m/>
    <m/>
    <m/>
    <m/>
    <s v="E4_2025-09-17"/>
    <n v="1"/>
    <s v="AB_1"/>
    <x v="2"/>
    <n v="7"/>
    <s v="AB_1_7"/>
    <s v="AB_1_7"/>
    <x v="2"/>
    <s v="AB Chunk-01"/>
    <n v="100"/>
    <n v="500"/>
    <m/>
    <s v="Bee3"/>
    <n v="3"/>
    <s v="-"/>
    <s v="-"/>
    <n v="3"/>
    <n v="11.2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3"/>
    <d v="2025-09-17T00:00:00"/>
    <m/>
    <m/>
    <m/>
    <m/>
    <s v="E4_2025-09-17"/>
    <n v="1"/>
    <s v="AB_1"/>
    <x v="2"/>
    <n v="8"/>
    <s v="AB_1_8"/>
    <s v="AB_1_8"/>
    <x v="2"/>
    <s v="AB Chunk-01"/>
    <n v="100"/>
    <n v="500"/>
    <m/>
    <s v="Bee4"/>
    <n v="5"/>
    <s v="-"/>
    <s v="-"/>
    <n v="5"/>
    <n v="11.45"/>
    <n v="4"/>
    <n v="4"/>
    <n v="4"/>
    <n v="4"/>
    <n v="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3"/>
    <d v="2025-09-17T00:00:00"/>
    <m/>
    <m/>
    <m/>
    <m/>
    <s v="E4_2025-09-17"/>
    <n v="1"/>
    <s v="AB_1"/>
    <x v="2"/>
    <n v="9"/>
    <s v="AB_1_9"/>
    <s v="AB_1_9"/>
    <x v="2"/>
    <s v="AB Chunk-01"/>
    <n v="100"/>
    <n v="500"/>
    <m/>
    <s v="Bee5"/>
    <n v="5"/>
    <s v="-"/>
    <s v="-"/>
    <n v="5"/>
    <n v="12.15"/>
    <n v="4"/>
    <n v="4"/>
    <n v="4"/>
    <n v="2"/>
    <n v="2"/>
    <n v="2"/>
    <n v="2"/>
    <n v="2"/>
    <n v="2"/>
    <n v="2"/>
    <n v="2"/>
    <n v="2"/>
    <n v="1"/>
    <n v="1"/>
    <n v="0"/>
    <n v="0"/>
    <n v="0"/>
    <n v="0"/>
    <n v="0"/>
    <n v="0"/>
    <n v="0"/>
    <n v="0"/>
    <n v="0"/>
    <m/>
    <m/>
    <m/>
  </r>
  <r>
    <n v="3"/>
    <d v="2025-09-17T00:00:00"/>
    <m/>
    <m/>
    <m/>
    <m/>
    <s v="E4_2025-09-17"/>
    <n v="1"/>
    <s v="AB_1"/>
    <x v="2"/>
    <n v="10"/>
    <s v="AB_1_10"/>
    <s v="AB_1_10"/>
    <x v="2"/>
    <s v="AB Chunk-01"/>
    <s v="✖"/>
    <s v="✖"/>
    <n v="86"/>
    <n v="1"/>
    <n v="4"/>
    <n v="9.31"/>
    <n v="9.42"/>
    <n v="4"/>
    <n v="9.59"/>
    <n v="3"/>
    <n v="3"/>
    <n v="3"/>
    <n v="3"/>
    <n v="3"/>
    <n v="3"/>
    <n v="3"/>
    <n v="3"/>
    <n v="3"/>
    <n v="3"/>
    <n v="3"/>
    <n v="2"/>
    <n v="2"/>
    <n v="2"/>
    <n v="2"/>
    <n v="2"/>
    <n v="2"/>
    <n v="1"/>
    <n v="1"/>
    <n v="0"/>
    <n v="0"/>
    <n v="0"/>
    <n v="0"/>
    <m/>
    <s v="micropyle สวยมาก ไข่ดี"/>
    <s v="June"/>
  </r>
  <r>
    <n v="3"/>
    <d v="2025-09-17T00:00:00"/>
    <m/>
    <m/>
    <m/>
    <m/>
    <s v="E4_2025-09-17"/>
    <n v="1"/>
    <s v="AB_1"/>
    <x v="2"/>
    <n v="11"/>
    <s v="AB_1_11"/>
    <s v="AB_1_11"/>
    <x v="2"/>
    <s v="AB Chunk-01"/>
    <n v="100"/>
    <n v="500"/>
    <m/>
    <n v="2"/>
    <n v="5"/>
    <n v="9.5"/>
    <n v="10.09"/>
    <n v="5"/>
    <n v="10.3"/>
    <n v="4"/>
    <n v="4"/>
    <n v="4"/>
    <n v="4"/>
    <n v="4"/>
    <n v="4"/>
    <n v="4"/>
    <n v="4"/>
    <n v="4"/>
    <n v="4"/>
    <n v="4"/>
    <n v="4"/>
    <n v="3"/>
    <n v="3"/>
    <n v="3"/>
    <n v="2"/>
    <n v="2"/>
    <n v="2"/>
    <n v="2"/>
    <n v="0"/>
    <n v="0"/>
    <n v="0"/>
    <n v="0"/>
    <m/>
    <s v="โอเคดี หยิบมา 6 ฟอง ทำได้ 5 ฟอง อีกฟองไม่มี micropyle"/>
    <m/>
  </r>
  <r>
    <n v="3"/>
    <d v="2025-09-17T00:00:00"/>
    <m/>
    <m/>
    <m/>
    <m/>
    <s v="E4_2025-09-17"/>
    <n v="1"/>
    <s v="AB_1"/>
    <x v="2"/>
    <n v="12"/>
    <s v="AB_1_12"/>
    <s v="AB_1_12"/>
    <x v="2"/>
    <s v="AB Chunk-01"/>
    <n v="100"/>
    <n v="500"/>
    <m/>
    <n v="3"/>
    <n v="6"/>
    <n v="10.14"/>
    <n v="10.38"/>
    <n v="6"/>
    <n v="10.54"/>
    <n v="3"/>
    <n v="3"/>
    <n v="3"/>
    <n v="3"/>
    <n v="3"/>
    <n v="3"/>
    <n v="3"/>
    <n v="3"/>
    <n v="3"/>
    <n v="2"/>
    <n v="2"/>
    <n v="1"/>
    <n v="1"/>
    <n v="0"/>
    <n v="0"/>
    <n v="0"/>
    <n v="0"/>
    <n v="0"/>
    <n v="0"/>
    <n v="0"/>
    <n v="0"/>
    <n v="0"/>
    <n v="0"/>
    <m/>
    <s v="เติมเซลล์ก่อนเริ่มทำ, โอเคดี"/>
    <m/>
  </r>
  <r>
    <n v="3"/>
    <d v="2025-09-17T00:00:00"/>
    <m/>
    <m/>
    <m/>
    <m/>
    <s v="E4_2025-09-17"/>
    <n v="1"/>
    <s v="AB_1"/>
    <x v="2"/>
    <n v="13"/>
    <s v="AB_1_13"/>
    <s v="AB_1_13"/>
    <x v="2"/>
    <s v="AB Chunk-01"/>
    <n v="100"/>
    <n v="500"/>
    <m/>
    <n v="4"/>
    <n v="3"/>
    <n v="10.49"/>
    <n v="11.09"/>
    <n v="3"/>
    <n v="11.25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0"/>
    <n v="0"/>
    <n v="0"/>
    <n v="0"/>
    <m/>
    <s v="laser ให้พี่ผึ้ง 3 ฟอง ทำเอง 3 ฟอง"/>
    <m/>
  </r>
  <r>
    <n v="3"/>
    <d v="2025-09-17T00:00:00"/>
    <m/>
    <m/>
    <m/>
    <m/>
    <s v="E4_2025-09-17"/>
    <n v="1"/>
    <s v="AB_1"/>
    <x v="2"/>
    <n v="14"/>
    <s v="AB_1_14"/>
    <s v="AB_1_14"/>
    <x v="2"/>
    <s v="AB Chunk-01"/>
    <n v="100"/>
    <n v="500"/>
    <m/>
    <n v="5"/>
    <n v="4"/>
    <n v="11.12"/>
    <n v="11.4"/>
    <n v="4"/>
    <n v="11.5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s v="OK"/>
    <m/>
  </r>
  <r>
    <n v="3"/>
    <d v="2025-09-17T00:00:00"/>
    <m/>
    <m/>
    <m/>
    <m/>
    <s v="E4_2025-09-17"/>
    <n v="1"/>
    <s v="AB_1"/>
    <x v="2"/>
    <n v="15"/>
    <s v="AB_1_15"/>
    <s v="AB_1_15"/>
    <x v="2"/>
    <s v="AB Chunk-01"/>
    <n v="100"/>
    <n v="500"/>
    <m/>
    <n v="6"/>
    <n v="5"/>
    <n v="11.52"/>
    <n v="12.1"/>
    <n v="5"/>
    <n v="1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OK"/>
    <m/>
  </r>
  <r>
    <n v="4"/>
    <d v="2025-09-18T00:00:00"/>
    <s v="TAB taiwan 20-3-25"/>
    <s v="NBD 4 128 cell =100 %"/>
    <s v="IVF 4 before 16 cell = 40 %"/>
    <s v="CSOF 2024-19"/>
    <s v="E4_2025-09-18"/>
    <n v="2"/>
    <s v="TU_2"/>
    <x v="3"/>
    <n v="1"/>
    <s v="TU_2_1"/>
    <s v="TU_2_1"/>
    <x v="0"/>
    <s v="TU dissociated cells-12"/>
    <n v="100"/>
    <n v="500"/>
    <n v="60"/>
    <n v="1"/>
    <n v="4"/>
    <s v="-"/>
    <n v="10.050000000000001"/>
    <n v="4"/>
    <n v="10.2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4"/>
    <d v="2025-09-18T00:00:00"/>
    <m/>
    <s v="Day 1 =100 %"/>
    <s v="Day 1 ="/>
    <m/>
    <s v="E4_2025-09-18"/>
    <n v="2"/>
    <s v="TU_2"/>
    <x v="3"/>
    <n v="2"/>
    <s v="TU_2_2"/>
    <s v="TU_2_2"/>
    <x v="0"/>
    <s v="TU dissociated cells-12"/>
    <n v="100"/>
    <n v="500"/>
    <m/>
    <n v="2"/>
    <n v="4"/>
    <n v="10.15"/>
    <n v="10.31"/>
    <n v="4"/>
    <n v="10.46"/>
    <n v="3"/>
    <n v="3"/>
    <n v="3"/>
    <n v="3"/>
    <n v="3"/>
    <n v="3"/>
    <n v="3"/>
    <n v="3"/>
    <n v="3"/>
    <n v="3"/>
    <n v="3"/>
    <n v="3"/>
    <n v="3"/>
    <n v="2"/>
    <n v="0"/>
    <n v="0"/>
    <n v="0"/>
    <n v="0"/>
    <n v="0"/>
    <n v="0"/>
    <n v="0"/>
    <n v="0"/>
    <n v="0"/>
    <m/>
    <m/>
    <m/>
  </r>
  <r>
    <n v="4"/>
    <d v="2025-09-18T00:00:00"/>
    <m/>
    <s v="NBD 6 40.90 %"/>
    <s v="IVF 4 after high = 42 cell"/>
    <m/>
    <s v="E4_2025-09-18"/>
    <n v="2"/>
    <s v="TU_2"/>
    <x v="3"/>
    <n v="3"/>
    <s v="TU_2_3"/>
    <s v="TU_2_3"/>
    <x v="0"/>
    <s v="TU dissociated cells-12"/>
    <n v="100"/>
    <n v="500"/>
    <m/>
    <n v="3"/>
    <n v="3"/>
    <n v="10.32"/>
    <n v="10.44"/>
    <n v="3"/>
    <n v="11"/>
    <n v="2"/>
    <n v="2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4"/>
    <d v="2025-09-18T00:00:00"/>
    <m/>
    <s v="Day 1 = "/>
    <s v="Day 1 ="/>
    <m/>
    <s v="E4_2025-09-18"/>
    <n v="2"/>
    <s v="TU_2"/>
    <x v="3"/>
    <n v="4"/>
    <s v="TU_2_4"/>
    <s v="TU_2_4"/>
    <x v="0"/>
    <s v="TU dissociated cells-12"/>
    <n v="100"/>
    <n v="500"/>
    <m/>
    <n v="4"/>
    <n v="3"/>
    <n v="10.46"/>
    <n v="11.03"/>
    <n v="3"/>
    <n v="11.2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m/>
    <m/>
    <m/>
  </r>
  <r>
    <n v="4"/>
    <d v="2025-09-18T00:00:00"/>
    <m/>
    <m/>
    <s v="IVF 6 before sphere = 56 %"/>
    <m/>
    <s v="E4_2025-09-18"/>
    <n v="2"/>
    <s v="TU_2"/>
    <x v="3"/>
    <n v="5"/>
    <s v="TU_2_5"/>
    <s v="TU_2_5"/>
    <x v="0"/>
    <s v="TU dissociated cells-12"/>
    <n v="100"/>
    <n v="500"/>
    <m/>
    <n v="5"/>
    <n v="5"/>
    <n v="11.03"/>
    <n v="11.23"/>
    <n v="5"/>
    <n v="11.37"/>
    <n v="4"/>
    <n v="4"/>
    <n v="4"/>
    <n v="4"/>
    <n v="4"/>
    <n v="4"/>
    <n v="4"/>
    <n v="4"/>
    <n v="4"/>
    <n v="4"/>
    <n v="4"/>
    <n v="4"/>
    <n v="4"/>
    <n v="4"/>
    <n v="0"/>
    <n v="0"/>
    <n v="0"/>
    <n v="0"/>
    <n v="0"/>
    <n v="0"/>
    <n v="0"/>
    <n v="0"/>
    <n v="0"/>
    <m/>
    <m/>
    <m/>
  </r>
  <r>
    <n v="4"/>
    <d v="2025-09-18T00:00:00"/>
    <m/>
    <m/>
    <s v="Day 1 ="/>
    <m/>
    <s v="E4_2025-09-18"/>
    <n v="2"/>
    <s v="TU_2"/>
    <x v="3"/>
    <n v="6"/>
    <s v="TU_2_6"/>
    <s v="TU_2_6"/>
    <x v="0"/>
    <s v="TU dissociated cells-12"/>
    <n v="100"/>
    <n v="500"/>
    <m/>
    <n v="6"/>
    <n v="3"/>
    <n v="11.23"/>
    <n v="11.45"/>
    <n v="3"/>
    <n v="12.02"/>
    <n v="4"/>
    <n v="4"/>
    <n v="3"/>
    <n v="3"/>
    <n v="3"/>
    <n v="3"/>
    <n v="3"/>
    <n v="3"/>
    <n v="3"/>
    <n v="3"/>
    <n v="3"/>
    <n v="3"/>
    <n v="3"/>
    <n v="1"/>
    <n v="1"/>
    <n v="1"/>
    <n v="1"/>
    <n v="1"/>
    <n v="1"/>
    <n v="1"/>
    <n v="1"/>
    <n v="1"/>
    <n v="1"/>
    <n v="0"/>
    <s v="No.2_Freeze 2028-09-26_death at Day 8 Freeze-80"/>
    <m/>
  </r>
  <r>
    <n v="4"/>
    <d v="2025-09-18T00:00:00"/>
    <m/>
    <m/>
    <s v="IVF 6 after high = 28 %"/>
    <m/>
    <s v="E4_2025-09-18"/>
    <n v="2"/>
    <s v="TU_2"/>
    <x v="3"/>
    <n v="7"/>
    <s v="TU_2_7"/>
    <s v="TU_2_7"/>
    <x v="0"/>
    <s v="TU dissociated cells-12"/>
    <n v="100"/>
    <n v="500"/>
    <m/>
    <n v="7"/>
    <n v="6"/>
    <n v="11.46"/>
    <n v="12.13"/>
    <n v="6"/>
    <n v="12.29"/>
    <n v="4"/>
    <n v="4"/>
    <n v="3"/>
    <n v="3"/>
    <n v="3"/>
    <n v="3"/>
    <n v="3"/>
    <n v="3"/>
    <n v="3"/>
    <n v="3"/>
    <n v="3"/>
    <n v="3"/>
    <n v="3"/>
    <n v="1"/>
    <n v="1"/>
    <n v="1"/>
    <n v="0"/>
    <n v="0"/>
    <n v="0"/>
    <n v="0"/>
    <n v="0"/>
    <n v="0"/>
    <n v="0"/>
    <m/>
    <m/>
    <m/>
  </r>
  <r>
    <n v="4"/>
    <d v="2025-09-18T00:00:00"/>
    <m/>
    <m/>
    <s v="Day 1 ="/>
    <m/>
    <s v="E4_2025-09-18"/>
    <n v="2"/>
    <s v="TU_2"/>
    <x v="3"/>
    <n v="8"/>
    <s v="TU_2_8"/>
    <s v="TU_2_8"/>
    <x v="0"/>
    <s v="TU dissociated cells-12"/>
    <n v="100"/>
    <n v="500"/>
    <n v="86"/>
    <n v="1"/>
    <n v="2"/>
    <n v="9.4499999999999993"/>
    <n v="10.039999999999999"/>
    <n v="2"/>
    <n v="10.22000000000000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s v="ไข่ E4 ในส่วนของจูน 50:50 คือ_x000a_ปนทั้งที่ mycropyle สวย metaphaseII สวย_x000a_ผสมกับหา micropyle ไม่เจอ แต่เห็นดีเอ็นเอ_x000a_ไข่ E6 แย่มาก แทบจะหา micropyle ไม่เจอเลย_x000a_**ใช้ injector gynemed band"/>
    <s v="June"/>
  </r>
  <r>
    <n v="4"/>
    <d v="2025-09-18T00:00:00"/>
    <m/>
    <m/>
    <m/>
    <m/>
    <s v="E6_2025-09-18"/>
    <n v="2"/>
    <s v="TU_2"/>
    <x v="3"/>
    <n v="9"/>
    <s v="TU_2_9"/>
    <s v="TU_2_9"/>
    <x v="0"/>
    <s v="TU dissociated cells-12"/>
    <n v="100"/>
    <n v="500"/>
    <m/>
    <n v="2"/>
    <n v="2"/>
    <n v="10.199999999999999"/>
    <n v="10.31"/>
    <n v="2"/>
    <n v="1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m/>
    <s v="ไข่ E4 ในส่วนของจูน 50:50 คือ_x000a_ปนทั้งที่ mycropyle สวย metaphaseII สวย_x000a_ผสมกับหา micropyle ไม่เจอ แต่เห็นดีเอ็นเอ_x000a_ไข่ E6 แย่มาก แทบจะหา micropyle ไม่เจอเลย_x000a_**ใช้ injector gynemed band"/>
    <m/>
  </r>
  <r>
    <n v="4"/>
    <d v="2025-09-18T00:00:00"/>
    <m/>
    <m/>
    <m/>
    <m/>
    <s v="E6_2025-09-18"/>
    <n v="2"/>
    <s v="TU_2"/>
    <x v="3"/>
    <n v="10"/>
    <s v="TU_2_10"/>
    <s v="TU_2_10"/>
    <x v="0"/>
    <s v="TU dissociated cells-12"/>
    <n v="100"/>
    <n v="500"/>
    <m/>
    <n v="3"/>
    <n v="3"/>
    <n v="10.33"/>
    <n v="10.45"/>
    <n v="3"/>
    <n v="11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ไข่ E4 ในส่วนของจูน 50:50 คือ_x000a_ปนทั้งที่ mycropyle สวย metaphaseII สวย_x000a_ผสมกับหา micropyle ไม่เจอ แต่เห็นดีเอ็นเอ_x000a_ไข่ E6 แย่มาก แทบจะหา micropyle ไม่เจอเลย_x000a_**ใช้ injector gynemed band"/>
    <m/>
  </r>
  <r>
    <n v="4"/>
    <d v="2025-09-18T00:00:00"/>
    <m/>
    <m/>
    <m/>
    <m/>
    <s v="E4_2025-09-18"/>
    <n v="2"/>
    <s v="TU_2"/>
    <x v="3"/>
    <n v="11"/>
    <s v="TU_2_11"/>
    <s v="TU_2_11"/>
    <x v="0"/>
    <s v="TU dissociated cells-12"/>
    <n v="100"/>
    <n v="500"/>
    <m/>
    <n v="4"/>
    <n v="5"/>
    <n v="10.49"/>
    <n v="10.56"/>
    <n v="5"/>
    <n v="11.0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ไข่ E4 ในส่วนของจูน 50:50 คือ_x000a_ปนทั้งที่ mycropyle สวย metaphaseII สวย_x000a_ผสมกับหา micropyle ไม่เจอ แต่เห็นดีเอ็นเอ_x000a_ไข่ E6 แย่มาก แทบจะหา micropyle ไม่เจอเลย_x000a_**ใช้ injector gynemed band"/>
    <m/>
  </r>
  <r>
    <n v="4"/>
    <d v="2025-09-18T00:00:00"/>
    <m/>
    <m/>
    <m/>
    <m/>
    <s v="E4_2025-09-18"/>
    <n v="2"/>
    <s v="TU_2"/>
    <x v="3"/>
    <n v="12"/>
    <s v="TU_2_12"/>
    <s v="TU_2_12"/>
    <x v="0"/>
    <s v="TU dissociated cells-12"/>
    <n v="100"/>
    <n v="500"/>
    <m/>
    <n v="5"/>
    <n v="6"/>
    <n v="11.02"/>
    <n v="11.19"/>
    <n v="6"/>
    <n v="11.39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m/>
    <s v="ไข่ E4 ในส่วนของจูน 50:50 คือ_x000a_ปนทั้งที่ mycropyle สวย metaphaseII สวย_x000a_ผสมกับหา micropyle ไม่เจอ แต่เห็นดีเอ็นเอ_x000a_ไข่ E6 แย่มาก แทบจะหา micropyle ไม่เจอเลย_x000a_**ใช้ injector gynemed band"/>
    <m/>
  </r>
  <r>
    <n v="4"/>
    <d v="2025-09-18T00:00:00"/>
    <m/>
    <m/>
    <m/>
    <m/>
    <s v="E4_2025-09-18"/>
    <n v="2"/>
    <s v="TU_2"/>
    <x v="3"/>
    <n v="13"/>
    <s v="TU_2_13"/>
    <s v="TU_2_13"/>
    <x v="0"/>
    <s v="TU dissociated cells-12"/>
    <n v="100"/>
    <n v="500"/>
    <m/>
    <n v="6"/>
    <n v="3"/>
    <n v="11.21"/>
    <n v="11.48"/>
    <n v="3"/>
    <n v="12.05"/>
    <n v="2"/>
    <n v="2"/>
    <n v="2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s v="ไข่ E4 ในส่วนของจูน 50:50 คือ_x000a_ปนทั้งที่ mycropyle สวย metaphaseII สวย_x000a_ผสมกับหา micropyle ไม่เจอ แต่เห็นดีเอ็นเอ_x000a_ไข่ E6 แย่มาก แทบจะหา micropyle ไม่เจอเลย_x000a_**ใช้ injector gynemed band"/>
    <m/>
  </r>
  <r>
    <n v="4"/>
    <d v="2025-09-18T00:00:00"/>
    <m/>
    <m/>
    <m/>
    <m/>
    <s v="E4_2025-09-18"/>
    <n v="2"/>
    <s v="TU_2"/>
    <x v="3"/>
    <n v="14"/>
    <s v="TU_2_14"/>
    <s v="TU_2_14"/>
    <x v="0"/>
    <s v="TU dissociated cells-12"/>
    <n v="100"/>
    <n v="500"/>
    <m/>
    <n v="7"/>
    <n v="7"/>
    <n v="11.51"/>
    <n v="12.19"/>
    <n v="7"/>
    <n v="12.35"/>
    <n v="2"/>
    <n v="2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s v="ไข่ E4 ในส่วนของจูน 50:50 คือ_x000a_ปนทั้งที่ mycropyle สวย metaphaseII สวย_x000a_ผสมกับหา micropyle ไม่เจอ แต่เห็นดีเอ็นเอ_x000a_ไข่ E6 แย่มาก แทบจะหา micropyle ไม่เจอเลย_x000a_**ใช้ injector gynemed band"/>
    <m/>
  </r>
  <r>
    <n v="5"/>
    <d v="2025-09-23T00:00:00"/>
    <s v="TAB taiwan 20-3-25"/>
    <s v=" NBD 6 64 cell = 65.57 %"/>
    <s v="IVF 6 before 2 cell = 100 %"/>
    <s v="CSOF 2024-27"/>
    <s v="E6_2025-09-23"/>
    <n v="2"/>
    <s v="NHGRI_2"/>
    <x v="4"/>
    <n v="1"/>
    <s v="NHGRI_2_1"/>
    <s v="NHGRI_2_1"/>
    <x v="1"/>
    <s v="NHGRI dissociated cells-12"/>
    <n v="100"/>
    <n v="500"/>
    <n v="60"/>
    <n v="1"/>
    <n v="4"/>
    <n v="10.050000000000001"/>
    <n v="10.220000000000001"/>
    <n v="4"/>
    <n v="10.39"/>
    <n v="4"/>
    <n v="4"/>
    <n v="4"/>
    <n v="4"/>
    <n v="4"/>
    <n v="4"/>
    <n v="4"/>
    <n v="4"/>
    <n v="4"/>
    <n v="4"/>
    <n v="4"/>
    <n v="2"/>
    <n v="0"/>
    <n v="0"/>
    <n v="0"/>
    <n v="0"/>
    <n v="0"/>
    <n v="0"/>
    <n v="0"/>
    <n v="0"/>
    <n v="0"/>
    <n v="0"/>
    <n v="0"/>
    <m/>
    <m/>
    <s v="Jan"/>
  </r>
  <r>
    <n v="5"/>
    <d v="2025-09-23T00:00:00"/>
    <m/>
    <s v="day 1 =49.17 % "/>
    <s v="Day 1 ="/>
    <m/>
    <s v="E6_2025-09-23"/>
    <n v="2"/>
    <s v="NHGRI_2"/>
    <x v="4"/>
    <n v="2"/>
    <s v="NHGRI_2_2"/>
    <s v="NHGRI_2_2"/>
    <x v="1"/>
    <s v="NHGRI dissociated cells-12"/>
    <n v="100"/>
    <n v="500"/>
    <m/>
    <n v="2"/>
    <n v="3"/>
    <n v="10.24"/>
    <n v="10.38"/>
    <n v="3"/>
    <n v="10.57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m/>
    <m/>
    <m/>
  </r>
  <r>
    <n v="5"/>
    <d v="2025-09-23T00:00:00"/>
    <m/>
    <m/>
    <s v="IVF 6 after sphere 60 %"/>
    <m/>
    <s v="E6_2025-09-23"/>
    <n v="2"/>
    <s v="NHGRI_2"/>
    <x v="4"/>
    <n v="3"/>
    <s v="NHGRI_2_3"/>
    <s v="NHGRI_2_3"/>
    <x v="1"/>
    <s v="NHGRI dissociated cells-12"/>
    <n v="100"/>
    <n v="500"/>
    <m/>
    <n v="3"/>
    <n v="2"/>
    <n v="10.45"/>
    <n v="10.58"/>
    <n v="2"/>
    <n v="11.14"/>
    <n v="2"/>
    <n v="2"/>
    <n v="2"/>
    <n v="2"/>
    <n v="2"/>
    <n v="2"/>
    <n v="2"/>
    <n v="2"/>
    <n v="2"/>
    <n v="2"/>
    <n v="2"/>
    <n v="1"/>
    <n v="1"/>
    <n v="0"/>
    <n v="0"/>
    <n v="0"/>
    <n v="0"/>
    <n v="0"/>
    <n v="0"/>
    <n v="0"/>
    <n v="0"/>
    <n v="0"/>
    <n v="0"/>
    <m/>
    <m/>
    <m/>
  </r>
  <r>
    <n v="5"/>
    <d v="2025-09-23T00:00:00"/>
    <m/>
    <m/>
    <s v="Day 1 ="/>
    <m/>
    <s v="E6_2025-09-23"/>
    <n v="2"/>
    <s v="NHGRI_2"/>
    <x v="4"/>
    <n v="4"/>
    <s v="NHGRI_2_4"/>
    <s v="NHGRI_2_4"/>
    <x v="1"/>
    <s v="NHGRI dissociated cells-12"/>
    <n v="100"/>
    <n v="500"/>
    <m/>
    <n v="4"/>
    <n v="2"/>
    <n v="11"/>
    <n v="11.17"/>
    <n v="2"/>
    <n v="11.33"/>
    <n v="2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5"/>
    <s v="NHGRI_2_5"/>
    <s v="NHGRI_2_5"/>
    <x v="1"/>
    <s v="NHGRI dissociated cells-12"/>
    <n v="100"/>
    <n v="500"/>
    <m/>
    <n v="5"/>
    <n v="2"/>
    <s v="-"/>
    <n v="11.4"/>
    <n v="2"/>
    <n v="11.58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6"/>
    <s v="NHGRI_2_6"/>
    <s v="NHGRI_2_6"/>
    <x v="1"/>
    <s v="NHGRI dissociated cells-12"/>
    <n v="100"/>
    <n v="500"/>
    <m/>
    <n v="6"/>
    <n v="1"/>
    <n v="11.41"/>
    <n v="11.52"/>
    <n v="1"/>
    <n v="12.0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7"/>
    <s v="NHGRI_2_7"/>
    <s v="NHGRI_2_7"/>
    <x v="1"/>
    <s v="NHGRI dissociated cells-12"/>
    <n v="100"/>
    <n v="500"/>
    <m/>
    <n v="7"/>
    <n v="3"/>
    <n v="12.04"/>
    <n v="12.21"/>
    <n v="3"/>
    <n v="12.35"/>
    <n v="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8"/>
    <s v="NHGRI_2_8"/>
    <s v="NHGRI_2_8"/>
    <x v="1"/>
    <s v="NHGRI dissociated cells-12"/>
    <n v="100"/>
    <n v="500"/>
    <m/>
    <s v="Bee1"/>
    <n v="3"/>
    <s v="-"/>
    <s v="-"/>
    <n v="3"/>
    <n v="10.55"/>
    <n v="2"/>
    <n v="2"/>
    <n v="2"/>
    <n v="2"/>
    <n v="2"/>
    <n v="2"/>
    <n v="2"/>
    <n v="2"/>
    <n v="2"/>
    <n v="1"/>
    <n v="1"/>
    <n v="1"/>
    <n v="1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9"/>
    <s v="NHGRI_2_9"/>
    <s v="NHGRI_2_9"/>
    <x v="1"/>
    <s v="NHGRI dissociated cells-12"/>
    <n v="100"/>
    <n v="500"/>
    <m/>
    <s v="Bee2"/>
    <n v="2"/>
    <s v="-"/>
    <s v="-"/>
    <n v="2"/>
    <n v="11.11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0"/>
    <s v="No.3_Abnormal;Freeze-80@2025-09-30 Day7"/>
    <m/>
  </r>
  <r>
    <n v="5"/>
    <d v="2025-09-23T00:00:00"/>
    <m/>
    <m/>
    <m/>
    <m/>
    <s v="E6_2025-09-23"/>
    <n v="2"/>
    <s v="NHGRI_2"/>
    <x v="4"/>
    <n v="10"/>
    <s v="NHGRI_2_10"/>
    <s v="NHGRI_2_10"/>
    <x v="1"/>
    <s v="NHGRI dissociated cells-12"/>
    <n v="100"/>
    <n v="500"/>
    <m/>
    <s v="Bee3"/>
    <n v="3"/>
    <s v="-"/>
    <s v="-"/>
    <n v="3"/>
    <n v="11.36"/>
    <n v="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11"/>
    <s v="NHGRI_2_11"/>
    <s v="NHGRI_2_11"/>
    <x v="1"/>
    <s v="NHGRI dissociated cells-12"/>
    <n v="100"/>
    <n v="500"/>
    <m/>
    <s v="Bee4"/>
    <n v="3"/>
    <s v="-"/>
    <s v="-"/>
    <n v="3"/>
    <n v="12.1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12"/>
    <s v="NHGRI_2_12"/>
    <s v="NHGRI_2_12"/>
    <x v="1"/>
    <s v="NHGRI dissociated cells-12"/>
    <n v="100"/>
    <n v="500"/>
    <m/>
    <s v="Bee5"/>
    <n v="3"/>
    <s v="-"/>
    <s v="-"/>
    <n v="3"/>
    <n v="12.28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13"/>
    <s v="NHGRI_2_13"/>
    <s v="NHGRI_2_13"/>
    <x v="1"/>
    <s v="NHGRI dissociated cells-12"/>
    <n v="100"/>
    <n v="500"/>
    <n v="91"/>
    <n v="1"/>
    <n v="3"/>
    <n v="10.02"/>
    <n v="10.16"/>
    <n v="3"/>
    <n v="10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une"/>
  </r>
  <r>
    <n v="5"/>
    <d v="2025-09-23T00:00:00"/>
    <m/>
    <m/>
    <m/>
    <m/>
    <s v="E6_2025-09-23"/>
    <n v="2"/>
    <s v="NHGRI_2"/>
    <x v="4"/>
    <n v="14"/>
    <s v="NHGRI_2_14"/>
    <s v="NHGRI_2_14"/>
    <x v="1"/>
    <s v="NHGRI dissociated cells-12"/>
    <n v="100"/>
    <n v="500"/>
    <m/>
    <n v="2"/>
    <n v="3"/>
    <n v="10.27"/>
    <n v="10.37"/>
    <n v="3"/>
    <n v="10.56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0"/>
    <n v="0"/>
    <n v="0"/>
    <n v="0"/>
    <m/>
    <m/>
    <m/>
  </r>
  <r>
    <n v="5"/>
    <d v="2025-09-23T00:00:00"/>
    <m/>
    <m/>
    <m/>
    <m/>
    <s v="E6_2025-09-23"/>
    <n v="2"/>
    <s v="NHGRI_2"/>
    <x v="4"/>
    <n v="15"/>
    <s v="NHGRI_2_15"/>
    <s v="NHGRI_2_15"/>
    <x v="1"/>
    <s v="NHGRI dissociated cells-12"/>
    <n v="100"/>
    <n v="500"/>
    <m/>
    <n v="3"/>
    <n v="4"/>
    <n v="10.4"/>
    <n v="11.05"/>
    <n v="4"/>
    <n v="11.21"/>
    <n v="4"/>
    <n v="4"/>
    <n v="4"/>
    <n v="4"/>
    <n v="4"/>
    <n v="4"/>
    <n v="4"/>
    <n v="4"/>
    <n v="4"/>
    <n v="4"/>
    <n v="4"/>
    <n v="4"/>
    <n v="4"/>
    <n v="4"/>
    <n v="4"/>
    <n v="3"/>
    <n v="3"/>
    <n v="3"/>
    <n v="2"/>
    <n v="1"/>
    <n v="1"/>
    <n v="1"/>
    <n v="1"/>
    <n v="0"/>
    <s v="No.4_Abnormal ;Freeze-80@2025-09-30 Day7; Zebrafish with a curved tail"/>
    <m/>
  </r>
  <r>
    <n v="5"/>
    <d v="2025-09-23T00:00:00"/>
    <m/>
    <m/>
    <m/>
    <m/>
    <s v="E6_2025-09-23"/>
    <n v="2"/>
    <s v="NHGRI_2"/>
    <x v="4"/>
    <n v="16"/>
    <s v="NHGRI_2_16"/>
    <s v="NHGRI_2_16"/>
    <x v="1"/>
    <s v="NHGRI dissociated cells-12"/>
    <n v="100"/>
    <n v="500"/>
    <m/>
    <n v="4"/>
    <n v="5"/>
    <n v="11.07"/>
    <n v="11.29"/>
    <n v="5"/>
    <n v="11.45"/>
    <n v="5"/>
    <n v="5"/>
    <n v="5"/>
    <n v="3"/>
    <n v="3"/>
    <n v="3"/>
    <n v="3"/>
    <n v="3"/>
    <n v="3"/>
    <n v="3"/>
    <n v="0"/>
    <n v="0"/>
    <n v="0"/>
    <n v="0"/>
    <n v="0"/>
    <n v="0"/>
    <n v="0"/>
    <n v="0"/>
    <n v="0"/>
    <n v="0"/>
    <n v="0"/>
    <n v="0"/>
    <n v="0"/>
    <m/>
    <m/>
    <m/>
  </r>
  <r>
    <n v="5"/>
    <d v="2025-09-23T00:00:00"/>
    <m/>
    <m/>
    <m/>
    <m/>
    <s v="E6_2025-09-23"/>
    <n v="2"/>
    <s v="NHGRI_2"/>
    <x v="4"/>
    <n v="17"/>
    <s v="NHGRI_2_17"/>
    <s v="NHGRI_2_17"/>
    <x v="1"/>
    <s v="NHGRI dissociated cells-12"/>
    <n v="100"/>
    <n v="500"/>
    <m/>
    <n v="5"/>
    <n v="1"/>
    <n v="11.49"/>
    <n v="11.57"/>
    <n v="1"/>
    <n v="12.1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6"/>
    <d v="2025-09-26T00:00:00"/>
    <s v="TAB taiwan 20-3-25"/>
    <s v="NBD 5 4 cell = 59% "/>
    <s v="IVF 5 before  16 cell = 32 %"/>
    <s v="CSOF 2024-27"/>
    <s v="E5_2025-09-26"/>
    <n v="2"/>
    <s v="AB_2"/>
    <x v="5"/>
    <n v="1"/>
    <s v="AB_2_1"/>
    <s v="AB_2_1"/>
    <x v="2"/>
    <s v="AB dissociated cells-16"/>
    <n v="100"/>
    <n v="500"/>
    <n v="60"/>
    <n v="1"/>
    <n v="1"/>
    <n v="10.08"/>
    <n v="10.199999999999999"/>
    <n v="1"/>
    <n v="10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6"/>
    <d v="2025-09-26T00:00:00"/>
    <m/>
    <s v="day 1 = 45.45% "/>
    <s v="Day 1 ="/>
    <m/>
    <s v="E5_2025-09-26"/>
    <n v="2"/>
    <s v="AB_2"/>
    <x v="5"/>
    <n v="2"/>
    <s v="AB_2_2"/>
    <s v="AB_2_2"/>
    <x v="2"/>
    <s v="AB dissociated cells-16"/>
    <n v="100"/>
    <n v="500"/>
    <m/>
    <n v="2"/>
    <n v="4"/>
    <n v="10.210000000000001"/>
    <n v="10.39"/>
    <n v="4"/>
    <n v="10.54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m/>
    <m/>
    <m/>
  </r>
  <r>
    <n v="6"/>
    <d v="2025-09-26T00:00:00"/>
    <m/>
    <s v="NBD 6 128 cell = 91.22 % "/>
    <s v="IVF 5 after oblong =16 %"/>
    <m/>
    <s v="E6_2025-09-26"/>
    <n v="2"/>
    <s v="AB_2"/>
    <x v="5"/>
    <n v="3"/>
    <s v="AB_2_3"/>
    <s v="AB_2_3"/>
    <x v="2"/>
    <s v="AB dissociated cells-16"/>
    <n v="100"/>
    <n v="500"/>
    <m/>
    <n v="3"/>
    <n v="3"/>
    <n v="10.47"/>
    <n v="11.06"/>
    <n v="3"/>
    <n v="11.23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m/>
    <m/>
    <m/>
  </r>
  <r>
    <n v="6"/>
    <d v="2025-09-26T00:00:00"/>
    <m/>
    <s v="Day 1 = 74.56% "/>
    <s v="Day 1 ="/>
    <m/>
    <s v="E5_2025-09-26"/>
    <n v="2"/>
    <s v="AB_2"/>
    <x v="5"/>
    <n v="4"/>
    <s v="AB_2_4"/>
    <s v="AB_2_4"/>
    <x v="2"/>
    <s v="AB dissociated cells-16"/>
    <n v="100"/>
    <n v="500"/>
    <m/>
    <n v="4"/>
    <n v="3"/>
    <n v="11.1"/>
    <n v="11.35"/>
    <n v="3"/>
    <n v="11.5"/>
    <n v="2"/>
    <n v="2"/>
    <n v="2"/>
    <n v="2"/>
    <n v="2"/>
    <n v="2"/>
    <n v="2"/>
    <n v="2"/>
    <n v="2"/>
    <n v="2"/>
    <n v="2"/>
    <n v="1"/>
    <n v="1"/>
    <n v="1"/>
    <n v="0"/>
    <n v="0"/>
    <n v="0"/>
    <n v="0"/>
    <n v="0"/>
    <n v="0"/>
    <n v="0"/>
    <n v="0"/>
    <n v="0"/>
    <m/>
    <m/>
    <m/>
  </r>
  <r>
    <n v="6"/>
    <d v="2025-09-26T00:00:00"/>
    <m/>
    <m/>
    <s v="IVF 6 before 4 cell = 100 %"/>
    <m/>
    <s v="E6_2025-09-26"/>
    <n v="2"/>
    <s v="AB_2"/>
    <x v="5"/>
    <n v="5"/>
    <s v="AB_2_5"/>
    <s v="AB_2_5"/>
    <x v="2"/>
    <s v="AB dissociated cells-16"/>
    <n v="100"/>
    <n v="500"/>
    <m/>
    <n v="5"/>
    <n v="4"/>
    <n v="11.45"/>
    <s v="-"/>
    <n v="4"/>
    <n v="12.34"/>
    <n v="4"/>
    <n v="4"/>
    <n v="4"/>
    <n v="4"/>
    <n v="4"/>
    <n v="4"/>
    <n v="4"/>
    <n v="4"/>
    <n v="3"/>
    <n v="3"/>
    <n v="3"/>
    <n v="0"/>
    <n v="0"/>
    <n v="0"/>
    <n v="0"/>
    <n v="0"/>
    <n v="0"/>
    <n v="0"/>
    <n v="0"/>
    <n v="0"/>
    <n v="0"/>
    <n v="0"/>
    <n v="0"/>
    <m/>
    <m/>
    <m/>
  </r>
  <r>
    <n v="6"/>
    <d v="2025-09-26T00:00:00"/>
    <m/>
    <m/>
    <s v="Day 1 ="/>
    <m/>
    <s v="E6_2025-09-26"/>
    <n v="2"/>
    <s v="AB_2"/>
    <x v="5"/>
    <n v="6"/>
    <s v="AB_2_6"/>
    <s v="AB_2_6"/>
    <x v="2"/>
    <s v="AB dissociated cells-16"/>
    <n v="100"/>
    <n v="500"/>
    <m/>
    <n v="6"/>
    <n v="4"/>
    <s v="-"/>
    <n v="12.33"/>
    <n v="4"/>
    <n v="12.48"/>
    <n v="3"/>
    <n v="3"/>
    <n v="3"/>
    <n v="3"/>
    <n v="3"/>
    <n v="3"/>
    <n v="1"/>
    <n v="1"/>
    <n v="1"/>
    <n v="1"/>
    <n v="0"/>
    <n v="0"/>
    <n v="0"/>
    <n v="0"/>
    <n v="0"/>
    <n v="0"/>
    <n v="0"/>
    <n v="0"/>
    <n v="0"/>
    <n v="0"/>
    <n v="0"/>
    <n v="0"/>
    <n v="0"/>
    <m/>
    <m/>
    <m/>
  </r>
  <r>
    <n v="6"/>
    <d v="2025-09-26T00:00:00"/>
    <m/>
    <m/>
    <s v="IVF 6 after oblong = 80 %"/>
    <m/>
    <s v="E5_2025-09-26"/>
    <n v="2"/>
    <s v="AB_2"/>
    <x v="5"/>
    <n v="7"/>
    <s v="AB_2_7"/>
    <s v="AB_2_7"/>
    <x v="2"/>
    <s v="AB dissociated cells-16"/>
    <n v="100"/>
    <n v="500"/>
    <n v="76"/>
    <n v="1"/>
    <n v="2"/>
    <n v="10.199999999999999"/>
    <n v="10.29"/>
    <n v="2"/>
    <n v="10.4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s v="No.5_abnormal;Freeze-80@2025-09-30 Day7"/>
    <s v="June"/>
  </r>
  <r>
    <n v="6"/>
    <d v="2025-09-26T00:00:00"/>
    <m/>
    <m/>
    <s v="Day 1 ="/>
    <m/>
    <s v="E5_2025-09-26"/>
    <n v="2"/>
    <s v="AB_2"/>
    <x v="5"/>
    <n v="8"/>
    <s v="AB_2_8"/>
    <s v="AB_2_8"/>
    <x v="2"/>
    <s v="AB dissociated cells-16"/>
    <n v="100"/>
    <n v="500"/>
    <m/>
    <n v="2"/>
    <n v="2"/>
    <n v="10.34"/>
    <n v="10.41"/>
    <n v="2"/>
    <n v="10.59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s v="switch injection step:_x000a_laser + inject cell "/>
  </r>
  <r>
    <n v="6"/>
    <d v="2025-09-26T00:00:00"/>
    <m/>
    <m/>
    <m/>
    <m/>
    <s v="E6_2025-09-26"/>
    <n v="2"/>
    <s v="AB_2"/>
    <x v="5"/>
    <n v="9"/>
    <s v="AB_2_9"/>
    <s v="AB_2_9"/>
    <x v="2"/>
    <s v="AB dissociated cells-16"/>
    <n v="100"/>
    <n v="500"/>
    <m/>
    <n v="3"/>
    <n v="1"/>
    <n v="10.49"/>
    <n v="10.56"/>
    <n v="1"/>
    <n v="11.1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.6_normal Alive ; in system A@2025-09-30 Day4"/>
    <m/>
  </r>
  <r>
    <n v="6"/>
    <d v="2025-09-26T00:00:00"/>
    <m/>
    <m/>
    <m/>
    <m/>
    <s v="E6_2025-09-26"/>
    <n v="2"/>
    <s v="AB_2"/>
    <x v="5"/>
    <n v="10"/>
    <s v="AB_2_10"/>
    <s v="AB_2_10"/>
    <x v="2"/>
    <s v="AB dissociated cells-16"/>
    <n v="100"/>
    <n v="500"/>
    <m/>
    <n v="4"/>
    <n v="5"/>
    <n v="11.02"/>
    <n v="11.24"/>
    <n v="5"/>
    <n v="11.43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  <m/>
  </r>
  <r>
    <n v="6"/>
    <d v="2025-09-26T00:00:00"/>
    <m/>
    <m/>
    <m/>
    <m/>
    <s v="E6_2025-09-26"/>
    <n v="2"/>
    <s v="AB_2"/>
    <x v="5"/>
    <n v="11"/>
    <s v="AB_2_11"/>
    <s v="AB_2_11"/>
    <x v="2"/>
    <s v="AB dissociated cells-16"/>
    <n v="100"/>
    <n v="500"/>
    <m/>
    <n v="5"/>
    <n v="6"/>
    <n v="11.45"/>
    <n v="12.11"/>
    <n v="6"/>
    <n v="12.26"/>
    <n v="6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0"/>
    <s v="No.7_abnormal;Freeze-80@2025-09-30 Day4"/>
    <m/>
  </r>
  <r>
    <n v="6"/>
    <d v="2025-09-26T00:00:00"/>
    <m/>
    <m/>
    <m/>
    <m/>
    <s v="E6_2025-09-26"/>
    <n v="2"/>
    <s v="AB_2"/>
    <x v="5"/>
    <n v="12"/>
    <s v="AB_2_12"/>
    <s v="AB_2_12"/>
    <x v="2"/>
    <s v="AB dissociated cells-16"/>
    <n v="100"/>
    <n v="500"/>
    <m/>
    <n v="6"/>
    <n v="6"/>
    <n v="12.13"/>
    <n v="12.35"/>
    <n v="6"/>
    <n v="12.5"/>
    <n v="2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7"/>
    <d v="2025-09-30T00:00:00"/>
    <s v="TAB taiwan 20-3-25"/>
    <s v="NBD 2 256 cell = 83.11 %"/>
    <s v="IVF 2 before  64 cell = 90 % "/>
    <s v="CSOF 2024-27"/>
    <s v="E2_2025-09-30"/>
    <n v="3"/>
    <s v="TU_3"/>
    <x v="6"/>
    <n v="1"/>
    <s v="TU_3_1"/>
    <s v="TU_3_1"/>
    <x v="0"/>
    <s v="TU dissociated cells-13"/>
    <n v="100"/>
    <n v="500"/>
    <n v="60"/>
    <n v="1"/>
    <n v="5"/>
    <n v="9.49"/>
    <n v="10.14"/>
    <n v="5"/>
    <n v="10.3"/>
    <n v="3"/>
    <n v="3"/>
    <n v="3"/>
    <n v="3"/>
    <n v="3"/>
    <n v="3"/>
    <n v="3"/>
    <n v="3"/>
    <n v="3"/>
    <n v="3"/>
    <n v="3"/>
    <n v="3"/>
    <n v="3"/>
    <n v="0"/>
    <n v="0"/>
    <n v="0"/>
    <n v="0"/>
    <n v="0"/>
    <n v="0"/>
    <n v="0"/>
    <n v="0"/>
    <n v="0"/>
    <n v="0"/>
    <m/>
    <m/>
    <s v="Jan"/>
  </r>
  <r>
    <n v="7"/>
    <d v="2025-09-30T00:00:00"/>
    <m/>
    <s v="Day 1 = 74.02 %"/>
    <s v="Day 1 =72 %"/>
    <m/>
    <s v="E2_2025-09-30"/>
    <n v="3"/>
    <s v="TU_3"/>
    <x v="6"/>
    <n v="2"/>
    <s v="TU_3_2"/>
    <s v="TU_3_2"/>
    <x v="0"/>
    <s v="TU dissociated cells-13"/>
    <n v="100"/>
    <n v="500"/>
    <m/>
    <n v="2"/>
    <n v="4"/>
    <n v="10.220000000000001"/>
    <n v="10.38"/>
    <n v="4"/>
    <n v="10.54"/>
    <n v="3"/>
    <n v="3"/>
    <n v="3"/>
    <n v="3"/>
    <n v="3"/>
    <n v="3"/>
    <n v="3"/>
    <n v="3"/>
    <n v="2"/>
    <n v="2"/>
    <n v="2"/>
    <n v="2"/>
    <n v="2"/>
    <n v="0"/>
    <n v="0"/>
    <n v="0"/>
    <n v="0"/>
    <n v="0"/>
    <n v="0"/>
    <n v="0"/>
    <n v="0"/>
    <n v="0"/>
    <n v="0"/>
    <m/>
    <m/>
    <m/>
  </r>
  <r>
    <n v="7"/>
    <d v="2025-09-30T00:00:00"/>
    <m/>
    <m/>
    <s v="IVF 2 after 30% epiboly 80 %"/>
    <m/>
    <s v="E2_2025-09-30"/>
    <n v="3"/>
    <s v="TU_3"/>
    <x v="6"/>
    <n v="3"/>
    <s v="TU_3_3"/>
    <s v="TU_3_3"/>
    <x v="0"/>
    <s v="TU dissociated cells-13"/>
    <n v="100"/>
    <n v="500"/>
    <m/>
    <n v="3"/>
    <n v="5"/>
    <n v="10.39"/>
    <n v="10.56"/>
    <n v="5"/>
    <n v="11.12"/>
    <n v="3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7"/>
    <d v="2025-09-30T00:00:00"/>
    <m/>
    <m/>
    <s v="Day 1 =70 %"/>
    <m/>
    <s v="E2_2025-09-30"/>
    <n v="3"/>
    <s v="TU_3"/>
    <x v="6"/>
    <n v="4"/>
    <s v="TU_3_4"/>
    <s v="TU_3_4"/>
    <x v="0"/>
    <s v="TU dissociated cells-13"/>
    <n v="100"/>
    <n v="500"/>
    <m/>
    <n v="4"/>
    <n v="3"/>
    <n v="11.1"/>
    <n v="11.22"/>
    <n v="3"/>
    <n v="11.38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5"/>
    <s v="TU_3_5"/>
    <s v="TU_3_5"/>
    <x v="0"/>
    <s v="TU dissociated cells-13"/>
    <n v="100"/>
    <n v="500"/>
    <m/>
    <n v="5"/>
    <n v="6"/>
    <n v="11.22"/>
    <n v="11.4"/>
    <n v="6"/>
    <n v="12.03"/>
    <n v="3"/>
    <n v="3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6"/>
    <s v="TU_3_6"/>
    <s v="TU_3_6"/>
    <x v="0"/>
    <s v="TU dissociated cells-13"/>
    <n v="100"/>
    <n v="500"/>
    <m/>
    <n v="6"/>
    <n v="6"/>
    <n v="11.48"/>
    <n v="12.04"/>
    <n v="6"/>
    <n v="12.21"/>
    <n v="4"/>
    <n v="4"/>
    <n v="4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7"/>
    <s v="TU_3_7"/>
    <s v="TU_3_7"/>
    <x v="0"/>
    <s v="TU dissociated cells-13"/>
    <n v="100"/>
    <n v="500"/>
    <m/>
    <n v="7"/>
    <n v="5"/>
    <n v="12.05"/>
    <n v="12.2"/>
    <n v="5"/>
    <n v="12.37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8"/>
    <s v="TU_3_8"/>
    <s v="TU_3_8"/>
    <x v="0"/>
    <s v="TU dissociated cells-13"/>
    <n v="100"/>
    <n v="500"/>
    <n v="76"/>
    <n v="1"/>
    <n v="4"/>
    <n v="10.15"/>
    <n v="10.34"/>
    <n v="4"/>
    <n v="10.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une"/>
  </r>
  <r>
    <n v="7"/>
    <d v="2025-09-30T00:00:00"/>
    <m/>
    <m/>
    <m/>
    <m/>
    <s v="E2_2025-09-30"/>
    <n v="3"/>
    <s v="TU_3"/>
    <x v="6"/>
    <n v="9"/>
    <s v="TU_3_9"/>
    <s v="TU_3_9"/>
    <x v="0"/>
    <s v="TU dissociated cells-13"/>
    <n v="100"/>
    <n v="500"/>
    <m/>
    <n v="2"/>
    <n v="3"/>
    <n v="10.45"/>
    <n v="10.58"/>
    <n v="3"/>
    <n v="11.14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0"/>
    <s v="TU_3_10"/>
    <s v="TU_3_10"/>
    <x v="0"/>
    <s v="TU dissociated cells-13"/>
    <n v="100"/>
    <n v="500"/>
    <m/>
    <n v="3"/>
    <n v="3"/>
    <n v="11"/>
    <n v="11.12"/>
    <n v="3"/>
    <n v="11.2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1"/>
    <s v="TU_3_11"/>
    <s v="TU_3_11"/>
    <x v="0"/>
    <s v="TU dissociated cells-13"/>
    <n v="100"/>
    <n v="500"/>
    <m/>
    <n v="4"/>
    <n v="2"/>
    <n v="11.14"/>
    <n v="11.23"/>
    <n v="2"/>
    <n v="11.39"/>
    <n v="2"/>
    <n v="2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2"/>
    <s v="TU_3_12"/>
    <s v="TU_3_12"/>
    <x v="0"/>
    <s v="TU dissociated cells-13"/>
    <n v="100"/>
    <n v="500"/>
    <m/>
    <n v="5"/>
    <n v="3"/>
    <n v="11.32"/>
    <n v="11.45"/>
    <n v="3"/>
    <n v="12.02"/>
    <n v="2"/>
    <n v="2"/>
    <n v="2"/>
    <n v="2"/>
    <n v="2"/>
    <n v="2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3"/>
    <s v="TU_3_13"/>
    <s v="TU_3_13"/>
    <x v="0"/>
    <s v="TU dissociated cells-13"/>
    <n v="100"/>
    <n v="500"/>
    <m/>
    <n v="6"/>
    <n v="3"/>
    <n v="11.46"/>
    <n v="11.59"/>
    <n v="3"/>
    <n v="12.1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4"/>
    <s v="TU_3_14"/>
    <s v="TU_3_14"/>
    <x v="0"/>
    <s v="TU dissociated cells-13"/>
    <n v="100"/>
    <n v="500"/>
    <m/>
    <n v="7"/>
    <n v="4"/>
    <n v="12.09"/>
    <n v="12.2"/>
    <n v="4"/>
    <n v="12.37"/>
    <n v="3"/>
    <n v="3"/>
    <n v="3"/>
    <n v="3"/>
    <n v="3"/>
    <n v="3"/>
    <n v="3"/>
    <n v="3"/>
    <n v="3"/>
    <n v="3"/>
    <n v="1"/>
    <n v="1"/>
    <n v="1"/>
    <n v="0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5"/>
    <s v="TU_3_15"/>
    <s v="TU_3_15"/>
    <x v="0"/>
    <s v="TU dissociated cells-13"/>
    <n v="100"/>
    <n v="500"/>
    <m/>
    <s v="Bee1"/>
    <n v="4"/>
    <s v="-"/>
    <s v="-"/>
    <n v="4"/>
    <s v="-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m/>
    <m/>
    <m/>
  </r>
  <r>
    <n v="7"/>
    <d v="2025-09-30T00:00:00"/>
    <m/>
    <m/>
    <m/>
    <m/>
    <s v="E2_2025-09-30"/>
    <n v="3"/>
    <s v="TU_3"/>
    <x v="6"/>
    <n v="16"/>
    <s v="TU_3_16"/>
    <s v="TU_3_16"/>
    <x v="0"/>
    <s v="TU dissociated cells-13"/>
    <n v="100"/>
    <n v="500"/>
    <m/>
    <s v="Bee2"/>
    <n v="5"/>
    <s v="-"/>
    <s v="-"/>
    <n v="5"/>
    <n v="10.51"/>
    <n v="5"/>
    <n v="5"/>
    <n v="5"/>
    <n v="5"/>
    <n v="5"/>
    <n v="5"/>
    <n v="5"/>
    <n v="5"/>
    <n v="5"/>
    <n v="5"/>
    <n v="5"/>
    <n v="5"/>
    <n v="5"/>
    <n v="5"/>
    <n v="3"/>
    <n v="1"/>
    <n v="1"/>
    <n v="1"/>
    <n v="1"/>
    <n v="0"/>
    <n v="0"/>
    <n v="0"/>
    <n v="0"/>
    <m/>
    <m/>
    <m/>
  </r>
  <r>
    <n v="7"/>
    <d v="2025-09-30T00:00:00"/>
    <m/>
    <m/>
    <m/>
    <m/>
    <s v="E2_2025-09-30"/>
    <n v="3"/>
    <s v="TU_3"/>
    <x v="6"/>
    <n v="17"/>
    <s v="TU_3_17"/>
    <s v="TU_3_17"/>
    <x v="0"/>
    <s v="TU dissociated cells-13"/>
    <n v="100"/>
    <n v="500"/>
    <m/>
    <s v="Bee3"/>
    <n v="4"/>
    <s v="-"/>
    <s v="-"/>
    <n v="4"/>
    <n v="11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8"/>
    <s v="TU_3_18"/>
    <s v="TU_3_18"/>
    <x v="0"/>
    <s v="TU dissociated cells-13"/>
    <n v="100"/>
    <n v="500"/>
    <m/>
    <s v="Bee4"/>
    <n v="4"/>
    <s v="-"/>
    <s v="-"/>
    <n v="4"/>
    <n v="1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19"/>
    <s v="TU_3_19"/>
    <s v="TU_3_19"/>
    <x v="0"/>
    <s v="TU dissociated cells-13"/>
    <n v="100"/>
    <n v="500"/>
    <m/>
    <s v="Bee5"/>
    <n v="4"/>
    <s v="-"/>
    <s v="-"/>
    <n v="4"/>
    <n v="12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20"/>
    <s v="TU_3_20"/>
    <s v="TU_3_20"/>
    <x v="0"/>
    <s v="TU dissociated cells-13"/>
    <n v="100"/>
    <n v="500"/>
    <m/>
    <s v="Bee6"/>
    <n v="5"/>
    <s v="-"/>
    <s v="-"/>
    <n v="5"/>
    <n v="12.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7"/>
    <d v="2025-09-30T00:00:00"/>
    <m/>
    <m/>
    <m/>
    <m/>
    <s v="E2_2025-09-30"/>
    <n v="3"/>
    <s v="TU_3"/>
    <x v="6"/>
    <n v="21"/>
    <s v="TU_3_21"/>
    <s v="TU_3_21"/>
    <x v="0"/>
    <s v="TU dissociated cells-13"/>
    <n v="100"/>
    <n v="500"/>
    <m/>
    <s v="Bee7"/>
    <n v="3"/>
    <s v="-"/>
    <s v="-"/>
    <n v="3"/>
    <n v="12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8"/>
    <d v="2025-10-02T00:00:00"/>
    <s v="TAB taiwan 20-3-25"/>
    <s v="NBD 6 512 cell = 70 %"/>
    <s v="IVF 6 before 16 cell = 76 %"/>
    <s v="CSOF 2024-27"/>
    <s v="E6_2025-10-02"/>
    <n v="3"/>
    <s v="NHGRI_3"/>
    <x v="7"/>
    <n v="1"/>
    <s v="NHGRI_3_1"/>
    <s v="NHGRI_3_1"/>
    <x v="1"/>
    <s v="NHGRI dissociated cells-13"/>
    <n v="100"/>
    <n v="500"/>
    <n v="60"/>
    <n v="1"/>
    <n v="6"/>
    <n v="10.050000000000001"/>
    <n v="10.3"/>
    <n v="6"/>
    <n v="10.45"/>
    <n v="4"/>
    <n v="4"/>
    <n v="4"/>
    <n v="4"/>
    <n v="4"/>
    <n v="4"/>
    <n v="4"/>
    <n v="4"/>
    <n v="4"/>
    <n v="4"/>
    <n v="4"/>
    <n v="1"/>
    <n v="1"/>
    <n v="0"/>
    <n v="0"/>
    <n v="0"/>
    <n v="0"/>
    <n v="0"/>
    <n v="0"/>
    <n v="0"/>
    <n v="0"/>
    <n v="0"/>
    <n v="0"/>
    <m/>
    <m/>
    <s v="Jan"/>
  </r>
  <r>
    <n v="8"/>
    <d v="2025-10-02T00:00:00"/>
    <m/>
    <s v="Day 1= 55 %"/>
    <s v="Day 1 = 52 %"/>
    <m/>
    <s v="E6_2025-10-02"/>
    <n v="3"/>
    <s v="NHGRI_3"/>
    <x v="7"/>
    <n v="2"/>
    <s v="NHGRI_3_2"/>
    <s v="NHGRI_3_2"/>
    <x v="1"/>
    <s v="NHGRI dissociated cells-13"/>
    <n v="100"/>
    <n v="500"/>
    <m/>
    <n v="2"/>
    <n v="4"/>
    <n v="10.31"/>
    <n v="10.47"/>
    <n v="4"/>
    <n v="11.03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8"/>
    <d v="2025-10-02T00:00:00"/>
    <m/>
    <m/>
    <s v="IVF 6 after sphere 54 %"/>
    <m/>
    <s v="E6_2025-10-02"/>
    <n v="3"/>
    <s v="NHGRI_3"/>
    <x v="7"/>
    <n v="3"/>
    <s v="NHGRI_3_3"/>
    <s v="NHGRI_3_3"/>
    <x v="1"/>
    <s v="NHGRI dissociated cells-13"/>
    <n v="100"/>
    <n v="500"/>
    <m/>
    <n v="3"/>
    <n v="6"/>
    <n v="10.48"/>
    <n v="11.13"/>
    <n v="6"/>
    <n v="11.29"/>
    <n v="3"/>
    <n v="3"/>
    <n v="3"/>
    <n v="3"/>
    <n v="3"/>
    <n v="3"/>
    <n v="3"/>
    <n v="3"/>
    <n v="3"/>
    <n v="3"/>
    <n v="3"/>
    <n v="2"/>
    <n v="2"/>
    <n v="2"/>
    <n v="1"/>
    <n v="1"/>
    <n v="1"/>
    <n v="1"/>
    <n v="0"/>
    <n v="0"/>
    <n v="0"/>
    <n v="0"/>
    <n v="0"/>
    <m/>
    <m/>
    <m/>
  </r>
  <r>
    <n v="8"/>
    <d v="2025-10-02T00:00:00"/>
    <m/>
    <m/>
    <s v="Day 1 = 52 %"/>
    <m/>
    <s v="E6_2025-10-02"/>
    <n v="3"/>
    <s v="NHGRI_3"/>
    <x v="7"/>
    <n v="4"/>
    <s v="NHGRI_3_4"/>
    <s v="NHGRI_3_4"/>
    <x v="1"/>
    <s v="NHGRI dissociated cells-13"/>
    <n v="100"/>
    <n v="500"/>
    <m/>
    <n v="4"/>
    <n v="5"/>
    <n v="11.15"/>
    <n v="11.38"/>
    <n v="5"/>
    <n v="11.53"/>
    <n v="4"/>
    <n v="4"/>
    <n v="4"/>
    <n v="4"/>
    <n v="4"/>
    <n v="4"/>
    <n v="2"/>
    <n v="2"/>
    <n v="2"/>
    <n v="2"/>
    <n v="0"/>
    <n v="0"/>
    <n v="0"/>
    <n v="0"/>
    <n v="0"/>
    <n v="0"/>
    <n v="0"/>
    <n v="0"/>
    <n v="0"/>
    <n v="0"/>
    <n v="0"/>
    <n v="0"/>
    <n v="0"/>
    <m/>
    <m/>
    <m/>
  </r>
  <r>
    <n v="8"/>
    <d v="2025-10-02T00:00:00"/>
    <m/>
    <m/>
    <m/>
    <m/>
    <s v="E6_2025-10-02"/>
    <n v="3"/>
    <s v="NHGRI_3"/>
    <x v="7"/>
    <n v="5"/>
    <s v="NHGRI_3_5"/>
    <s v="NHGRI_3_5"/>
    <x v="1"/>
    <s v="NHGRI dissociated cells-13"/>
    <n v="100"/>
    <n v="500"/>
    <m/>
    <n v="5"/>
    <n v="6"/>
    <n v="11.39"/>
    <n v="12.18"/>
    <n v="6"/>
    <n v="12.33"/>
    <n v="6"/>
    <n v="4"/>
    <n v="4"/>
    <n v="4"/>
    <n v="4"/>
    <n v="4"/>
    <n v="4"/>
    <n v="3"/>
    <n v="3"/>
    <n v="3"/>
    <n v="3"/>
    <n v="3"/>
    <n v="2"/>
    <n v="2"/>
    <n v="2"/>
    <n v="2"/>
    <n v="2"/>
    <n v="1"/>
    <n v="1"/>
    <n v="1"/>
    <n v="1"/>
    <n v="1"/>
    <n v="1"/>
    <n v="0"/>
    <s v="No.8_abnormal;Freeze-80@2025-10-02 Day4"/>
    <m/>
  </r>
  <r>
    <n v="8"/>
    <d v="2025-10-02T00:00:00"/>
    <m/>
    <m/>
    <m/>
    <m/>
    <s v="E6_2025-10-02"/>
    <n v="3"/>
    <s v="NHGRI_3"/>
    <x v="7"/>
    <n v="6"/>
    <s v="NHGRI_3_6"/>
    <s v="NHGRI_3_6"/>
    <x v="1"/>
    <s v="NHGRI dissociated cells-13"/>
    <n v="100"/>
    <n v="500"/>
    <n v="76"/>
    <n v="1"/>
    <n v="4"/>
    <n v="10.01"/>
    <n v="10.19"/>
    <n v="4"/>
    <n v="10.39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m/>
    <m/>
    <s v="June"/>
  </r>
  <r>
    <n v="8"/>
    <d v="2025-10-02T00:00:00"/>
    <m/>
    <m/>
    <m/>
    <m/>
    <s v="E6_2025-10-02"/>
    <n v="3"/>
    <s v="NHGRI_3"/>
    <x v="7"/>
    <n v="7"/>
    <s v="NHGRI_3_7"/>
    <s v="NHGRI_3_7"/>
    <x v="1"/>
    <s v="NHGRI dissociated cells-13"/>
    <n v="100"/>
    <n v="500"/>
    <m/>
    <n v="2"/>
    <n v="4"/>
    <n v="10.24"/>
    <n v="10.35"/>
    <n v="4"/>
    <n v="10.53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0"/>
    <n v="0"/>
    <n v="0"/>
    <n v="0"/>
    <m/>
    <m/>
    <m/>
  </r>
  <r>
    <n v="8"/>
    <d v="2025-10-02T00:00:00"/>
    <m/>
    <m/>
    <m/>
    <m/>
    <s v="E6_2025-10-02"/>
    <n v="3"/>
    <s v="NHGRI_3"/>
    <x v="7"/>
    <n v="8"/>
    <s v="NHGRI_3_8"/>
    <s v="NHGRI_3_8"/>
    <x v="1"/>
    <s v="NHGRI dissociated cells-13"/>
    <n v="100"/>
    <n v="500"/>
    <m/>
    <n v="3"/>
    <n v="4"/>
    <n v="10.41"/>
    <n v="10.57"/>
    <n v="4"/>
    <n v="11.14"/>
    <n v="4"/>
    <n v="4"/>
    <n v="4"/>
    <n v="4"/>
    <n v="4"/>
    <n v="4"/>
    <n v="4"/>
    <n v="4"/>
    <n v="4"/>
    <n v="4"/>
    <n v="4"/>
    <n v="4"/>
    <n v="4"/>
    <n v="3"/>
    <n v="3"/>
    <n v="3"/>
    <n v="2"/>
    <n v="2"/>
    <n v="2"/>
    <n v="0"/>
    <n v="0"/>
    <n v="0"/>
    <n v="0"/>
    <m/>
    <m/>
    <m/>
  </r>
  <r>
    <n v="8"/>
    <d v="2025-10-02T00:00:00"/>
    <m/>
    <m/>
    <m/>
    <m/>
    <s v="E6_2025-10-02"/>
    <n v="3"/>
    <s v="NHGRI_3"/>
    <x v="7"/>
    <n v="9"/>
    <s v="NHGRI_3_9"/>
    <s v="NHGRI_3_9"/>
    <x v="1"/>
    <s v="NHGRI dissociated cells-13"/>
    <n v="100"/>
    <n v="500"/>
    <m/>
    <n v="4"/>
    <n v="1"/>
    <n v="11"/>
    <n v="11.16"/>
    <n v="1"/>
    <n v="11.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m/>
    <m/>
    <m/>
  </r>
  <r>
    <n v="8"/>
    <d v="2025-10-02T00:00:00"/>
    <m/>
    <m/>
    <m/>
    <m/>
    <s v="E6_2025-10-02"/>
    <n v="3"/>
    <s v="NHGRI_3"/>
    <x v="7"/>
    <n v="10"/>
    <s v="NHGRI_3_10"/>
    <s v="NHGRI_3_10"/>
    <x v="1"/>
    <s v="NHGRI dissociated cells-13"/>
    <n v="100"/>
    <n v="500"/>
    <m/>
    <n v="5"/>
    <n v="4"/>
    <n v="11.17"/>
    <n v="11.33"/>
    <n v="4"/>
    <n v="11.49"/>
    <n v="3"/>
    <n v="3"/>
    <n v="3"/>
    <n v="3"/>
    <n v="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m/>
    <m/>
    <m/>
  </r>
  <r>
    <n v="8"/>
    <d v="2025-10-02T00:00:00"/>
    <m/>
    <m/>
    <m/>
    <m/>
    <s v="E6_2025-10-02"/>
    <n v="3"/>
    <s v="NHGRI_3"/>
    <x v="7"/>
    <n v="11"/>
    <s v="NHGRI_3_11"/>
    <s v="NHGRI_3_11"/>
    <x v="1"/>
    <s v="NHGRI dissociated cells-13"/>
    <n v="100"/>
    <n v="500"/>
    <m/>
    <n v="6"/>
    <n v="2"/>
    <n v="11.36"/>
    <n v="11.48"/>
    <n v="2"/>
    <n v="12.0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8"/>
    <d v="2025-10-02T00:00:00"/>
    <m/>
    <m/>
    <m/>
    <m/>
    <s v="E6_2025-10-02"/>
    <n v="3"/>
    <s v="NHGRI_3"/>
    <x v="7"/>
    <n v="12"/>
    <s v="NHGRI_3_12"/>
    <s v="NHGRI_3_12"/>
    <x v="1"/>
    <s v="NHGRI dissociated cells-13"/>
    <n v="100"/>
    <n v="500"/>
    <m/>
    <n v="7"/>
    <n v="4"/>
    <n v="11.5"/>
    <n v="12.04"/>
    <n v="4"/>
    <n v="12.2"/>
    <n v="3"/>
    <n v="3"/>
    <n v="3"/>
    <n v="3"/>
    <n v="3"/>
    <n v="3"/>
    <n v="3"/>
    <n v="3"/>
    <n v="1"/>
    <n v="1"/>
    <n v="1"/>
    <n v="1"/>
    <n v="1"/>
    <n v="0"/>
    <n v="0"/>
    <n v="0"/>
    <n v="0"/>
    <n v="0"/>
    <n v="0"/>
    <n v="0"/>
    <n v="0"/>
    <n v="0"/>
    <n v="0"/>
    <m/>
    <m/>
    <m/>
  </r>
  <r>
    <n v="9"/>
    <d v="2025-10-03T00:00:00"/>
    <s v="TAB taiwan 20-3-25"/>
    <s v="NBD 3 256 cell = 82.92 %"/>
    <s v="IVF 3 before 30% epiboly = 85 %"/>
    <s v="CSOF 2024-27"/>
    <s v="E3_2025-10-03"/>
    <n v="3"/>
    <s v="AB_3"/>
    <x v="8"/>
    <n v="1"/>
    <s v="AB_3_1"/>
    <s v="AB_3_1"/>
    <x v="2"/>
    <s v="AB dissociated cells-17"/>
    <n v="100"/>
    <n v="500"/>
    <n v="60"/>
    <n v="1"/>
    <n v="5"/>
    <n v="10.029999999999999"/>
    <n v="10.23"/>
    <n v="5"/>
    <n v="10.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9"/>
    <d v="2025-10-03T00:00:00"/>
    <m/>
    <s v="Day 1 = 76.60 %"/>
    <s v="Day 1 ="/>
    <m/>
    <s v="E3_2025-10-03"/>
    <n v="3"/>
    <s v="AB_3"/>
    <x v="8"/>
    <n v="2"/>
    <s v="AB_3_2"/>
    <s v="AB_3_2"/>
    <x v="2"/>
    <s v="AB dissociated cells-17"/>
    <n v="100"/>
    <n v="500"/>
    <m/>
    <n v="2"/>
    <n v="5"/>
    <n v="10.3"/>
    <n v="10.41"/>
    <n v="5"/>
    <n v="10.58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m/>
    <m/>
    <m/>
  </r>
  <r>
    <n v="9"/>
    <d v="2025-10-03T00:00:00"/>
    <m/>
    <m/>
    <s v="IVF 3 after sphere = 80 %"/>
    <m/>
    <s v="E3_2025-10-03"/>
    <n v="3"/>
    <s v="AB_3"/>
    <x v="8"/>
    <n v="3"/>
    <s v="AB_3_3"/>
    <s v="AB_3_3"/>
    <x v="2"/>
    <s v="AB dissociated cells-17"/>
    <n v="100"/>
    <n v="500"/>
    <m/>
    <n v="3"/>
    <n v="2"/>
    <n v="10.48"/>
    <n v="11.08"/>
    <n v="2"/>
    <n v="11.25"/>
    <n v="5"/>
    <n v="3"/>
    <n v="3"/>
    <n v="2"/>
    <n v="2"/>
    <n v="2"/>
    <n v="2"/>
    <n v="2"/>
    <n v="2"/>
    <n v="1"/>
    <n v="1"/>
    <n v="1"/>
    <n v="1"/>
    <n v="0"/>
    <n v="0"/>
    <n v="0"/>
    <n v="0"/>
    <n v="0"/>
    <n v="0"/>
    <n v="0"/>
    <n v="0"/>
    <n v="0"/>
    <n v="0"/>
    <m/>
    <m/>
    <m/>
  </r>
  <r>
    <n v="9"/>
    <d v="2025-10-03T00:00:00"/>
    <m/>
    <m/>
    <s v="Day 1 ="/>
    <m/>
    <s v="E3_2025-10-03"/>
    <n v="3"/>
    <s v="AB_3"/>
    <x v="8"/>
    <n v="4"/>
    <s v="AB_3_4"/>
    <s v="AB_3_4"/>
    <x v="2"/>
    <s v="AB dissociated cells-17"/>
    <n v="100"/>
    <n v="500"/>
    <m/>
    <n v="4"/>
    <n v="5"/>
    <n v="11.1"/>
    <n v="11.34"/>
    <n v="5"/>
    <n v="11.5"/>
    <n v="5"/>
    <n v="4"/>
    <n v="4"/>
    <n v="4"/>
    <n v="4"/>
    <n v="4"/>
    <n v="4"/>
    <n v="4"/>
    <n v="4"/>
    <n v="4"/>
    <n v="4"/>
    <n v="0"/>
    <n v="0"/>
    <n v="0"/>
    <n v="0"/>
    <n v="0"/>
    <n v="0"/>
    <n v="0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5"/>
    <s v="AB_3_5"/>
    <s v="AB_3_5"/>
    <x v="2"/>
    <s v="AB dissociated cells-17"/>
    <n v="100"/>
    <n v="500"/>
    <m/>
    <n v="5"/>
    <n v="5"/>
    <n v="11.36"/>
    <n v="12.01"/>
    <n v="5"/>
    <n v="12.16"/>
    <n v="5"/>
    <n v="4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n v="0"/>
    <n v="0"/>
    <m/>
    <s v=" "/>
    <s v=" "/>
  </r>
  <r>
    <n v="9"/>
    <d v="2025-10-03T00:00:00"/>
    <m/>
    <m/>
    <m/>
    <m/>
    <s v="E3_2025-10-03"/>
    <n v="3"/>
    <s v="AB_3"/>
    <x v="8"/>
    <n v="6"/>
    <s v="AB_3_6"/>
    <s v="AB_3_6"/>
    <x v="2"/>
    <s v="AB dissociated cells-17"/>
    <n v="100"/>
    <n v="500"/>
    <n v="76"/>
    <n v="1"/>
    <n v="3"/>
    <n v="10.09"/>
    <n v="10.25"/>
    <n v="3"/>
    <n v="10.45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s v="June"/>
  </r>
  <r>
    <n v="9"/>
    <d v="2025-10-03T00:00:00"/>
    <m/>
    <m/>
    <m/>
    <m/>
    <s v="E3_2025-10-03"/>
    <n v="3"/>
    <s v="AB_3"/>
    <x v="8"/>
    <n v="7"/>
    <s v="AB_3_7"/>
    <s v="AB_3_7"/>
    <x v="2"/>
    <s v="AB dissociated cells-17"/>
    <n v="100"/>
    <n v="500"/>
    <m/>
    <n v="2"/>
    <n v="4"/>
    <n v="10.27"/>
    <n v="10.41"/>
    <n v="4"/>
    <n v="10.57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8"/>
    <s v="AB_3_8"/>
    <s v="AB_3_8"/>
    <x v="2"/>
    <s v="AB dissociated cells-17"/>
    <n v="100"/>
    <n v="500"/>
    <m/>
    <n v="3"/>
    <n v="2"/>
    <n v="10.43"/>
    <n v="10.53"/>
    <n v="2"/>
    <n v="11.1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9"/>
    <s v="AB_3_9"/>
    <s v="AB_3_9"/>
    <x v="2"/>
    <s v="AB dissociated cells-17"/>
    <n v="100"/>
    <n v="500"/>
    <m/>
    <n v="4"/>
    <n v="3"/>
    <n v="11.43"/>
    <n v="11.03"/>
    <n v="3"/>
    <n v="11.19"/>
    <n v="3"/>
    <n v="3"/>
    <n v="3"/>
    <n v="3"/>
    <n v="3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0"/>
    <s v="No.10_abnormal;Freeze-80@2025-10-10 Day7; Zebrafish with a curved tail&amp; No.9_abnormal_degenerate"/>
    <m/>
  </r>
  <r>
    <n v="9"/>
    <d v="2025-10-03T00:00:00"/>
    <m/>
    <m/>
    <m/>
    <m/>
    <s v="E3_2025-10-03"/>
    <n v="3"/>
    <s v="AB_3"/>
    <x v="8"/>
    <n v="10"/>
    <s v="AB_3_10"/>
    <s v="AB_3_10"/>
    <x v="2"/>
    <s v="AB dissociated cells-17"/>
    <n v="100"/>
    <n v="500"/>
    <m/>
    <n v="5"/>
    <n v="3"/>
    <n v="11.13"/>
    <n v="11.3"/>
    <n v="3"/>
    <n v="11.4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11"/>
    <s v="AB_3_11"/>
    <s v="AB_3_11"/>
    <x v="2"/>
    <s v="AB dissociated cells-17"/>
    <n v="100"/>
    <n v="500"/>
    <m/>
    <n v="6"/>
    <n v="3"/>
    <n v="11.4"/>
    <n v="11.57"/>
    <n v="3"/>
    <n v="12.11"/>
    <n v="2"/>
    <n v="2"/>
    <n v="2"/>
    <n v="2"/>
    <n v="2"/>
    <n v="2"/>
    <n v="2"/>
    <n v="2"/>
    <n v="1"/>
    <n v="1"/>
    <n v="1"/>
    <n v="1"/>
    <n v="1"/>
    <n v="1"/>
    <n v="0"/>
    <n v="0"/>
    <n v="0"/>
    <n v="0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12"/>
    <s v="AB_3_12"/>
    <s v="AB_3_12"/>
    <x v="2"/>
    <s v="AB dissociated cells-17"/>
    <n v="100"/>
    <n v="500"/>
    <m/>
    <s v="Bee1"/>
    <n v="5"/>
    <s v="-"/>
    <s v="-"/>
    <n v="5"/>
    <n v="10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13"/>
    <s v="AB_3_13"/>
    <s v="AB_3_13"/>
    <x v="2"/>
    <s v="AB dissociated cells-17"/>
    <n v="100"/>
    <n v="500"/>
    <m/>
    <s v="Bee2"/>
    <n v="5"/>
    <s v="-"/>
    <s v="-"/>
    <n v="5"/>
    <n v="11.0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14"/>
    <s v="AB_3_14"/>
    <s v="AB_3_14"/>
    <x v="2"/>
    <s v="AB dissociated cells-17"/>
    <n v="100"/>
    <n v="500"/>
    <m/>
    <s v="Bee3"/>
    <n v="5"/>
    <s v="-"/>
    <s v="-"/>
    <n v="5"/>
    <n v="11.48"/>
    <n v="3"/>
    <n v="3"/>
    <n v="3"/>
    <n v="3"/>
    <n v="3"/>
    <n v="3"/>
    <n v="3"/>
    <n v="3"/>
    <n v="3"/>
    <n v="3"/>
    <n v="3"/>
    <n v="3"/>
    <n v="2"/>
    <n v="1"/>
    <n v="1"/>
    <n v="1"/>
    <n v="1"/>
    <n v="1"/>
    <n v="0"/>
    <n v="0"/>
    <n v="0"/>
    <n v="0"/>
    <n v="0"/>
    <m/>
    <m/>
    <m/>
  </r>
  <r>
    <n v="9"/>
    <d v="2025-10-03T00:00:00"/>
    <m/>
    <m/>
    <m/>
    <m/>
    <s v="E3_2025-10-03"/>
    <n v="3"/>
    <s v="AB_3"/>
    <x v="8"/>
    <n v="15"/>
    <s v="AB_3_15"/>
    <s v="AB_3_15"/>
    <x v="2"/>
    <s v="AB dissociated cells-17"/>
    <n v="100"/>
    <n v="500"/>
    <m/>
    <s v="Bee4"/>
    <n v="5"/>
    <s v="-"/>
    <s v="-"/>
    <n v="5"/>
    <n v="12.07"/>
    <n v="4"/>
    <n v="4"/>
    <n v="4"/>
    <n v="4"/>
    <n v="4"/>
    <n v="4"/>
    <n v="4"/>
    <n v="4"/>
    <n v="4"/>
    <n v="4"/>
    <n v="2"/>
    <n v="2"/>
    <n v="2"/>
    <n v="2"/>
    <n v="2"/>
    <n v="1"/>
    <n v="1"/>
    <n v="1"/>
    <n v="1"/>
    <n v="1"/>
    <n v="1"/>
    <n v="1"/>
    <n v="1"/>
    <n v="1"/>
    <s v="Clone no.11 _at systemA "/>
    <m/>
  </r>
  <r>
    <n v="10"/>
    <d v="2025-10-07T00:00:00"/>
    <s v="TAB taiwan 20-3-25"/>
    <s v="NBD 4 64 cell = 90 %"/>
    <s v="IVF 4 before sphere = 96 %"/>
    <s v="CSOF 2024-19"/>
    <s v="E4_2025-10-07"/>
    <n v="4"/>
    <s v="TU_4"/>
    <x v="9"/>
    <n v="1"/>
    <s v="TU_4_1"/>
    <s v="TU_4_1"/>
    <x v="0"/>
    <s v="TU dissociated cells-14"/>
    <n v="100"/>
    <n v="500"/>
    <n v="60"/>
    <n v="1"/>
    <n v="3"/>
    <n v="10.09"/>
    <n v="10.23"/>
    <n v="3"/>
    <n v="10.38"/>
    <n v="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10"/>
    <d v="2025-10-07T00:00:00"/>
    <m/>
    <s v="Day 1 = 80 %"/>
    <s v="Day 1 = 88 %"/>
    <m/>
    <s v="E4_2025-10-07"/>
    <n v="4"/>
    <s v="TU_4"/>
    <x v="9"/>
    <n v="2"/>
    <s v="TU_4_2"/>
    <s v="TU_4_2"/>
    <x v="0"/>
    <s v="TU dissociated cells-14"/>
    <n v="100"/>
    <n v="500"/>
    <m/>
    <n v="2"/>
    <n v="4"/>
    <n v="10.3"/>
    <n v="10.44"/>
    <n v="4"/>
    <n v="10.59"/>
    <n v="3"/>
    <n v="3"/>
    <n v="3"/>
    <n v="3"/>
    <n v="2"/>
    <n v="2"/>
    <n v="2"/>
    <n v="2"/>
    <n v="2"/>
    <n v="2"/>
    <n v="2"/>
    <n v="2"/>
    <n v="2"/>
    <n v="1"/>
    <n v="1"/>
    <n v="1"/>
    <n v="1"/>
    <n v="1"/>
    <n v="0"/>
    <n v="0"/>
    <n v="0"/>
    <n v="0"/>
    <n v="0"/>
    <m/>
    <m/>
    <m/>
  </r>
  <r>
    <n v="10"/>
    <d v="2025-10-07T00:00:00"/>
    <m/>
    <m/>
    <s v="IVF 4 after high = 70 %"/>
    <m/>
    <s v="E4_2025-10-07"/>
    <n v="4"/>
    <s v="TU_4"/>
    <x v="9"/>
    <n v="3"/>
    <s v="TU_4_3"/>
    <s v="TU_4_3"/>
    <x v="0"/>
    <s v="TU dissociated cells-14"/>
    <n v="100"/>
    <n v="500"/>
    <m/>
    <n v="3"/>
    <n v="4"/>
    <n v="10.45"/>
    <n v="11.03"/>
    <n v="4"/>
    <n v="11.19"/>
    <n v="4"/>
    <n v="4"/>
    <n v="4"/>
    <n v="4"/>
    <n v="3"/>
    <n v="3"/>
    <n v="3"/>
    <n v="3"/>
    <n v="3"/>
    <n v="3"/>
    <n v="3"/>
    <n v="3"/>
    <n v="3"/>
    <n v="3"/>
    <n v="2"/>
    <n v="0"/>
    <n v="0"/>
    <n v="0"/>
    <n v="0"/>
    <n v="0"/>
    <n v="0"/>
    <n v="0"/>
    <n v="0"/>
    <m/>
    <m/>
    <m/>
  </r>
  <r>
    <n v="10"/>
    <d v="2025-10-07T00:00:00"/>
    <m/>
    <m/>
    <s v="Day 1 = 64 %"/>
    <m/>
    <s v="E4_2025-10-07"/>
    <n v="4"/>
    <s v="TU_4"/>
    <x v="9"/>
    <n v="4"/>
    <s v="TU_4_4"/>
    <s v="TU_4_4"/>
    <x v="0"/>
    <s v="TU dissociated cells-14"/>
    <n v="100"/>
    <n v="500"/>
    <m/>
    <n v="4"/>
    <n v="4"/>
    <n v="11.11"/>
    <n v="11.24"/>
    <n v="4"/>
    <n v="11.38"/>
    <n v="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m/>
    <m/>
    <m/>
  </r>
  <r>
    <n v="10"/>
    <d v="2025-10-07T00:00:00"/>
    <m/>
    <m/>
    <m/>
    <m/>
    <s v="E4_2025-10-07"/>
    <n v="4"/>
    <s v="TU_4"/>
    <x v="9"/>
    <n v="5"/>
    <s v="TU_4_5"/>
    <s v="TU_4_5"/>
    <x v="0"/>
    <s v="TU dissociated cells-14"/>
    <n v="100"/>
    <n v="500"/>
    <m/>
    <n v="5"/>
    <n v="4"/>
    <n v="11.25"/>
    <n v="11.38"/>
    <n v="4"/>
    <n v="11.54"/>
    <n v="4"/>
    <n v="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6"/>
    <s v="TU_4_6"/>
    <s v="TU_4_6"/>
    <x v="0"/>
    <s v="TU dissociated cells-14"/>
    <n v="100"/>
    <n v="500"/>
    <m/>
    <n v="6"/>
    <n v="4"/>
    <n v="11.56"/>
    <n v="12.13"/>
    <n v="4"/>
    <n v="12.27"/>
    <n v="4"/>
    <n v="4"/>
    <n v="4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7"/>
    <s v="TU_4_7"/>
    <s v="TU_4_7"/>
    <x v="0"/>
    <s v="TU dissociated cells-14"/>
    <n v="100"/>
    <n v="500"/>
    <m/>
    <n v="7"/>
    <n v="4"/>
    <n v="12.2"/>
    <n v="12.35"/>
    <n v="4"/>
    <n v="12.5"/>
    <n v="4"/>
    <n v="4"/>
    <n v="4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8"/>
    <s v="TU_4_8"/>
    <s v="TU_4_8"/>
    <x v="0"/>
    <s v="TU dissociated cells-14"/>
    <n v="100"/>
    <n v="500"/>
    <n v="70"/>
    <n v="1"/>
    <n v="3"/>
    <n v="10.16"/>
    <n v="10.25"/>
    <n v="3"/>
    <n v="10.43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une"/>
  </r>
  <r>
    <n v="10"/>
    <d v="2025-10-07T00:00:00"/>
    <m/>
    <m/>
    <m/>
    <m/>
    <s v="E4_2025-10-07"/>
    <n v="4"/>
    <s v="TU_4"/>
    <x v="9"/>
    <n v="9"/>
    <s v="TU_4_9"/>
    <s v="TU_4_9"/>
    <x v="0"/>
    <s v="TU dissociated cells-14"/>
    <n v="100"/>
    <n v="500"/>
    <m/>
    <n v="2"/>
    <n v="4"/>
    <n v="10.29"/>
    <n v="11.44"/>
    <n v="4"/>
    <n v="11.01"/>
    <n v="2"/>
    <n v="2"/>
    <n v="2"/>
    <n v="2"/>
    <n v="2"/>
    <n v="2"/>
    <n v="2"/>
    <n v="1"/>
    <n v="1"/>
    <n v="1"/>
    <n v="1"/>
    <n v="1"/>
    <n v="1"/>
    <n v="1"/>
    <n v="1"/>
    <n v="1"/>
    <n v="1"/>
    <n v="1"/>
    <n v="1"/>
    <n v="1"/>
    <n v="1"/>
    <n v="1"/>
    <n v="1"/>
    <n v="0"/>
    <s v="No.12_abnormal;Freeze-80@2025-10-10 Day3 ; Zebrafish with a curved tail"/>
    <m/>
  </r>
  <r>
    <n v="10"/>
    <d v="2025-10-07T00:00:00"/>
    <m/>
    <m/>
    <m/>
    <m/>
    <s v="E4_2025-10-07"/>
    <n v="4"/>
    <s v="TU_4"/>
    <x v="9"/>
    <n v="10"/>
    <s v="TU_4_10"/>
    <s v="TU_4_10"/>
    <x v="0"/>
    <s v="TU dissociated cells-14"/>
    <n v="100"/>
    <n v="500"/>
    <m/>
    <n v="3"/>
    <n v="4"/>
    <n v="10.55"/>
    <n v="11.07"/>
    <n v="4"/>
    <n v="11.23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1"/>
    <s v="TU_4_11"/>
    <s v="TU_4_11"/>
    <x v="0"/>
    <s v="TU dissociated cells-14"/>
    <n v="100"/>
    <n v="500"/>
    <m/>
    <n v="4"/>
    <n v="5"/>
    <n v="11.12"/>
    <n v="11.33"/>
    <n v="5"/>
    <n v="11.4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2"/>
    <s v="TU_4_12"/>
    <s v="TU_4_12"/>
    <x v="0"/>
    <s v="TU dissociated cells-14"/>
    <n v="100"/>
    <n v="500"/>
    <m/>
    <n v="5"/>
    <n v="4"/>
    <n v="11.48"/>
    <n v="12.06"/>
    <n v="4"/>
    <n v="12.22"/>
    <n v="3"/>
    <n v="3"/>
    <n v="3"/>
    <n v="3"/>
    <n v="3"/>
    <n v="3"/>
    <n v="3"/>
    <n v="3"/>
    <n v="3"/>
    <n v="3"/>
    <n v="3"/>
    <n v="3"/>
    <n v="3"/>
    <n v="3"/>
    <n v="1"/>
    <n v="1"/>
    <n v="1"/>
    <n v="1"/>
    <n v="1"/>
    <n v="1"/>
    <n v="1"/>
    <n v="1"/>
    <n v="1"/>
    <n v="0"/>
    <s v="No.13_abnormal;Freeze-80@2025-10-10 Day3; Zebrafish with a curved tail"/>
    <m/>
  </r>
  <r>
    <n v="10"/>
    <d v="2025-10-07T00:00:00"/>
    <m/>
    <m/>
    <m/>
    <m/>
    <s v="E4_2025-10-07"/>
    <n v="4"/>
    <s v="TU_4"/>
    <x v="9"/>
    <n v="13"/>
    <s v="TU_4_13"/>
    <s v="TU_4_13"/>
    <x v="0"/>
    <s v="TU dissociated cells-14"/>
    <n v="100"/>
    <n v="500"/>
    <m/>
    <n v="6"/>
    <n v="2"/>
    <n v="12.09"/>
    <n v="12.32"/>
    <n v="2"/>
    <n v="12.48"/>
    <n v="2"/>
    <n v="2"/>
    <n v="2"/>
    <n v="2"/>
    <n v="2"/>
    <n v="2"/>
    <n v="2"/>
    <n v="2"/>
    <n v="1"/>
    <n v="1"/>
    <n v="1"/>
    <n v="0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4"/>
    <s v="TU_4_14"/>
    <s v="TU_4_14"/>
    <x v="0"/>
    <s v="TU dissociated cells-14"/>
    <n v="100"/>
    <n v="500"/>
    <m/>
    <s v="Bee1"/>
    <n v="5"/>
    <s v="-"/>
    <s v="-"/>
    <n v="5"/>
    <n v="10.47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5"/>
    <s v="TU_4_15"/>
    <s v="TU_4_15"/>
    <x v="0"/>
    <s v="TU dissociated cells-14"/>
    <n v="100"/>
    <n v="500"/>
    <m/>
    <s v="Bee2"/>
    <n v="4"/>
    <s v="-"/>
    <s v="-"/>
    <n v="4"/>
    <n v="11.02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6"/>
    <s v="TU_4_16"/>
    <s v="TU_4_16"/>
    <x v="0"/>
    <s v="TU dissociated cells-14"/>
    <n v="100"/>
    <n v="500"/>
    <m/>
    <s v="Bee3"/>
    <n v="4"/>
    <s v="-"/>
    <s v="-"/>
    <n v="4"/>
    <n v="11.2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7"/>
    <s v="TU_4_17"/>
    <s v="TU_4_17"/>
    <x v="0"/>
    <s v="TU dissociated cells-14"/>
    <n v="100"/>
    <n v="500"/>
    <m/>
    <s v="Bee4"/>
    <n v="3"/>
    <s v="-"/>
    <s v="-"/>
    <n v="3"/>
    <n v="11.4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8"/>
    <s v="TU_4_18"/>
    <s v="TU_4_18"/>
    <x v="0"/>
    <s v="TU dissociated cells-14"/>
    <n v="100"/>
    <n v="500"/>
    <m/>
    <s v="Bee5"/>
    <n v="4"/>
    <s v="-"/>
    <s v="-"/>
    <n v="4"/>
    <n v="12.25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19"/>
    <s v="TU_4_19"/>
    <s v="TU_4_19"/>
    <x v="0"/>
    <s v="TU dissociated cells-14"/>
    <n v="100"/>
    <n v="500"/>
    <m/>
    <s v="Bee6"/>
    <n v="4"/>
    <s v="-"/>
    <s v="-"/>
    <n v="4"/>
    <n v="12.25"/>
    <n v="4"/>
    <n v="3"/>
    <n v="3"/>
    <n v="3"/>
    <n v="3"/>
    <n v="3"/>
    <n v="3"/>
    <n v="3"/>
    <n v="3"/>
    <n v="3"/>
    <n v="1"/>
    <n v="0"/>
    <n v="0"/>
    <n v="0"/>
    <n v="0"/>
    <n v="0"/>
    <n v="0"/>
    <n v="0"/>
    <n v="0"/>
    <n v="0"/>
    <n v="0"/>
    <n v="0"/>
    <n v="0"/>
    <m/>
    <m/>
    <m/>
  </r>
  <r>
    <n v="10"/>
    <d v="2025-10-07T00:00:00"/>
    <m/>
    <m/>
    <m/>
    <m/>
    <s v="E4_2025-10-07"/>
    <n v="4"/>
    <s v="TU_4"/>
    <x v="9"/>
    <n v="20"/>
    <s v="TU_4_20"/>
    <s v="TU_4_20"/>
    <x v="0"/>
    <s v="TU dissociated cells-14"/>
    <n v="100"/>
    <n v="500"/>
    <m/>
    <s v="Bee7"/>
    <n v="5"/>
    <s v="-"/>
    <s v="-"/>
    <n v="5"/>
    <n v="12.47"/>
    <n v="5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m/>
    <m/>
    <m/>
  </r>
  <r>
    <n v="11"/>
    <d v="2025-10-10T00:00:00"/>
    <s v="TAB taiwan 20-3-25"/>
    <s v="NBD 5 32 cell = 100 %"/>
    <s v="IVF 5 before 30% epiboly =96 %"/>
    <s v="CSOF 2024-19"/>
    <s v="E5_2025-10-10"/>
    <n v="4"/>
    <s v="NHGRI_4"/>
    <x v="10"/>
    <n v="1"/>
    <s v="NHGRI_4_1"/>
    <s v="NHGRI_4_1"/>
    <x v="1"/>
    <s v="NHGRI dissociated cells-14"/>
    <n v="100"/>
    <n v="500"/>
    <n v="65"/>
    <n v="1"/>
    <n v="5"/>
    <n v="9.58"/>
    <n v="10.19"/>
    <n v="5"/>
    <n v="10.34"/>
    <n v="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s v="Jan"/>
  </r>
  <r>
    <n v="11"/>
    <d v="2025-10-10T00:00:00"/>
    <m/>
    <s v="Day 1 = 97.39 %"/>
    <s v="Day 1 = "/>
    <m/>
    <s v="E5_2025-10-10"/>
    <n v="4"/>
    <s v="NHGRI_4"/>
    <x v="10"/>
    <n v="2"/>
    <s v="NHGRI_4_2"/>
    <s v="NHGRI_4_2"/>
    <x v="1"/>
    <s v="NHGRI dissociated cells-14"/>
    <n v="100"/>
    <n v="500"/>
    <m/>
    <n v="2"/>
    <n v="4"/>
    <n v="10.46"/>
    <n v="10.58"/>
    <n v="4"/>
    <n v="11.3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11"/>
    <d v="2025-10-10T00:00:00"/>
    <m/>
    <m/>
    <s v="IVF 5 after high =84 %"/>
    <m/>
    <s v="E5_2025-10-10"/>
    <n v="4"/>
    <s v="NHGRI_4"/>
    <x v="10"/>
    <n v="3"/>
    <s v="NHGRI_4_3"/>
    <s v="NHGRI_4_3"/>
    <x v="1"/>
    <s v="NHGRI dissociated cells-14"/>
    <n v="100"/>
    <n v="500"/>
    <m/>
    <n v="3"/>
    <n v="4"/>
    <n v="11"/>
    <n v="11.2"/>
    <n v="4"/>
    <n v="11.35"/>
    <n v="3"/>
    <n v="3"/>
    <n v="3"/>
    <n v="3"/>
    <n v="3"/>
    <n v="3"/>
    <n v="3"/>
    <n v="3"/>
    <n v="3"/>
    <n v="3"/>
    <n v="3"/>
    <n v="3"/>
    <n v="3"/>
    <n v="2"/>
    <n v="0"/>
    <n v="0"/>
    <n v="0"/>
    <n v="0"/>
    <n v="0"/>
    <n v="0"/>
    <n v="0"/>
    <n v="0"/>
    <n v="0"/>
    <m/>
    <m/>
    <m/>
  </r>
  <r>
    <n v="11"/>
    <d v="2025-10-10T00:00:00"/>
    <m/>
    <m/>
    <s v="Day 1 ="/>
    <m/>
    <s v="E5_2025-10-10"/>
    <n v="4"/>
    <s v="NHGRI_4"/>
    <x v="10"/>
    <n v="4"/>
    <s v="NHGRI_4_4"/>
    <s v="NHGRI_4_4"/>
    <x v="1"/>
    <s v="NHGRI dissociated cells-14"/>
    <n v="100"/>
    <n v="500"/>
    <m/>
    <n v="4"/>
    <n v="4"/>
    <n v="11.22"/>
    <n v="11.39"/>
    <n v="4"/>
    <n v="11.57"/>
    <n v="2"/>
    <n v="2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m/>
    <m/>
    <m/>
  </r>
  <r>
    <n v="11"/>
    <d v="2025-10-10T00:00:00"/>
    <m/>
    <m/>
    <m/>
    <m/>
    <s v="E5_2025-10-10"/>
    <n v="4"/>
    <s v="NHGRI_4"/>
    <x v="10"/>
    <n v="5"/>
    <s v="NHGRI_4_5"/>
    <s v="NHGRI_4_5"/>
    <x v="1"/>
    <s v="NHGRI dissociated cells-14"/>
    <n v="100"/>
    <n v="500"/>
    <n v="70"/>
    <n v="1"/>
    <n v="4"/>
    <n v="10.14"/>
    <n v="10.3"/>
    <n v="4"/>
    <n v="10.46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s v="June"/>
  </r>
  <r>
    <n v="11"/>
    <d v="2025-10-10T00:00:00"/>
    <m/>
    <m/>
    <m/>
    <m/>
    <s v="E5_2025-10-10"/>
    <n v="4"/>
    <s v="NHGRI_4"/>
    <x v="10"/>
    <n v="6"/>
    <s v="NHGRI_4_6"/>
    <s v="NHGRI_4_6"/>
    <x v="1"/>
    <s v="NHGRI dissociated cells-14"/>
    <n v="100"/>
    <n v="500"/>
    <m/>
    <n v="2"/>
    <n v="3"/>
    <n v="10.33"/>
    <n v="10.47"/>
    <n v="3"/>
    <n v="11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1"/>
    <d v="2025-10-10T00:00:00"/>
    <m/>
    <m/>
    <m/>
    <m/>
    <s v="E5_2025-10-10"/>
    <n v="4"/>
    <s v="NHGRI_4"/>
    <x v="10"/>
    <n v="7"/>
    <s v="NHGRI_4_7"/>
    <s v="NHGRI_4_7"/>
    <x v="1"/>
    <s v="NHGRI dissociated cells-14"/>
    <n v="100"/>
    <n v="500"/>
    <m/>
    <n v="3"/>
    <n v="1"/>
    <n v="10.56"/>
    <n v="11.07"/>
    <n v="1"/>
    <n v="11.24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1"/>
    <d v="2025-10-10T00:00:00"/>
    <m/>
    <m/>
    <m/>
    <m/>
    <s v="E5_2025-10-10"/>
    <n v="4"/>
    <s v="NHGRI_4"/>
    <x v="10"/>
    <n v="8"/>
    <s v="NHGRI_4_8"/>
    <s v="NHGRI_4_8"/>
    <x v="1"/>
    <s v="NHGRI dissociated cells-14"/>
    <n v="100"/>
    <n v="500"/>
    <m/>
    <n v="4"/>
    <n v="4"/>
    <n v="11.19"/>
    <n v="11.36"/>
    <n v="4"/>
    <n v="11.52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1"/>
    <s v="Clone no.14_at systemA "/>
    <m/>
  </r>
  <r>
    <n v="11"/>
    <d v="2025-10-10T00:00:00"/>
    <m/>
    <m/>
    <m/>
    <m/>
    <s v="E5_2025-10-10"/>
    <n v="4"/>
    <s v="NHGRI_4"/>
    <x v="10"/>
    <n v="9"/>
    <s v="NHGRI_4_9"/>
    <s v="NHGRI_4_9"/>
    <x v="1"/>
    <s v="NHGRI dissociated cells-14"/>
    <n v="100"/>
    <n v="500"/>
    <m/>
    <s v="Bee1"/>
    <n v="4"/>
    <s v="-"/>
    <s v="-"/>
    <n v="4"/>
    <n v="10.3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m/>
    <m/>
    <m/>
  </r>
  <r>
    <n v="11"/>
    <d v="2025-10-10T00:00:00"/>
    <m/>
    <m/>
    <m/>
    <m/>
    <s v="E5_2025-10-10"/>
    <n v="4"/>
    <s v="NHGRI_4"/>
    <x v="10"/>
    <n v="10"/>
    <s v="NHGRI_4_10"/>
    <s v="NHGRI_4_10"/>
    <x v="1"/>
    <s v="NHGRI dissociated cells-14"/>
    <n v="100"/>
    <n v="500"/>
    <m/>
    <s v="Bee2"/>
    <n v="6"/>
    <s v="-"/>
    <s v="-"/>
    <n v="6"/>
    <n v="10.57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m/>
    <m/>
    <m/>
  </r>
  <r>
    <n v="11"/>
    <d v="2025-10-10T00:00:00"/>
    <m/>
    <m/>
    <m/>
    <m/>
    <s v="E5_2025-10-10"/>
    <n v="4"/>
    <s v="NHGRI_4"/>
    <x v="10"/>
    <n v="11"/>
    <s v="NHGRI_4_11"/>
    <s v="NHGRI_4_11"/>
    <x v="1"/>
    <s v="NHGRI dissociated cells-14"/>
    <n v="100"/>
    <n v="500"/>
    <m/>
    <s v="Bee3"/>
    <n v="4"/>
    <s v="-"/>
    <s v="-"/>
    <n v="4"/>
    <n v="11.08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11"/>
    <d v="2025-10-10T00:00:00"/>
    <m/>
    <m/>
    <m/>
    <m/>
    <s v="E5_2025-10-10"/>
    <n v="4"/>
    <s v="NHGRI_4"/>
    <x v="10"/>
    <n v="12"/>
    <s v="NHGRI_4_12"/>
    <s v="NHGRI_4_12"/>
    <x v="1"/>
    <s v="NHGRI dissociated cells-14"/>
    <n v="100"/>
    <n v="500"/>
    <m/>
    <s v="Bee4"/>
    <n v="5"/>
    <s v="-"/>
    <s v="-"/>
    <n v="5"/>
    <n v="11.26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m/>
    <m/>
    <m/>
  </r>
  <r>
    <n v="11"/>
    <d v="2025-10-10T00:00:00"/>
    <m/>
    <m/>
    <m/>
    <m/>
    <s v="E5_2025-10-10"/>
    <n v="4"/>
    <s v="NHGRI_4"/>
    <x v="10"/>
    <n v="13"/>
    <s v="NHGRI_4_13"/>
    <s v="NHGRI_4_13"/>
    <x v="1"/>
    <s v="NHGRI dissociated cells-14"/>
    <n v="100"/>
    <n v="500"/>
    <m/>
    <s v="Bee5"/>
    <n v="5"/>
    <s v="-"/>
    <s v="-"/>
    <n v="5"/>
    <n v="11.46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  <r>
    <n v="11"/>
    <d v="2025-10-10T00:00:00"/>
    <m/>
    <m/>
    <m/>
    <m/>
    <s v="E5_2025-10-10"/>
    <n v="4"/>
    <s v="NHGRI_4"/>
    <x v="10"/>
    <n v="14"/>
    <s v="NHGRI_4_14"/>
    <s v="NHGRI_4_14"/>
    <x v="1"/>
    <s v="NHGRI dissociated cells-14"/>
    <n v="100"/>
    <n v="500"/>
    <m/>
    <s v="Bee6"/>
    <n v="6"/>
    <s v="-"/>
    <s v="-"/>
    <n v="6"/>
    <n v="1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2"/>
    <d v="2025-10-14T00:00:00"/>
    <s v="TAB taiwan 20-3-25"/>
    <s v="NBD 6 2 cell = 96.15% "/>
    <s v="IVF 6 before shield = 84 %"/>
    <s v="CSOF 2024-19"/>
    <s v="E6_2025-10-14"/>
    <n v="4"/>
    <s v="AB_4"/>
    <x v="11"/>
    <n v="1"/>
    <s v="AB_4_1"/>
    <s v="AB_4_1"/>
    <x v="2"/>
    <s v="AB dissociated cells-18"/>
    <n v="100"/>
    <n v="500"/>
    <n v="60"/>
    <n v="1"/>
    <n v="1"/>
    <n v="10.029999999999999"/>
    <n v="10.14"/>
    <n v="1"/>
    <n v="10.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12"/>
    <d v="2025-10-14T00:00:00"/>
    <m/>
    <s v="Day 1 =88.46 %"/>
    <s v="Day 1 =76 %"/>
    <m/>
    <s v="E6_2025-10-14"/>
    <n v="4"/>
    <s v="AB_4"/>
    <x v="11"/>
    <n v="2"/>
    <s v="AB_4_2"/>
    <s v="AB_4_2"/>
    <x v="2"/>
    <s v="AB dissociated cells-18"/>
    <n v="100"/>
    <n v="500"/>
    <m/>
    <n v="2"/>
    <n v="4"/>
    <n v="10.15"/>
    <n v="10.34"/>
    <n v="4"/>
    <n v="10.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  <m/>
  </r>
  <r>
    <n v="12"/>
    <d v="2025-10-14T00:00:00"/>
    <m/>
    <m/>
    <s v="IVF 6 after oblong = 80 %"/>
    <m/>
    <s v="E6_2025-10-14"/>
    <n v="4"/>
    <s v="AB_4"/>
    <x v="11"/>
    <n v="3"/>
    <s v="AB_4_3"/>
    <s v="AB_4_3"/>
    <x v="2"/>
    <s v="AB dissociated cells-18"/>
    <n v="100"/>
    <n v="500"/>
    <m/>
    <n v="3"/>
    <n v="3"/>
    <n v="10.38"/>
    <n v="10.49"/>
    <n v="3"/>
    <n v="11.04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n v="0"/>
    <n v="0"/>
    <m/>
    <m/>
    <m/>
  </r>
  <r>
    <n v="12"/>
    <d v="2025-10-14T00:00:00"/>
    <m/>
    <m/>
    <s v="Day 1 =60 %"/>
    <m/>
    <s v="E6_2025-10-14"/>
    <n v="4"/>
    <s v="AB_4"/>
    <x v="11"/>
    <n v="4"/>
    <s v="AB_4_4"/>
    <s v="AB_4_4"/>
    <x v="2"/>
    <s v="AB dissociated cells-18"/>
    <n v="100"/>
    <n v="500"/>
    <m/>
    <n v="4"/>
    <n v="2"/>
    <n v="10.52"/>
    <n v="10.58"/>
    <n v="2"/>
    <n v="11.14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5"/>
    <s v="AB_4_5"/>
    <s v="AB_4_5"/>
    <x v="2"/>
    <s v="AB dissociated cells-18"/>
    <n v="100"/>
    <n v="500"/>
    <m/>
    <n v="5"/>
    <n v="4"/>
    <n v="11"/>
    <n v="11.11"/>
    <n v="4"/>
    <n v="11.26"/>
    <n v="3"/>
    <n v="3"/>
    <n v="3"/>
    <n v="3"/>
    <n v="3"/>
    <n v="3"/>
    <n v="3"/>
    <n v="3"/>
    <n v="3"/>
    <n v="3"/>
    <n v="3"/>
    <n v="2"/>
    <n v="1"/>
    <n v="0"/>
    <n v="0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6"/>
    <s v="AB_4_6"/>
    <s v="AB_4_6"/>
    <x v="2"/>
    <s v="AB dissociated cells-18"/>
    <n v="100"/>
    <n v="500"/>
    <m/>
    <n v="6"/>
    <n v="3"/>
    <n v="11.16"/>
    <n v="11.32"/>
    <n v="3"/>
    <n v="11.44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7"/>
    <s v="AB_4_7"/>
    <s v="AB_4_7"/>
    <x v="2"/>
    <s v="AB dissociated cells-18"/>
    <n v="100"/>
    <n v="500"/>
    <m/>
    <n v="7"/>
    <n v="3"/>
    <n v="11.32"/>
    <n v="11.46"/>
    <n v="3"/>
    <n v="11.5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8"/>
    <s v="AB_4_8"/>
    <s v="AB_4_8"/>
    <x v="2"/>
    <s v="AB dissociated cells-18"/>
    <n v="100"/>
    <n v="500"/>
    <m/>
    <n v="8"/>
    <n v="3"/>
    <n v="11.46"/>
    <n v="12.01"/>
    <n v="3"/>
    <n v="12.15"/>
    <n v="3"/>
    <n v="3"/>
    <n v="3"/>
    <n v="3"/>
    <n v="3"/>
    <n v="3"/>
    <n v="3"/>
    <n v="3"/>
    <n v="3"/>
    <n v="3"/>
    <n v="3"/>
    <n v="3"/>
    <n v="0"/>
    <n v="0"/>
    <n v="0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9"/>
    <s v="AB_4_9"/>
    <s v="AB_4_9"/>
    <x v="2"/>
    <s v="AB dissociated cells-18"/>
    <n v="100"/>
    <n v="500"/>
    <m/>
    <n v="9"/>
    <n v="3"/>
    <n v="12.03"/>
    <n v="12.16"/>
    <n v="3"/>
    <n v="12.31"/>
    <n v="3"/>
    <n v="3"/>
    <n v="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10"/>
    <s v="AB_4_10"/>
    <s v="AB_4_10"/>
    <x v="2"/>
    <s v="AB dissociated cells-18"/>
    <n v="100"/>
    <n v="500"/>
    <n v="70"/>
    <n v="1"/>
    <n v="2"/>
    <n v="9.56"/>
    <n v="10.02"/>
    <n v="2"/>
    <n v="10.17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s v="June"/>
  </r>
  <r>
    <n v="12"/>
    <d v="2025-10-14T00:00:00"/>
    <m/>
    <m/>
    <m/>
    <m/>
    <s v="E6_2025-10-14"/>
    <n v="4"/>
    <s v="AB_4"/>
    <x v="11"/>
    <n v="11"/>
    <s v="AB_4_11"/>
    <s v="AB_4_11"/>
    <x v="2"/>
    <s v="AB dissociated cells-18"/>
    <n v="100"/>
    <n v="500"/>
    <m/>
    <n v="2"/>
    <n v="3"/>
    <n v="10.07"/>
    <n v="10.199999999999999"/>
    <n v="3"/>
    <n v="10.3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12"/>
    <s v="AB_4_12"/>
    <s v="AB_4_12"/>
    <x v="2"/>
    <s v="AB dissociated cells-18"/>
    <n v="100"/>
    <n v="500"/>
    <m/>
    <n v="3"/>
    <n v="4"/>
    <n v="10.26"/>
    <n v="10.37"/>
    <n v="4"/>
    <n v="10.54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13"/>
    <s v="AB_4_13"/>
    <s v="AB_4_13"/>
    <x v="2"/>
    <s v="AB dissociated cells-18"/>
    <n v="100"/>
    <n v="500"/>
    <m/>
    <n v="4"/>
    <n v="2"/>
    <n v="10.42"/>
    <n v="10.54"/>
    <n v="2"/>
    <n v="11.09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14"/>
    <s v="AB_4_14"/>
    <s v="AB_4_14"/>
    <x v="2"/>
    <s v="AB dissociated cells-18"/>
    <n v="100"/>
    <n v="500"/>
    <m/>
    <n v="5"/>
    <n v="3"/>
    <n v="10.55"/>
    <n v="11.09"/>
    <n v="3"/>
    <n v="11.25"/>
    <n v="1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0"/>
    <n v="0"/>
    <n v="0"/>
    <m/>
    <s v="Stop developing at stage 14-somite and degenerate."/>
    <m/>
  </r>
  <r>
    <n v="12"/>
    <d v="2025-10-14T00:00:00"/>
    <m/>
    <m/>
    <m/>
    <m/>
    <s v="E6_2025-10-14"/>
    <n v="4"/>
    <s v="AB_4"/>
    <x v="11"/>
    <n v="15"/>
    <s v="AB_4_15"/>
    <s v="AB_4_15"/>
    <x v="2"/>
    <s v="AB dissociated cells-18"/>
    <n v="100"/>
    <n v="500"/>
    <m/>
    <n v="6"/>
    <n v="3"/>
    <n v="11.14"/>
    <n v="11.27"/>
    <n v="3"/>
    <n v="11.43"/>
    <n v="1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m/>
    <s v="No.15 abnormal ;Freeze-80@2025-10-17 Day3"/>
    <m/>
  </r>
  <r>
    <n v="12"/>
    <d v="2025-10-14T00:00:00"/>
    <m/>
    <m/>
    <m/>
    <m/>
    <s v="E6_2025-10-14"/>
    <n v="4"/>
    <s v="AB_4"/>
    <x v="11"/>
    <n v="16"/>
    <s v="AB_4_16"/>
    <s v="AB_4_16"/>
    <x v="2"/>
    <s v="AB dissociated cells-18"/>
    <n v="100"/>
    <n v="500"/>
    <m/>
    <n v="7"/>
    <n v="2"/>
    <n v="11.3"/>
    <n v="11.39"/>
    <n v="2"/>
    <n v="11.5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m/>
    <s v="No.16 abnormal ;Freeze-80@2025-10-10 Day3"/>
    <m/>
  </r>
  <r>
    <n v="12"/>
    <d v="2025-10-14T00:00:00"/>
    <m/>
    <m/>
    <m/>
    <m/>
    <s v="E6_2025-10-14"/>
    <n v="4"/>
    <s v="AB_4"/>
    <x v="11"/>
    <n v="17"/>
    <s v="AB_4_17"/>
    <s v="AB_4_17"/>
    <x v="2"/>
    <s v="AB dissociated cells-18"/>
    <n v="100"/>
    <n v="500"/>
    <m/>
    <n v="8"/>
    <n v="3"/>
    <n v="11.41"/>
    <n v="11.53"/>
    <n v="3"/>
    <n v="12.08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12"/>
    <d v="2025-10-14T00:00:00"/>
    <m/>
    <m/>
    <m/>
    <m/>
    <s v="E6_2025-10-14"/>
    <n v="4"/>
    <s v="AB_4"/>
    <x v="11"/>
    <n v="18"/>
    <s v="AB_4_18"/>
    <s v="AB_4_18"/>
    <x v="2"/>
    <s v="AB dissociated cells-18"/>
    <n v="100"/>
    <n v="500"/>
    <m/>
    <n v="9"/>
    <n v="4"/>
    <n v="11.56"/>
    <n v="12.09"/>
    <n v="4"/>
    <n v="12.2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3"/>
    <d v="2025-10-16T00:00:00"/>
    <s v="TAB taiwan 20-3-25"/>
    <s v="NBD 5 4 cell =63.63 %"/>
    <s v="IVF 5 before 30% epiboly =62 %"/>
    <s v="CSOF 2024-19"/>
    <s v="E5_2025-10-16"/>
    <n v="5"/>
    <s v="NHGRI_5"/>
    <x v="12"/>
    <n v="1"/>
    <s v="NHGRI_5_1"/>
    <s v="NHGRI_5_1"/>
    <x v="1"/>
    <s v="NHGRI Chunks cells-01"/>
    <n v="100"/>
    <n v="500"/>
    <n v="70"/>
    <n v="1"/>
    <n v="2"/>
    <n v="10.36"/>
    <n v="10.45"/>
    <n v="2"/>
    <n v="11.0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13"/>
    <d v="2025-10-16T00:00:00"/>
    <m/>
    <s v="Day 1 = 59 %"/>
    <s v="Day 1 = 54 %"/>
    <m/>
    <s v="E5_2025-10-16"/>
    <n v="5"/>
    <s v="NHGRI_5"/>
    <x v="12"/>
    <n v="2"/>
    <s v="NHGRI_5_2"/>
    <s v="NHGRI_5_2"/>
    <x v="1"/>
    <s v="NHGRI Chunks cells-01"/>
    <n v="100"/>
    <n v="500"/>
    <m/>
    <n v="2"/>
    <n v="5"/>
    <n v="10.46"/>
    <n v="11.07"/>
    <n v="5"/>
    <n v="11.22"/>
    <n v="4"/>
    <n v="3"/>
    <n v="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  <r>
    <n v="13"/>
    <d v="2025-10-16T00:00:00"/>
    <m/>
    <m/>
    <s v="IVF 5 after oblong = 64 %"/>
    <m/>
    <s v="E5_2025-10-16"/>
    <n v="5"/>
    <s v="NHGRI_5"/>
    <x v="12"/>
    <n v="3"/>
    <s v="NHGRI_5_3"/>
    <s v="NHGRI_5_3"/>
    <x v="1"/>
    <s v="NHGRI Chunks cells-01"/>
    <n v="100"/>
    <n v="500"/>
    <m/>
    <n v="3"/>
    <n v="3"/>
    <n v="11.08"/>
    <n v="11.22"/>
    <n v="3"/>
    <n v="11.38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s v="abnormal freeze at day 5"/>
    <s v="No.17 abnormal ;Freeze-80@2025-10-21 Day 5"/>
    <m/>
  </r>
  <r>
    <n v="13"/>
    <d v="2025-10-16T00:00:00"/>
    <m/>
    <m/>
    <s v="Day 1 = 40 %"/>
    <m/>
    <s v="E5_2025-10-16"/>
    <n v="5"/>
    <s v="NHGRI_5"/>
    <x v="12"/>
    <n v="4"/>
    <s v="NHGRI_5_4"/>
    <s v="NHGRI_5_4"/>
    <x v="1"/>
    <s v="NHGRI Chunks cells-01"/>
    <n v="100"/>
    <n v="500"/>
    <m/>
    <n v="4"/>
    <n v="5"/>
    <n v="11.25"/>
    <n v="11.45"/>
    <n v="5"/>
    <n v="12.0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3"/>
    <d v="2025-10-16T00:00:00"/>
    <m/>
    <m/>
    <m/>
    <m/>
    <s v="E5_2025-10-16"/>
    <n v="5"/>
    <s v="NHGRI_5"/>
    <x v="12"/>
    <n v="5"/>
    <s v="NHGRI_5_5"/>
    <s v="NHGRI_5_5"/>
    <x v="1"/>
    <s v="NHGRI Chunks cells-01"/>
    <n v="100"/>
    <n v="500"/>
    <m/>
    <n v="5"/>
    <n v="5"/>
    <n v="11.47"/>
    <n v="12.08"/>
    <n v="5"/>
    <n v="12.24"/>
    <n v="2"/>
    <n v="2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3"/>
    <d v="2025-10-16T00:00:00"/>
    <m/>
    <m/>
    <m/>
    <m/>
    <s v="E5_2025-10-16"/>
    <n v="5"/>
    <s v="NHGRI_5"/>
    <x v="12"/>
    <n v="6"/>
    <s v="NHGRI_5_6"/>
    <s v="NHGRI_5_6"/>
    <x v="1"/>
    <s v="NHGRI Chunks cells-01"/>
    <n v="100"/>
    <n v="500"/>
    <n v="70"/>
    <n v="1"/>
    <n v="1"/>
    <n v="10.34"/>
    <n v="10.45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une"/>
  </r>
  <r>
    <n v="13"/>
    <d v="2025-10-16T00:00:00"/>
    <m/>
    <m/>
    <m/>
    <m/>
    <s v="E5_2025-10-16"/>
    <n v="5"/>
    <s v="NHGRI_5"/>
    <x v="12"/>
    <n v="7"/>
    <s v="NHGRI_5_7"/>
    <s v="NHGRI_5_7"/>
    <x v="1"/>
    <s v="NHGRI Chunks cells-01"/>
    <n v="100"/>
    <n v="500"/>
    <m/>
    <n v="2"/>
    <n v="3"/>
    <n v="10.47"/>
    <n v="11"/>
    <n v="3"/>
    <n v="11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3"/>
    <d v="2025-10-16T00:00:00"/>
    <m/>
    <m/>
    <m/>
    <m/>
    <s v="E5_2025-10-16"/>
    <n v="5"/>
    <s v="NHGRI_5"/>
    <x v="12"/>
    <n v="8"/>
    <s v="NHGRI_5_8"/>
    <s v="NHGRI_5_8"/>
    <x v="1"/>
    <s v="NHGRI Chunks cells-01"/>
    <n v="100"/>
    <n v="500"/>
    <m/>
    <n v="3"/>
    <n v="3"/>
    <n v="11.03"/>
    <n v="11.12"/>
    <n v="3"/>
    <n v="11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3"/>
    <d v="2025-10-16T00:00:00"/>
    <m/>
    <m/>
    <m/>
    <m/>
    <s v="E5_2025-10-16"/>
    <n v="5"/>
    <s v="NHGRI_5"/>
    <x v="12"/>
    <n v="9"/>
    <s v="NHGRI_5_9"/>
    <s v="NHGRI_5_9"/>
    <x v="1"/>
    <s v="NHGRI Chunks cells-01"/>
    <n v="100"/>
    <n v="500"/>
    <m/>
    <n v="4"/>
    <n v="1"/>
    <n v="11.14"/>
    <n v="11.23"/>
    <n v="1"/>
    <n v="11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3"/>
    <d v="2025-10-16T00:00:00"/>
    <m/>
    <m/>
    <m/>
    <m/>
    <s v="E5_2025-10-16"/>
    <n v="5"/>
    <s v="NHGRI_5"/>
    <x v="12"/>
    <n v="10"/>
    <s v="NHGRI_5_10"/>
    <s v="NHGRI_5_10"/>
    <x v="1"/>
    <s v="NHGRI Chunks cells-01"/>
    <n v="100"/>
    <n v="500"/>
    <m/>
    <n v="5"/>
    <n v="2"/>
    <n v="11.26"/>
    <n v="11.42"/>
    <n v="2"/>
    <n v="11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4"/>
    <d v="2025-10-20T00:00:00"/>
    <s v="TAB taiwan 20-3-25"/>
    <s v="NBD 5 2 cell = 76.92 %"/>
    <m/>
    <s v="CSOF 16-2021"/>
    <s v="E7_2025-10-20"/>
    <n v="6"/>
    <s v="NHGRI_6"/>
    <x v="13"/>
    <n v="1"/>
    <s v="NHGRI_6_1"/>
    <s v="NHGRI_6_1"/>
    <x v="1"/>
    <s v="NHGRI dissociated cells-15"/>
    <n v="100"/>
    <n v="500"/>
    <n v="70"/>
    <n v="1"/>
    <n v="5"/>
    <n v="10.18"/>
    <n v="10.38"/>
    <n v="5"/>
    <n v="10.5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m/>
    <m/>
    <s v="Jan"/>
  </r>
  <r>
    <n v="14"/>
    <d v="2025-10-20T00:00:00"/>
    <m/>
    <s v="Day 1 38.46 %"/>
    <m/>
    <m/>
    <s v="E7_2025-10-21"/>
    <n v="6"/>
    <s v="NHGRI_6"/>
    <x v="13"/>
    <n v="2"/>
    <s v="NHGRI_6_2"/>
    <s v="NHGRI_6_2"/>
    <x v="1"/>
    <s v="NHGRI dissociated cells-15"/>
    <n v="100"/>
    <n v="500"/>
    <m/>
    <n v="2"/>
    <n v="5"/>
    <n v="10.4"/>
    <n v="10.56"/>
    <n v="5"/>
    <n v="11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4"/>
    <d v="2025-10-20T00:00:00"/>
    <m/>
    <s v="NBD 7 2 cell =88.70 %"/>
    <m/>
    <m/>
    <s v="E7_2025-10-22"/>
    <n v="6"/>
    <s v="NHGRI_6"/>
    <x v="13"/>
    <n v="3"/>
    <s v="NHGRI_6_3"/>
    <s v="NHGRI_6_3"/>
    <x v="1"/>
    <s v="NHGRI dissociated cells-15"/>
    <n v="100"/>
    <n v="500"/>
    <m/>
    <n v="3"/>
    <n v="5"/>
    <n v="11.05"/>
    <n v="11.2"/>
    <n v="5"/>
    <n v="11.3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"/>
    <s v="No.18 normal;Hatch day 2 "/>
    <m/>
  </r>
  <r>
    <n v="14"/>
    <d v="2025-10-20T00:00:00"/>
    <m/>
    <s v="Day 1 =87.09 %"/>
    <m/>
    <m/>
    <s v="E5_2025-10-23"/>
    <n v="6"/>
    <s v="NHGRI_6"/>
    <x v="13"/>
    <n v="4"/>
    <s v="NHGRI_6_4"/>
    <s v="NHGRI_6_4"/>
    <x v="1"/>
    <s v="NHGRI dissociated cells-15"/>
    <n v="100"/>
    <n v="500"/>
    <m/>
    <n v="4"/>
    <n v="5"/>
    <n v="11.24"/>
    <n v="11.41"/>
    <n v="5"/>
    <n v="11.56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  <m/>
  </r>
  <r>
    <n v="14"/>
    <d v="2025-10-20T00:00:00"/>
    <m/>
    <m/>
    <m/>
    <m/>
    <s v="E5_2025-10-24"/>
    <n v="6"/>
    <s v="NHGRI_6"/>
    <x v="13"/>
    <n v="5"/>
    <s v="NHGRI_6_5"/>
    <s v="NHGRI_6_5"/>
    <x v="1"/>
    <s v="NHGRI dissociated cells-15"/>
    <n v="100"/>
    <n v="500"/>
    <m/>
    <n v="5"/>
    <n v="5"/>
    <n v="11.43"/>
    <n v="12.02"/>
    <n v="5"/>
    <n v="12.2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m/>
    <m/>
    <m/>
  </r>
  <r>
    <n v="14"/>
    <d v="2025-10-20T00:00:00"/>
    <m/>
    <m/>
    <m/>
    <m/>
    <s v="E5_2025-10-25"/>
    <n v="6"/>
    <s v="NHGRI_6"/>
    <x v="13"/>
    <n v="6"/>
    <s v="NHGRI_6_6"/>
    <s v="NHGRI_6_6"/>
    <x v="1"/>
    <s v="NHGRI dissociated cells-15"/>
    <n v="100"/>
    <n v="500"/>
    <m/>
    <n v="6"/>
    <n v="5"/>
    <n v="12.11"/>
    <n v="12.27"/>
    <n v="5"/>
    <n v="12.43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4"/>
    <d v="2025-10-20T00:00:00"/>
    <m/>
    <m/>
    <m/>
    <m/>
    <s v="E7_2025-10-20"/>
    <n v="6"/>
    <s v="NHGRI_6"/>
    <x v="13"/>
    <n v="7"/>
    <s v="NHGRI_6_7"/>
    <s v="NHGRI_6_7"/>
    <x v="1"/>
    <s v="NHGRI dissociated cells-15"/>
    <n v="100"/>
    <n v="500"/>
    <n v="76"/>
    <n v="1"/>
    <n v="3"/>
    <n v="10.11"/>
    <n v="10.23"/>
    <n v="3"/>
    <n v="10.39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s v="Normal"/>
    <s v="No.19 &amp; No.20 normal;Hatch day 2 "/>
    <s v="June"/>
  </r>
  <r>
    <n v="14"/>
    <d v="2025-10-20T00:00:00"/>
    <m/>
    <m/>
    <m/>
    <m/>
    <s v="E7_2025-10-20"/>
    <n v="6"/>
    <s v="NHGRI_6"/>
    <x v="13"/>
    <n v="8"/>
    <s v="NHGRI_6_8"/>
    <s v="NHGRI_6_8"/>
    <x v="1"/>
    <s v="NHGRI dissociated cells-15"/>
    <n v="100"/>
    <n v="500"/>
    <m/>
    <n v="2"/>
    <n v="2"/>
    <n v="10.25"/>
    <n v="10.31"/>
    <n v="2"/>
    <n v="10.47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14"/>
    <d v="2025-10-20T00:00:00"/>
    <m/>
    <m/>
    <m/>
    <m/>
    <s v="E7_2025-10-20"/>
    <n v="6"/>
    <s v="NHGRI_6"/>
    <x v="13"/>
    <n v="9"/>
    <s v="NHGRI_6_9"/>
    <s v="NHGRI_6_9"/>
    <x v="1"/>
    <s v="NHGRI dissociated cells-15"/>
    <n v="100"/>
    <n v="500"/>
    <m/>
    <n v="3"/>
    <n v="4"/>
    <n v="10.42"/>
    <n v="10.55"/>
    <n v="4"/>
    <n v="11.12"/>
    <n v="3"/>
    <n v="3"/>
    <n v="3"/>
    <n v="3"/>
    <n v="3"/>
    <n v="3"/>
    <n v="3"/>
    <n v="3"/>
    <n v="3"/>
    <n v="3"/>
    <n v="3"/>
    <n v="3"/>
    <n v="3"/>
    <n v="3"/>
    <n v="2"/>
    <n v="2"/>
    <n v="2"/>
    <n v="1"/>
    <n v="0"/>
    <n v="0"/>
    <n v="0"/>
    <n v="0"/>
    <n v="0"/>
    <m/>
    <m/>
    <m/>
  </r>
  <r>
    <n v="14"/>
    <d v="2025-10-20T00:00:00"/>
    <m/>
    <m/>
    <m/>
    <m/>
    <s v="E7_2025-10-20"/>
    <n v="6"/>
    <s v="NHGRI_6"/>
    <x v="13"/>
    <n v="10"/>
    <s v="NHGRI_6_10"/>
    <s v="NHGRI_6_10"/>
    <x v="1"/>
    <s v="NHGRI dissociated cells-15"/>
    <n v="100"/>
    <n v="500"/>
    <m/>
    <n v="4"/>
    <n v="3"/>
    <n v="11.07"/>
    <n v="11.16"/>
    <n v="3"/>
    <n v="11.3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"/>
    <s v="No.21 normal;Hatch day 2 "/>
    <m/>
  </r>
  <r>
    <n v="14"/>
    <d v="2025-10-20T00:00:00"/>
    <m/>
    <m/>
    <m/>
    <m/>
    <s v="E5_2025-10-20"/>
    <n v="6"/>
    <s v="NHGRI_6"/>
    <x v="13"/>
    <n v="11"/>
    <s v="NHGRI_6_11"/>
    <s v="NHGRI_6_11"/>
    <x v="1"/>
    <s v="NHGRI dissociated cells-15"/>
    <n v="100"/>
    <n v="500"/>
    <m/>
    <n v="5"/>
    <n v="3"/>
    <n v="11.27"/>
    <n v="11.39"/>
    <n v="3"/>
    <n v="11.5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"/>
    <s v="No.22 Abnormal,short-tailed zebrafish"/>
    <m/>
  </r>
  <r>
    <n v="14"/>
    <d v="2025-10-20T00:00:00"/>
    <m/>
    <m/>
    <m/>
    <m/>
    <s v="E5_2025-10-20"/>
    <n v="6"/>
    <s v="NHGRI_6"/>
    <x v="13"/>
    <n v="12"/>
    <s v="NHGRI_6_12"/>
    <s v="NHGRI_6_12"/>
    <x v="1"/>
    <s v="NHGRI dissociated cells-15"/>
    <n v="100"/>
    <n v="500"/>
    <m/>
    <n v="6"/>
    <n v="3"/>
    <n v="11.41"/>
    <n v="11.49"/>
    <n v="3"/>
    <n v="12.05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4"/>
    <d v="2025-10-20T00:00:00"/>
    <m/>
    <m/>
    <m/>
    <m/>
    <s v="E5_2025-10-20"/>
    <n v="6"/>
    <s v="NHGRI_6"/>
    <x v="13"/>
    <n v="13"/>
    <s v="NHGRI_6_13"/>
    <s v="NHGRI_6_13"/>
    <x v="1"/>
    <s v="NHGRI dissociated cells-15"/>
    <n v="100"/>
    <n v="500"/>
    <m/>
    <n v="7"/>
    <n v="3"/>
    <n v="11.55"/>
    <n v="12.07"/>
    <n v="3"/>
    <n v="11.2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14"/>
    <d v="2025-10-20T00:00:00"/>
    <m/>
    <m/>
    <m/>
    <m/>
    <s v="E5_2025-10-20"/>
    <n v="6"/>
    <s v="NHGRI_6"/>
    <x v="13"/>
    <n v="14"/>
    <s v="NHGRI_6_14"/>
    <s v="NHGRI_6_14"/>
    <x v="1"/>
    <s v="NHGRI dissociated cells-15"/>
    <n v="100"/>
    <n v="500"/>
    <m/>
    <n v="8"/>
    <n v="3"/>
    <n v="12.1"/>
    <n v="12.25"/>
    <n v="3"/>
    <n v="12.4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14"/>
    <d v="2025-10-20T00:00:00"/>
    <m/>
    <m/>
    <m/>
    <m/>
    <s v="E5_2025-10-20"/>
    <n v="6"/>
    <s v="NHGRI_6"/>
    <x v="13"/>
    <n v="15"/>
    <s v="NHGRI_6_15"/>
    <s v="NHGRI_6_15"/>
    <x v="1"/>
    <s v="NHGRI dissociated cells-15"/>
    <n v="100"/>
    <n v="500"/>
    <m/>
    <n v="9"/>
    <n v="2"/>
    <n v="12.32"/>
    <n v="12.38"/>
    <n v="2"/>
    <n v="12.5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m/>
    <s v="zebrafish embryo arrested at the pharyngula stage"/>
    <m/>
  </r>
  <r>
    <n v="14"/>
    <d v="2025-10-20T00:00:00"/>
    <m/>
    <m/>
    <m/>
    <m/>
    <m/>
    <n v="6"/>
    <s v="NHGRI_6"/>
    <x v="13"/>
    <n v="16"/>
    <s v="NHGRI_6_16"/>
    <s v="NHGRI_6_16"/>
    <x v="1"/>
    <s v="NHGRI dissociated cells-15"/>
    <n v="100"/>
    <n v="500"/>
    <m/>
    <s v="Bee1"/>
    <n v="5"/>
    <s v="-"/>
    <s v="-"/>
    <n v="5"/>
    <n v="10.46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s v="Normal"/>
    <s v="No.23 normal ;Hatch day 2 "/>
    <m/>
  </r>
  <r>
    <n v="14"/>
    <d v="2025-10-20T00:00:00"/>
    <m/>
    <m/>
    <m/>
    <m/>
    <m/>
    <n v="6"/>
    <s v="NHGRI_6"/>
    <x v="13"/>
    <n v="17"/>
    <s v="NHGRI_6_17"/>
    <s v="NHGRI_6_17"/>
    <x v="1"/>
    <s v="NHGRI dissociated cells-15"/>
    <n v="100"/>
    <n v="500"/>
    <m/>
    <s v="Bee2"/>
    <n v="4"/>
    <s v="-"/>
    <s v="-"/>
    <n v="4"/>
    <n v="11.13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0"/>
    <n v="0"/>
    <n v="0"/>
    <n v="0"/>
    <m/>
    <m/>
    <m/>
  </r>
  <r>
    <n v="14"/>
    <d v="2025-10-20T00:00:00"/>
    <m/>
    <m/>
    <m/>
    <m/>
    <m/>
    <n v="6"/>
    <s v="NHGRI_6"/>
    <x v="13"/>
    <n v="18"/>
    <s v="NHGRI_6_18"/>
    <s v="NHGRI_6_18"/>
    <x v="1"/>
    <s v="NHGRI dissociated cells-15"/>
    <n v="100"/>
    <n v="500"/>
    <m/>
    <s v="Bee3"/>
    <n v="5"/>
    <s v="-"/>
    <s v="-"/>
    <n v="5"/>
    <n v="11.34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4"/>
    <d v="2025-10-20T00:00:00"/>
    <m/>
    <m/>
    <m/>
    <m/>
    <m/>
    <n v="6"/>
    <s v="NHGRI_6"/>
    <x v="13"/>
    <n v="19"/>
    <s v="NHGRI_6_19"/>
    <s v="NHGRI_6_19"/>
    <x v="1"/>
    <s v="NHGRI dissociated cells-15"/>
    <n v="100"/>
    <n v="500"/>
    <m/>
    <s v="Bee4"/>
    <n v="5"/>
    <s v="-"/>
    <s v="-"/>
    <n v="5"/>
    <n v="11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4"/>
    <d v="2025-10-20T00:00:00"/>
    <m/>
    <m/>
    <m/>
    <m/>
    <m/>
    <n v="6"/>
    <s v="NHGRI_6"/>
    <x v="13"/>
    <n v="20"/>
    <s v="NHGRI_6_20"/>
    <s v="NHGRI_6_20"/>
    <x v="1"/>
    <s v="NHGRI dissociated cells-15"/>
    <n v="100"/>
    <n v="500"/>
    <m/>
    <s v="Bee5"/>
    <n v="3"/>
    <s v="-"/>
    <s v="-"/>
    <n v="3"/>
    <n v="12.19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4"/>
    <d v="2025-10-20T00:00:00"/>
    <m/>
    <m/>
    <m/>
    <m/>
    <m/>
    <n v="6"/>
    <s v="NHGRI_6"/>
    <x v="13"/>
    <n v="21"/>
    <s v="NHGRI_6_21"/>
    <s v="NHGRI_6_21"/>
    <x v="1"/>
    <s v="NHGRI dissociated cells-15"/>
    <n v="100"/>
    <n v="500"/>
    <m/>
    <s v="Bee6"/>
    <n v="5"/>
    <s v="-"/>
    <s v="-"/>
    <n v="5"/>
    <n v="12.3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4"/>
    <d v="2025-10-20T00:00:00"/>
    <m/>
    <m/>
    <m/>
    <m/>
    <m/>
    <n v="6"/>
    <s v="NHGRI_6"/>
    <x v="13"/>
    <n v="22"/>
    <s v="NHGRI_6_22"/>
    <s v="NHGRI_6_22"/>
    <x v="1"/>
    <s v="NHGRI dissociated cells-15"/>
    <n v="100"/>
    <n v="500"/>
    <m/>
    <s v="Bee7"/>
    <n v="4"/>
    <s v="-"/>
    <s v="-"/>
    <n v="4"/>
    <n v="12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s v="TAB Taiwan 20-3-2025"/>
    <s v="NBD 2 4 cell =96.49 %"/>
    <m/>
    <s v="CSOF 16-2021"/>
    <s v="E2_2025-10-22"/>
    <n v="5"/>
    <s v="AB_5"/>
    <x v="14"/>
    <n v="1"/>
    <s v="AB_5_1"/>
    <s v="AB_5_1"/>
    <x v="2"/>
    <s v="AB dissociated cells-19"/>
    <n v="100"/>
    <n v="500"/>
    <n v="100"/>
    <n v="1"/>
    <n v="3"/>
    <n v="10.25"/>
    <n v="10.34"/>
    <n v="3"/>
    <n v="10.5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"/>
    <s v="No.24 normal"/>
    <s v="June"/>
  </r>
  <r>
    <n v="15"/>
    <d v="2025-10-22T00:00:00"/>
    <m/>
    <s v="Day 1 = 91.22 %"/>
    <m/>
    <m/>
    <s v="E2_2025-10-22"/>
    <n v="5"/>
    <s v="AB_5"/>
    <x v="14"/>
    <n v="2"/>
    <s v="AB_5_2"/>
    <s v="AB_5_2"/>
    <x v="2"/>
    <s v="AB dissociated cells-19"/>
    <n v="100"/>
    <n v="500"/>
    <n v="100"/>
    <n v="2"/>
    <n v="3"/>
    <n v="10.36"/>
    <n v="10.46"/>
    <n v="3"/>
    <n v="11.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3"/>
    <s v="AB_5_3"/>
    <s v="AB_5_3"/>
    <x v="2"/>
    <s v="AB dissociated cells-19"/>
    <n v="100"/>
    <n v="500"/>
    <n v="80"/>
    <n v="3"/>
    <n v="3"/>
    <n v="10.5"/>
    <n v="10.59"/>
    <n v="3"/>
    <n v="11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4"/>
    <s v="AB_5_4"/>
    <s v="AB_5_4"/>
    <x v="2"/>
    <s v="AB dissociated cells-19"/>
    <n v="100"/>
    <n v="500"/>
    <n v="80"/>
    <n v="4"/>
    <n v="3"/>
    <n v="11.08"/>
    <n v="11.19"/>
    <n v="3"/>
    <n v="11.34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5"/>
    <s v="AB_5_5"/>
    <s v="AB_5_5"/>
    <x v="2"/>
    <s v="AB dissociated cells-19"/>
    <n v="100"/>
    <n v="500"/>
    <n v="80"/>
    <n v="5"/>
    <n v="1"/>
    <n v="11.22"/>
    <n v="11.25"/>
    <n v="1"/>
    <n v="1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6"/>
    <s v="AB_5_6"/>
    <s v="AB_5_6"/>
    <x v="2"/>
    <s v="AB dissociated cells-19"/>
    <n v="100"/>
    <n v="500"/>
    <n v="80"/>
    <n v="6"/>
    <n v="3"/>
    <n v="11.29"/>
    <n v="11.4"/>
    <n v="3"/>
    <n v="11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7"/>
    <s v="AB_5_7"/>
    <s v="AB_5_7"/>
    <x v="2"/>
    <s v="AB dissociated cells-19"/>
    <n v="100"/>
    <n v="500"/>
    <n v="80"/>
    <n v="7"/>
    <n v="3"/>
    <n v="11.46"/>
    <n v="11.56"/>
    <n v="3"/>
    <n v="1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8"/>
    <s v="AB_5_8"/>
    <s v="AB_5_8"/>
    <x v="2"/>
    <s v="AB dissociated cells-19"/>
    <n v="100"/>
    <n v="500"/>
    <n v="80"/>
    <n v="8"/>
    <n v="2"/>
    <n v="11.59"/>
    <n v="12.08"/>
    <n v="2"/>
    <n v="12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9"/>
    <s v="AB_5_9"/>
    <s v="AB_5_9"/>
    <x v="2"/>
    <s v="AB dissociated cells-19"/>
    <n v="100"/>
    <n v="500"/>
    <n v="80"/>
    <n v="9"/>
    <n v="3"/>
    <n v="12.08"/>
    <n v="12.19"/>
    <n v="3"/>
    <n v="12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10"/>
    <s v="AB_5_10"/>
    <s v="AB_5_10"/>
    <x v="2"/>
    <s v="AB dissociated cells-19"/>
    <n v="100"/>
    <n v="500"/>
    <m/>
    <s v="Bee_1"/>
    <n v="4"/>
    <s v="-"/>
    <s v="-"/>
    <n v="4"/>
    <n v="11.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11"/>
    <s v="AB_5_11"/>
    <s v="AB_5_11"/>
    <x v="2"/>
    <s v="AB dissociated cells-19"/>
    <n v="100"/>
    <n v="500"/>
    <m/>
    <s v="Bee_2"/>
    <n v="3"/>
    <s v="-"/>
    <s v="-"/>
    <n v="3"/>
    <n v="11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12"/>
    <s v="AB_5_12"/>
    <s v="AB_5_12"/>
    <x v="2"/>
    <s v="AB dissociated cells-19"/>
    <n v="100"/>
    <n v="500"/>
    <m/>
    <s v="Bee_3"/>
    <n v="3"/>
    <s v="-"/>
    <s v="-"/>
    <n v="3"/>
    <n v="11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13"/>
    <s v="AB_5_13"/>
    <s v="AB_5_13"/>
    <x v="2"/>
    <s v="AB dissociated cells-19"/>
    <n v="100"/>
    <n v="500"/>
    <m/>
    <s v="Bee_4"/>
    <n v="3"/>
    <s v="-"/>
    <s v="-"/>
    <n v="3"/>
    <n v="11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14"/>
    <s v="AB_5_14"/>
    <s v="AB_5_14"/>
    <x v="2"/>
    <s v="AB dissociated cells-19"/>
    <n v="100"/>
    <n v="500"/>
    <m/>
    <s v="Bee_5"/>
    <n v="3"/>
    <s v="-"/>
    <s v="-"/>
    <n v="3"/>
    <n v="1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15"/>
    <s v="AB_5_15"/>
    <s v="AB_5_15"/>
    <x v="2"/>
    <s v="AB dissociated cells-19"/>
    <n v="100"/>
    <n v="500"/>
    <m/>
    <s v="Bee_6"/>
    <n v="3"/>
    <s v="-"/>
    <s v="-"/>
    <n v="3"/>
    <n v="1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5"/>
    <d v="2025-10-22T00:00:00"/>
    <m/>
    <m/>
    <m/>
    <m/>
    <s v="E2_2025-10-22"/>
    <n v="5"/>
    <s v="AB_5"/>
    <x v="14"/>
    <n v="16"/>
    <s v="AB_5_16"/>
    <s v="AB_5_16"/>
    <x v="2"/>
    <s v="AB dissociated cells-19"/>
    <n v="100"/>
    <n v="500"/>
    <m/>
    <s v="Bee_7"/>
    <n v="3"/>
    <s v="-"/>
    <s v="-"/>
    <n v="3"/>
    <n v="12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s v="TAB Taiwan 20-3-2025"/>
    <s v="NBD 2 2 cell = 90 %"/>
    <m/>
    <s v="CSOF 19-2024"/>
    <s v="E2_2025-10-24"/>
    <n v="6"/>
    <s v="AB_6"/>
    <x v="15"/>
    <n v="1"/>
    <s v="AB_6_1"/>
    <s v="AB_6_1"/>
    <x v="2"/>
    <s v="AB Chunks cells-02"/>
    <n v="100"/>
    <n v="500"/>
    <n v="60"/>
    <n v="1"/>
    <n v="5"/>
    <n v="9.59"/>
    <n v="10.119999999999999"/>
    <n v="5"/>
    <n v="10.2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s v="Jan"/>
  </r>
  <r>
    <n v="16"/>
    <d v="2025-10-24T00:00:00"/>
    <m/>
    <s v="Day 1 =90 %"/>
    <m/>
    <m/>
    <s v="E2_2025-10-24"/>
    <n v="6"/>
    <s v="AB_6"/>
    <x v="15"/>
    <n v="2"/>
    <s v="AB_6_2"/>
    <s v="AB_6_2"/>
    <x v="2"/>
    <s v="AB Chunks cells-02"/>
    <n v="100"/>
    <n v="500"/>
    <m/>
    <n v="2"/>
    <n v="2"/>
    <n v="10.16"/>
    <n v="10.3"/>
    <n v="2"/>
    <n v="10.45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3"/>
    <s v="AB_6_3"/>
    <s v="AB_6_3"/>
    <x v="2"/>
    <s v="AB Chunks cells-02"/>
    <n v="100"/>
    <n v="500"/>
    <m/>
    <n v="3"/>
    <n v="3"/>
    <n v="10.3"/>
    <n v="10.5"/>
    <n v="3"/>
    <n v="11.04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4"/>
    <s v="AB_6_4"/>
    <s v="AB_6_4"/>
    <x v="2"/>
    <s v="AB Chunks cells-02"/>
    <n v="100"/>
    <n v="500"/>
    <m/>
    <n v="4"/>
    <n v="4"/>
    <n v="10.51"/>
    <n v="11.05"/>
    <n v="4"/>
    <n v="11.23"/>
    <n v="3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5"/>
    <s v="AB_6_5"/>
    <s v="AB_6_5"/>
    <x v="2"/>
    <s v="AB Chunks cells-02"/>
    <n v="100"/>
    <n v="500"/>
    <m/>
    <n v="5"/>
    <n v="4"/>
    <n v="11.07"/>
    <n v="11.19"/>
    <n v="4"/>
    <n v="11.3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6"/>
    <s v="AB_6_6"/>
    <s v="AB_6_6"/>
    <x v="2"/>
    <s v="AB Chunks cells-02"/>
    <n v="100"/>
    <n v="500"/>
    <m/>
    <n v="6"/>
    <n v="3"/>
    <n v="11.23"/>
    <n v="11.36"/>
    <n v="3"/>
    <n v="11.54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7"/>
    <s v="AB_6_7"/>
    <s v="AB_6_7"/>
    <x v="2"/>
    <s v="AB Chunks cells-02"/>
    <n v="100"/>
    <n v="500"/>
    <m/>
    <n v="7"/>
    <n v="3"/>
    <s v="na"/>
    <n v="11.46"/>
    <n v="3"/>
    <n v="1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8"/>
    <s v="AB_6_8"/>
    <s v="AB_6_8"/>
    <x v="2"/>
    <s v="AB Chunks cells-02"/>
    <n v="100"/>
    <n v="500"/>
    <m/>
    <n v="8"/>
    <n v="4"/>
    <n v="11.47"/>
    <n v="12.01"/>
    <n v="4"/>
    <n v="12.17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9"/>
    <s v="AB_6_9"/>
    <s v="AB_6_9"/>
    <x v="2"/>
    <s v="AB Chunks cells-02"/>
    <n v="100"/>
    <n v="500"/>
    <m/>
    <n v="9"/>
    <n v="4"/>
    <n v="12.02"/>
    <n v="12.15"/>
    <n v="4"/>
    <n v="12.3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0"/>
    <s v="AB_6_10"/>
    <s v="AB_6_10"/>
    <x v="2"/>
    <s v="AB Chunks cells-02"/>
    <n v="100"/>
    <n v="500"/>
    <n v="70"/>
    <s v="June_1"/>
    <n v="4"/>
    <n v="9.58"/>
    <n v="10.08"/>
    <n v="4"/>
    <n v="10.25"/>
    <n v="3"/>
    <n v="3"/>
    <n v="3"/>
    <n v="3"/>
    <n v="3"/>
    <n v="3"/>
    <n v="3"/>
    <n v="3"/>
    <n v="3"/>
    <n v="3"/>
    <n v="3"/>
    <n v="3"/>
    <n v="3"/>
    <n v="3"/>
    <n v="0"/>
    <n v="0"/>
    <n v="0"/>
    <n v="0"/>
    <n v="0"/>
    <n v="0"/>
    <n v="0"/>
    <n v="0"/>
    <n v="0"/>
    <m/>
    <m/>
    <s v="June"/>
  </r>
  <r>
    <n v="16"/>
    <d v="2025-10-24T00:00:00"/>
    <m/>
    <m/>
    <m/>
    <m/>
    <s v="E2_2025-10-24"/>
    <n v="6"/>
    <s v="AB_6"/>
    <x v="15"/>
    <n v="11"/>
    <s v="AB_6_11"/>
    <s v="AB_6_11"/>
    <x v="2"/>
    <s v="AB Chunks cells-02"/>
    <n v="100"/>
    <n v="500"/>
    <m/>
    <s v="June_2"/>
    <n v="4"/>
    <n v="10.11"/>
    <n v="10.23"/>
    <n v="4"/>
    <n v="10.38"/>
    <n v="3"/>
    <n v="3"/>
    <n v="3"/>
    <n v="3"/>
    <n v="3"/>
    <n v="3"/>
    <n v="3"/>
    <n v="3"/>
    <n v="3"/>
    <n v="3"/>
    <n v="3"/>
    <n v="3"/>
    <n v="3"/>
    <n v="1"/>
    <n v="1"/>
    <n v="1"/>
    <n v="1"/>
    <n v="1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2"/>
    <s v="AB_6_12"/>
    <s v="AB_6_12"/>
    <x v="2"/>
    <s v="AB Chunks cells-02"/>
    <n v="100"/>
    <n v="500"/>
    <m/>
    <s v="June_3"/>
    <n v="4"/>
    <n v="10.24"/>
    <n v="10.35"/>
    <n v="4"/>
    <n v="10.5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3"/>
    <s v="AB_6_13"/>
    <s v="AB_6_13"/>
    <x v="2"/>
    <s v="AB Chunks cells-02"/>
    <n v="100"/>
    <n v="500"/>
    <m/>
    <s v="June_4"/>
    <n v="3"/>
    <n v="10.37"/>
    <n v="10.51"/>
    <n v="3"/>
    <n v="11.07"/>
    <n v="2"/>
    <n v="2"/>
    <n v="2"/>
    <n v="2"/>
    <n v="2"/>
    <n v="2"/>
    <n v="2"/>
    <n v="2"/>
    <n v="2"/>
    <n v="2"/>
    <n v="2"/>
    <n v="2"/>
    <n v="2"/>
    <n v="1"/>
    <n v="1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4"/>
    <s v="AB_6_14"/>
    <s v="AB_6_14"/>
    <x v="2"/>
    <s v="AB Chunks cells-02"/>
    <n v="100"/>
    <n v="500"/>
    <m/>
    <s v="June_5"/>
    <n v="2"/>
    <n v="10.54"/>
    <n v="11.03"/>
    <n v="2"/>
    <n v="11.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5"/>
    <s v="AB_6_15"/>
    <s v="AB_6_15"/>
    <x v="2"/>
    <s v="AB Chunks cells-02"/>
    <n v="100"/>
    <n v="500"/>
    <m/>
    <s v="June_6"/>
    <n v="4"/>
    <n v="11.05"/>
    <n v="11.19"/>
    <n v="4"/>
    <n v="11.33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1"/>
    <n v="0"/>
    <n v="0"/>
    <n v="0"/>
    <m/>
    <m/>
    <m/>
  </r>
  <r>
    <n v="16"/>
    <d v="2025-10-24T00:00:00"/>
    <m/>
    <m/>
    <m/>
    <m/>
    <s v="E2_2025-10-24"/>
    <n v="6"/>
    <s v="AB_6"/>
    <x v="15"/>
    <n v="16"/>
    <s v="AB_6_16"/>
    <s v="AB_6_16"/>
    <x v="2"/>
    <s v="AB Chunks cells-02"/>
    <n v="100"/>
    <n v="500"/>
    <m/>
    <s v="June_7"/>
    <n v="2"/>
    <n v="11.24"/>
    <n v="11.34"/>
    <n v="2"/>
    <n v="11.53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7"/>
    <s v="AB_6_17"/>
    <s v="AB_6_17"/>
    <x v="2"/>
    <s v="AB Chunks cells-02"/>
    <n v="100"/>
    <n v="500"/>
    <m/>
    <s v="June_8"/>
    <n v="2"/>
    <n v="11.39"/>
    <n v="11.48"/>
    <n v="2"/>
    <n v="12.06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8"/>
    <s v="AB_6_18"/>
    <s v="AB_6_18"/>
    <x v="2"/>
    <s v="AB Chunks cells-02"/>
    <n v="100"/>
    <n v="500"/>
    <m/>
    <s v="June_9"/>
    <n v="3"/>
    <n v="11.5"/>
    <n v="12.02"/>
    <n v="3"/>
    <n v="12.19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6"/>
    <d v="2025-10-24T00:00:00"/>
    <m/>
    <m/>
    <m/>
    <m/>
    <s v="E2_2025-10-24"/>
    <n v="6"/>
    <s v="AB_6"/>
    <x v="15"/>
    <n v="19"/>
    <s v="AB_6_19"/>
    <s v="AB_6_19"/>
    <x v="2"/>
    <s v="AB Chunks cells-02"/>
    <n v="100"/>
    <n v="500"/>
    <m/>
    <s v="June_10"/>
    <n v="1"/>
    <n v="12.04"/>
    <n v="12.15"/>
    <n v="1"/>
    <n v="12.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7"/>
    <d v="2025-10-28T00:00:00"/>
    <s v="TAB Taiwan 20-3-2025"/>
    <s v="NBD 3 2 cell = 71.42 %"/>
    <m/>
    <s v="CSOF 16-2021"/>
    <s v="E3_2025-10-28"/>
    <n v="7"/>
    <s v="AB_7"/>
    <x v="16"/>
    <n v="1"/>
    <s v="AB_7_1"/>
    <s v="AB_7_1"/>
    <x v="2"/>
    <s v="AB dissociated cell -20"/>
    <n v="100"/>
    <n v="500"/>
    <n v="70"/>
    <s v="Jan_1"/>
    <n v="3"/>
    <n v="10.45"/>
    <n v="11.03"/>
    <n v="3"/>
    <n v="11.16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s v="Jan"/>
  </r>
  <r>
    <n v="17"/>
    <d v="2025-10-28T00:00:00"/>
    <m/>
    <s v="Day 3 = 57.14 %"/>
    <m/>
    <m/>
    <s v="E3_2025-10-28"/>
    <n v="7"/>
    <s v="AB_7"/>
    <x v="16"/>
    <n v="2"/>
    <s v="AB_7_2"/>
    <s v="AB_7_2"/>
    <x v="2"/>
    <s v="AB dissociated cell -20"/>
    <n v="100"/>
    <n v="500"/>
    <m/>
    <s v="Jan_2"/>
    <n v="3"/>
    <n v="11.05"/>
    <n v="11.17"/>
    <n v="3"/>
    <n v="11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3"/>
    <s v="AB_7_3"/>
    <s v="AB_7_3"/>
    <x v="2"/>
    <s v="AB dissociated cell -20"/>
    <n v="100"/>
    <n v="500"/>
    <m/>
    <s v="Jan_3"/>
    <n v="4"/>
    <n v="11.2"/>
    <n v="11.33"/>
    <n v="4"/>
    <n v="11.48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4"/>
    <s v="AB_7_4"/>
    <s v="AB_7_4"/>
    <x v="2"/>
    <s v="AB dissociated cell -20"/>
    <n v="100"/>
    <n v="500"/>
    <m/>
    <s v="Jan_4"/>
    <n v="3"/>
    <n v="11.37"/>
    <n v="11.51"/>
    <n v="3"/>
    <n v="12.04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5"/>
    <s v="AB_7_5"/>
    <s v="AB_7_5"/>
    <x v="2"/>
    <s v="AB dissociated cell -20"/>
    <n v="100"/>
    <n v="500"/>
    <m/>
    <s v="Jan_5"/>
    <n v="3"/>
    <n v="11.52"/>
    <n v="12.01"/>
    <n v="3"/>
    <n v="12.16"/>
    <n v="2"/>
    <n v="2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6"/>
    <s v="AB_7_6"/>
    <s v="AB_7_6"/>
    <x v="2"/>
    <s v="AB dissociated cell -20"/>
    <n v="100"/>
    <n v="500"/>
    <m/>
    <s v="Jan_6"/>
    <n v="2"/>
    <n v="12.01"/>
    <n v="12.11"/>
    <n v="2"/>
    <n v="12.3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7"/>
    <s v="AB_7_7"/>
    <s v="AB_7_7"/>
    <x v="2"/>
    <s v="AB dissociated cell -20"/>
    <n v="100"/>
    <n v="500"/>
    <m/>
    <s v="Jan_7"/>
    <n v="4"/>
    <n v="12.12"/>
    <n v="12.25"/>
    <n v="4"/>
    <n v="12.39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8"/>
    <s v="AB_7_8"/>
    <s v="AB_7_8"/>
    <x v="2"/>
    <s v="AB dissociated cell -20"/>
    <n v="100"/>
    <n v="500"/>
    <m/>
    <s v="Jan_8"/>
    <n v="4"/>
    <n v="12.27"/>
    <n v="12.43"/>
    <n v="4"/>
    <n v="12.57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9"/>
    <s v="AB_7_9"/>
    <s v="AB_7_9"/>
    <x v="2"/>
    <s v="AB dissociated cell -20"/>
    <n v="100"/>
    <n v="500"/>
    <m/>
    <s v="Jan_9"/>
    <n v="3"/>
    <n v="12.45"/>
    <n v="12.57"/>
    <n v="3"/>
    <n v="13.13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0"/>
    <s v="AB_7_10"/>
    <s v="AB_7_10"/>
    <x v="2"/>
    <s v="AB dissociated cell -20"/>
    <n v="100"/>
    <n v="500"/>
    <m/>
    <s v="Jan_10"/>
    <n v="4"/>
    <n v="12.58"/>
    <n v="13.11"/>
    <n v="4"/>
    <n v="13.27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1"/>
    <s v="AB_7_11"/>
    <s v="AB_7_11"/>
    <x v="2"/>
    <s v="AB dissociated cells-20"/>
    <n v="100"/>
    <n v="500"/>
    <n v="80"/>
    <s v="June_1"/>
    <n v="1"/>
    <n v="10.44"/>
    <n v="10.54"/>
    <n v="1"/>
    <s v="11.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une"/>
  </r>
  <r>
    <n v="17"/>
    <d v="2025-10-28T00:00:00"/>
    <m/>
    <m/>
    <m/>
    <m/>
    <s v="E3_2025-10-28"/>
    <n v="7"/>
    <s v="AB_7"/>
    <x v="16"/>
    <n v="12"/>
    <s v="AB_7_12"/>
    <s v="AB_7_12"/>
    <x v="2"/>
    <s v="AB dissociated cells-20"/>
    <n v="100"/>
    <n v="500"/>
    <m/>
    <s v="June_2"/>
    <n v="3"/>
    <n v="10.55"/>
    <n v="11.06"/>
    <n v="3"/>
    <n v="11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3"/>
    <s v="AB_7_13"/>
    <s v="AB_7_13"/>
    <x v="2"/>
    <s v="AB dissociated cells-20"/>
    <n v="100"/>
    <n v="500"/>
    <m/>
    <s v="June_3"/>
    <n v="3"/>
    <n v="11.11"/>
    <n v="11.21"/>
    <n v="3"/>
    <n v="11.37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4"/>
    <s v="AB_7_14"/>
    <s v="AB_7_14"/>
    <x v="2"/>
    <s v="AB dissociated cells-20"/>
    <n v="100"/>
    <n v="500"/>
    <m/>
    <s v="June_4"/>
    <n v="3"/>
    <n v="11.24"/>
    <n v="11.35"/>
    <n v="3"/>
    <n v="11.5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5"/>
    <s v="AB_7_15"/>
    <s v="AB_7_15"/>
    <x v="2"/>
    <s v="AB dissociated cells-20"/>
    <n v="100"/>
    <n v="500"/>
    <m/>
    <s v="June_5"/>
    <n v="3"/>
    <n v="11.4"/>
    <n v="11.51"/>
    <n v="3"/>
    <n v="1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6"/>
    <s v="AB_7_16"/>
    <s v="AB_7_16"/>
    <x v="2"/>
    <s v="AB dissociated cells-20"/>
    <n v="100"/>
    <n v="500"/>
    <m/>
    <s v="June_6"/>
    <n v="2"/>
    <n v="11.53"/>
    <n v="12.03"/>
    <n v="2"/>
    <n v="12.17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7"/>
    <s v="AB_7_17"/>
    <s v="AB_7_17"/>
    <x v="2"/>
    <s v="AB dissociated cells-20"/>
    <n v="100"/>
    <n v="500"/>
    <m/>
    <s v="June_7"/>
    <n v="2"/>
    <n v="12.07"/>
    <n v="12.17"/>
    <n v="2"/>
    <n v="12.32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8"/>
    <s v="AB_7_18"/>
    <s v="AB_7_18"/>
    <x v="2"/>
    <s v="AB dissociated cells-20"/>
    <n v="100"/>
    <n v="500"/>
    <m/>
    <s v="June_8"/>
    <n v="3"/>
    <n v="12.2"/>
    <n v="12.31"/>
    <n v="3"/>
    <n v="12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19"/>
    <s v="AB_7_19"/>
    <s v="AB_7_19"/>
    <x v="2"/>
    <s v="AB dissociated cells-20"/>
    <n v="100"/>
    <n v="500"/>
    <m/>
    <s v="June_9"/>
    <n v="3"/>
    <n v="12.33"/>
    <n v="12.41"/>
    <n v="3"/>
    <n v="12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20"/>
    <s v="AB_7_20"/>
    <s v="AB_7_20"/>
    <x v="2"/>
    <s v="AB dissociated cells-20"/>
    <n v="100"/>
    <n v="500"/>
    <m/>
    <s v="June_10"/>
    <n v="3"/>
    <n v="12.44"/>
    <n v="12.52"/>
    <n v="3"/>
    <n v="13.05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7"/>
    <d v="2025-10-28T00:00:00"/>
    <m/>
    <m/>
    <m/>
    <m/>
    <s v="E3_2025-10-28"/>
    <n v="7"/>
    <s v="AB_7"/>
    <x v="16"/>
    <n v="21"/>
    <s v="AB_7_21"/>
    <s v="AB_7_21"/>
    <x v="2"/>
    <s v="AB dissociated cells-20"/>
    <n v="100"/>
    <n v="500"/>
    <m/>
    <s v="June_11"/>
    <n v="3"/>
    <n v="12.54"/>
    <n v="13.04"/>
    <n v="3"/>
    <n v="12.2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  <m/>
  </r>
  <r>
    <n v="18"/>
    <d v="2025-10-30T00:00:00"/>
    <s v="TAB Taiwan 20-3-2025"/>
    <s v="NBD 3 2 cell= 93.75 %"/>
    <m/>
    <s v="CSOF 19-2024"/>
    <s v="E3_2025-10-30"/>
    <n v="5"/>
    <s v="TU_5"/>
    <x v="17"/>
    <n v="1"/>
    <s v="TU_5_1"/>
    <s v="TU_5_1"/>
    <x v="0"/>
    <s v="TU Chunks cells-01"/>
    <n v="100"/>
    <n v="500"/>
    <n v="70"/>
    <s v="Jan_1"/>
    <n v="5"/>
    <n v="9.59"/>
    <n v="10.19"/>
    <n v="5"/>
    <n v="10.35"/>
    <n v="3"/>
    <n v="3"/>
    <n v="3"/>
    <n v="3"/>
    <n v="3"/>
    <n v="3"/>
    <n v="3"/>
    <n v="3"/>
    <n v="3"/>
    <n v="3"/>
    <n v="3"/>
    <n v="3"/>
    <n v="3"/>
    <n v="0"/>
    <n v="0"/>
    <n v="0"/>
    <n v="0"/>
    <n v="0"/>
    <n v="0"/>
    <n v="0"/>
    <n v="0"/>
    <n v="0"/>
    <n v="0"/>
    <m/>
    <m/>
    <s v="Jan"/>
  </r>
  <r>
    <n v="18"/>
    <d v="2025-10-30T00:00:00"/>
    <m/>
    <s v="Day 1 = 93.75 %"/>
    <m/>
    <m/>
    <s v="E3_2025-10-30"/>
    <n v="5"/>
    <s v="TU_5"/>
    <x v="17"/>
    <n v="2"/>
    <s v="TU_5_2"/>
    <s v="TU_5_2"/>
    <x v="0"/>
    <s v="TU Chunks cells-01"/>
    <n v="100"/>
    <n v="500"/>
    <m/>
    <s v="Jan_2"/>
    <n v="4"/>
    <n v="10.210000000000001"/>
    <n v="10.34"/>
    <n v="4"/>
    <n v="10.4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3"/>
    <s v="TU_5_3"/>
    <s v="TU_5_3"/>
    <x v="0"/>
    <s v="TU Chunks cells-01"/>
    <n v="100"/>
    <n v="500"/>
    <m/>
    <s v="Jan_3"/>
    <n v="4"/>
    <n v="10.47"/>
    <n v="11"/>
    <n v="4"/>
    <n v="11.17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4"/>
    <s v="TU_5_4"/>
    <s v="TU_5_4"/>
    <x v="0"/>
    <s v="TU Chunks cells-01"/>
    <n v="100"/>
    <n v="500"/>
    <m/>
    <s v="Jan_4"/>
    <n v="3"/>
    <n v="11.02"/>
    <n v="11.15"/>
    <n v="3"/>
    <n v="11.2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5"/>
    <s v="TU_5_5"/>
    <s v="TU_5_5"/>
    <x v="0"/>
    <s v="TU Chunks cells-01"/>
    <n v="100"/>
    <n v="500"/>
    <m/>
    <s v="Jan_5"/>
    <n v="3"/>
    <n v="11.24"/>
    <n v="11.33"/>
    <n v="3"/>
    <n v="11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6"/>
    <s v="TU_5_6"/>
    <s v="TU_5_6"/>
    <x v="0"/>
    <s v="TU Chunks cells-01"/>
    <n v="100"/>
    <n v="500"/>
    <m/>
    <s v="Jan_6"/>
    <n v="4"/>
    <n v="11.35"/>
    <n v="11.48"/>
    <n v="4"/>
    <n v="1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7"/>
    <s v="TU_5_7"/>
    <s v="TU_5_7"/>
    <x v="0"/>
    <s v="TU Chunks cells-01"/>
    <n v="100"/>
    <n v="500"/>
    <m/>
    <s v="Jan_7"/>
    <n v="4"/>
    <n v="11.49"/>
    <n v="12.05"/>
    <n v="4"/>
    <n v="12.26"/>
    <n v="3"/>
    <n v="3"/>
    <n v="3"/>
    <n v="3"/>
    <n v="3"/>
    <n v="3"/>
    <n v="3"/>
    <n v="3"/>
    <n v="3"/>
    <n v="3"/>
    <n v="3"/>
    <n v="3"/>
    <n v="3"/>
    <n v="2"/>
    <n v="1"/>
    <n v="1"/>
    <n v="1"/>
    <n v="1"/>
    <n v="1"/>
    <n v="1"/>
    <n v="1"/>
    <n v="1"/>
    <n v="1"/>
    <s v="Normal"/>
    <s v="No.25 normal"/>
    <m/>
  </r>
  <r>
    <n v="18"/>
    <d v="2025-10-30T00:00:00"/>
    <m/>
    <m/>
    <m/>
    <m/>
    <s v="E3_2025-10-30"/>
    <n v="5"/>
    <s v="TU_5"/>
    <x v="17"/>
    <n v="8"/>
    <s v="TU_5_8"/>
    <s v="TU_5_8"/>
    <x v="0"/>
    <s v="TU Chunks cells-01"/>
    <n v="100"/>
    <n v="500"/>
    <m/>
    <s v="Jan_8"/>
    <n v="4"/>
    <n v="12.06"/>
    <n v="12.31"/>
    <n v="4"/>
    <n v="12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9"/>
    <s v="TU_5_9"/>
    <s v="TU_5_9"/>
    <x v="0"/>
    <s v="TU Chunks cells-01"/>
    <n v="100"/>
    <n v="500"/>
    <n v="80"/>
    <s v="June_1"/>
    <n v="3"/>
    <n v="10.01"/>
    <n v="10.11"/>
    <n v="3"/>
    <n v="10.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une"/>
  </r>
  <r>
    <n v="18"/>
    <d v="2025-10-30T00:00:00"/>
    <m/>
    <m/>
    <m/>
    <m/>
    <s v="E3_2025-10-30"/>
    <n v="5"/>
    <s v="TU_5"/>
    <x v="17"/>
    <n v="10"/>
    <s v="TU_5_10"/>
    <s v="TU_5_10"/>
    <x v="0"/>
    <s v="TU Chunks cells-01"/>
    <n v="100"/>
    <n v="500"/>
    <m/>
    <s v="June_2"/>
    <n v="1"/>
    <n v="10.119999999999999"/>
    <n v="10.16"/>
    <n v="1"/>
    <n v="1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1"/>
    <s v="TU_5_11"/>
    <s v="TU_5_11"/>
    <x v="0"/>
    <s v="TU Chunks cells-01"/>
    <n v="100"/>
    <n v="500"/>
    <m/>
    <s v="June_3"/>
    <n v="3"/>
    <n v="10.210000000000001"/>
    <n v="10.35"/>
    <n v="3"/>
    <n v="10.5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2"/>
    <s v="TU_5_12"/>
    <s v="TU_5_12"/>
    <x v="0"/>
    <s v="TU Chunks cells-01"/>
    <n v="100"/>
    <n v="500"/>
    <m/>
    <s v="June_4"/>
    <n v="3"/>
    <n v="10.37"/>
    <n v="10.5"/>
    <n v="3"/>
    <n v="11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3"/>
    <s v="TU_5_13"/>
    <s v="TU_5_13"/>
    <x v="0"/>
    <s v="TU Chunks cells-01"/>
    <n v="100"/>
    <n v="500"/>
    <m/>
    <s v="June_5"/>
    <n v="3"/>
    <n v="10.53"/>
    <n v="11.03"/>
    <n v="3"/>
    <n v="1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4"/>
    <s v="TU_5_14"/>
    <s v="TU_5_14"/>
    <x v="0"/>
    <s v="TU Chunks cells-01"/>
    <n v="100"/>
    <n v="500"/>
    <m/>
    <s v="June_6"/>
    <n v="3"/>
    <n v="11.06"/>
    <n v="11.19"/>
    <n v="3"/>
    <n v="11.3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5"/>
    <s v="TU_5_15"/>
    <s v="TU_5_15"/>
    <x v="0"/>
    <s v="TU Chunks cells-01"/>
    <n v="100"/>
    <n v="500"/>
    <m/>
    <s v="June_7"/>
    <n v="3"/>
    <n v="11.21"/>
    <n v="11.33"/>
    <n v="3"/>
    <n v="11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6"/>
    <s v="TU_5_16"/>
    <s v="TU_5_16"/>
    <x v="0"/>
    <s v="TU Chunks cells-01"/>
    <n v="100"/>
    <n v="500"/>
    <m/>
    <s v="June_8"/>
    <n v="3"/>
    <n v="11.35"/>
    <n v="11.48"/>
    <n v="3"/>
    <n v="12.09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7"/>
    <s v="TU_5_17"/>
    <s v="TU_5_17"/>
    <x v="0"/>
    <s v="TU Chunks cells-01"/>
    <n v="100"/>
    <n v="500"/>
    <m/>
    <s v="June_9"/>
    <n v="3"/>
    <n v="11.5"/>
    <n v="12.01"/>
    <n v="3"/>
    <n v="1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8"/>
    <d v="2025-10-30T00:00:00"/>
    <m/>
    <m/>
    <m/>
    <m/>
    <s v="E3_2025-10-30"/>
    <n v="5"/>
    <s v="TU_5"/>
    <x v="17"/>
    <n v="18"/>
    <s v="TU_5_18"/>
    <s v="TU_5_18"/>
    <x v="0"/>
    <s v="TU Chunks cells-01"/>
    <n v="100"/>
    <n v="500"/>
    <m/>
    <s v="June_10"/>
    <n v="1"/>
    <n v="12.1"/>
    <n v="12.19"/>
    <n v="1"/>
    <n v="12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9"/>
    <d v="2025-10-31T00:00:00"/>
    <s v="TAB Taiwan 20-3-2025"/>
    <s v="NBD 3 2 cell =83.33 %"/>
    <m/>
    <s v="CSOF 19-2024"/>
    <s v="E3_2025-10-31"/>
    <n v="8"/>
    <s v="AB_8"/>
    <x v="18"/>
    <n v="1"/>
    <s v="AB_8_1"/>
    <s v="AB_8_1"/>
    <x v="2"/>
    <s v="AB03 dissociated cell"/>
    <n v="100"/>
    <n v="500"/>
    <n v="70"/>
    <s v="Jan_1"/>
    <n v="4"/>
    <n v="10.3"/>
    <n v="10.47"/>
    <n v="4"/>
    <n v="1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19"/>
    <d v="2025-10-31T00:00:00"/>
    <m/>
    <s v="Day 3 =83.33 %"/>
    <m/>
    <m/>
    <s v="E3_2025-10-31"/>
    <n v="8"/>
    <s v="AB_8"/>
    <x v="18"/>
    <n v="2"/>
    <s v="AB_8_2"/>
    <s v="AB_8_2"/>
    <x v="2"/>
    <s v="AB03 dissociated cell"/>
    <n v="100"/>
    <n v="500"/>
    <m/>
    <s v="Jan_2"/>
    <n v="3"/>
    <n v="11.01"/>
    <n v="11.12"/>
    <n v="3"/>
    <n v="11.27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3"/>
    <s v="AB_8_3"/>
    <s v="AB_8_3"/>
    <x v="2"/>
    <s v="AB03 dissociated cell"/>
    <n v="100"/>
    <n v="500"/>
    <m/>
    <s v="Jan_3"/>
    <n v="4"/>
    <n v="11.12"/>
    <n v="11.26"/>
    <n v="4"/>
    <n v="11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4"/>
    <s v="AB_8_4"/>
    <s v="AB_8_4"/>
    <x v="2"/>
    <s v="AB03 dissociated cell"/>
    <n v="100"/>
    <n v="500"/>
    <m/>
    <s v="Jan_4"/>
    <n v="2"/>
    <n v="11.27"/>
    <n v="11.39"/>
    <n v="2"/>
    <n v="11.53"/>
    <n v="2"/>
    <n v="2"/>
    <n v="2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5"/>
    <s v="AB_8_5"/>
    <s v="AB_8_5"/>
    <x v="2"/>
    <s v="AB03 dissociated cell"/>
    <n v="100"/>
    <n v="500"/>
    <m/>
    <s v="Jan_5"/>
    <n v="4"/>
    <n v="11.4"/>
    <n v="11.54"/>
    <n v="4"/>
    <n v="12.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6"/>
    <s v="AB_8_6"/>
    <s v="AB_8_6"/>
    <x v="2"/>
    <s v="AB03 dissociated cell"/>
    <n v="100"/>
    <n v="500"/>
    <m/>
    <s v="Jan_6"/>
    <n v="4"/>
    <n v="11.55"/>
    <n v="12.1"/>
    <n v="4"/>
    <n v="12.26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7"/>
    <s v="AB_8_7"/>
    <s v="AB_8_7"/>
    <x v="2"/>
    <s v="AB Chunks cells-03"/>
    <n v="100"/>
    <n v="500"/>
    <n v="80"/>
    <s v="June_1"/>
    <n v="3"/>
    <n v="10.32"/>
    <n v="10.42"/>
    <n v="3"/>
    <n v="1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m/>
    <m/>
    <s v="June"/>
  </r>
  <r>
    <n v="19"/>
    <d v="2025-10-31T00:00:00"/>
    <m/>
    <m/>
    <m/>
    <m/>
    <s v="E3_2025-10-31"/>
    <n v="8"/>
    <s v="AB_8"/>
    <x v="18"/>
    <n v="8"/>
    <s v="AB_8_8"/>
    <s v="AB_8_8"/>
    <x v="2"/>
    <s v="AB Chunks cells-03"/>
    <n v="100"/>
    <n v="500"/>
    <m/>
    <s v="June_2"/>
    <n v="2"/>
    <n v="10.48"/>
    <n v="10.57"/>
    <n v="2"/>
    <n v="11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9"/>
    <s v="AB_8_9"/>
    <s v="AB_8_9"/>
    <x v="2"/>
    <s v="AB Chunks cells-03"/>
    <n v="100"/>
    <n v="500"/>
    <m/>
    <s v="June_3"/>
    <n v="4"/>
    <n v="10.59"/>
    <n v="11.13"/>
    <n v="4"/>
    <n v="11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10"/>
    <s v="AB_8_10"/>
    <s v="AB_8_10"/>
    <x v="2"/>
    <s v="AB Chunks cells-03"/>
    <n v="100"/>
    <n v="500"/>
    <m/>
    <s v="June_4"/>
    <n v="4"/>
    <n v="11.14"/>
    <n v="11.26"/>
    <n v="4"/>
    <n v="11.4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11"/>
    <s v="AB_8_11"/>
    <s v="AB_8_11"/>
    <x v="2"/>
    <s v="AB Chunks cells-03"/>
    <n v="100"/>
    <n v="500"/>
    <m/>
    <s v="June_5"/>
    <n v="4"/>
    <n v="11.34"/>
    <n v="11.44"/>
    <n v="4"/>
    <n v="12.05"/>
    <n v="3"/>
    <n v="3"/>
    <n v="3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12"/>
    <s v="AB_8_12"/>
    <s v="AB_8_12"/>
    <x v="2"/>
    <s v="AB Chunks cells-03"/>
    <n v="100"/>
    <n v="500"/>
    <m/>
    <s v="June_6"/>
    <n v="4"/>
    <n v="11.47"/>
    <n v="11.59"/>
    <n v="4"/>
    <n v="12.14"/>
    <n v="4"/>
    <n v="4"/>
    <n v="4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19"/>
    <d v="2025-10-31T00:00:00"/>
    <m/>
    <m/>
    <m/>
    <m/>
    <s v="E3_2025-10-31"/>
    <n v="8"/>
    <s v="AB_8"/>
    <x v="18"/>
    <n v="13"/>
    <s v="AB_8_13"/>
    <s v="AB_8_13"/>
    <x v="2"/>
    <s v="AB Chunks cells-03"/>
    <n v="100"/>
    <n v="500"/>
    <m/>
    <s v="June_7"/>
    <n v="3"/>
    <n v="12.02"/>
    <n v="12.14"/>
    <n v="3"/>
    <n v="12.3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s v="TAB Taiwan 20-3-2025"/>
    <s v="NBD 2 2 cell = 100 %"/>
    <m/>
    <s v="CSOF 16-2021"/>
    <s v="E3_2025-11-03"/>
    <n v="6"/>
    <s v="TU_6"/>
    <x v="19"/>
    <n v="1"/>
    <s v="TU_6_1"/>
    <s v="TU_6_1"/>
    <x v="0"/>
    <s v="TU Chunks cells-02"/>
    <n v="100"/>
    <n v="500"/>
    <n v="70"/>
    <s v="Jan_1"/>
    <n v="1"/>
    <n v="10.130000000000001"/>
    <n v="10.26"/>
    <n v="1"/>
    <n v="1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s v="Jan"/>
  </r>
  <r>
    <n v="20"/>
    <d v="2025-11-03T00:00:00"/>
    <m/>
    <s v="Day 3 = 90.325 %"/>
    <m/>
    <m/>
    <s v="E3_2025-11-03"/>
    <n v="6"/>
    <s v="TU_6"/>
    <x v="19"/>
    <n v="2"/>
    <s v="TU_6_2"/>
    <s v="TU_6_2"/>
    <x v="0"/>
    <s v="TU Chunks cells-02"/>
    <n v="100"/>
    <n v="500"/>
    <m/>
    <s v="Jan_2"/>
    <n v="4"/>
    <n v="10.3"/>
    <n v="10.46"/>
    <n v="4"/>
    <n v="11.0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3"/>
    <s v="TU_6_3"/>
    <s v="TU_6_3"/>
    <x v="0"/>
    <s v="TU Chunks cells-02"/>
    <n v="100"/>
    <n v="500"/>
    <m/>
    <s v="Jan_3"/>
    <n v="4"/>
    <n v="10.55"/>
    <n v="11.1"/>
    <n v="4"/>
    <n v="1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4"/>
    <s v="TU_6_4"/>
    <s v="TU_6_4"/>
    <x v="0"/>
    <s v="TU Chunks cells-02"/>
    <n v="100"/>
    <n v="500"/>
    <m/>
    <s v="Jan_4"/>
    <n v="4"/>
    <n v="11.1"/>
    <n v="11.25"/>
    <n v="4"/>
    <n v="11.39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s v="Abnormal"/>
    <s v="No.26 abnormal"/>
    <m/>
  </r>
  <r>
    <n v="20"/>
    <d v="2025-11-03T00:00:00"/>
    <m/>
    <m/>
    <m/>
    <m/>
    <s v="E3_2025-11-03"/>
    <n v="6"/>
    <s v="TU_6"/>
    <x v="19"/>
    <n v="5"/>
    <s v="TU_6_5"/>
    <s v="TU_6_5"/>
    <x v="0"/>
    <s v="TU Chunks cells-02"/>
    <n v="100"/>
    <n v="500"/>
    <m/>
    <s v="Jan_5"/>
    <n v="4"/>
    <n v="11.29"/>
    <n v="11.4"/>
    <n v="4"/>
    <n v="11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6"/>
    <s v="TU_6_6"/>
    <s v="TU_6_6"/>
    <x v="0"/>
    <s v="TU Chunks cells-02"/>
    <n v="100"/>
    <n v="500"/>
    <m/>
    <s v="Jan_6"/>
    <n v="4"/>
    <n v="11.45"/>
    <n v="11.59"/>
    <n v="4"/>
    <n v="12.15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7"/>
    <s v="TU_6_7"/>
    <s v="TU_6_7"/>
    <x v="0"/>
    <s v="TU Chunks cells-02"/>
    <n v="100"/>
    <n v="500"/>
    <m/>
    <s v="Jan_7"/>
    <n v="4"/>
    <n v="12.05"/>
    <n v="12.18"/>
    <n v="4"/>
    <n v="12.34"/>
    <n v="2"/>
    <n v="2"/>
    <n v="2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8"/>
    <s v="TU_6_8"/>
    <s v="TU_6_8"/>
    <x v="0"/>
    <s v="TU Chunks cells-02"/>
    <n v="100"/>
    <n v="500"/>
    <m/>
    <s v="Jan_8"/>
    <n v="4"/>
    <n v="12.18"/>
    <n v="12.29"/>
    <n v="4"/>
    <n v="1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9"/>
    <s v="TU_6_9"/>
    <s v="TU_6_9"/>
    <x v="0"/>
    <s v="TU Chunks cells-02"/>
    <n v="100"/>
    <n v="500"/>
    <m/>
    <s v="Jan_9"/>
    <n v="4"/>
    <n v="12.37"/>
    <n v="12.48"/>
    <n v="4"/>
    <n v="13.02"/>
    <n v="3"/>
    <n v="3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0"/>
    <s v="TU_6_10"/>
    <s v="TU_6_10"/>
    <x v="0"/>
    <s v="TU Chunks cells-02"/>
    <n v="100"/>
    <n v="500"/>
    <n v="80"/>
    <s v="June_1"/>
    <n v="3"/>
    <n v="10.17"/>
    <n v="10.26"/>
    <n v="3"/>
    <n v="10.42"/>
    <n v="3"/>
    <n v="3"/>
    <n v="3"/>
    <n v="3"/>
    <n v="3"/>
    <n v="3"/>
    <n v="3"/>
    <n v="3"/>
    <n v="3"/>
    <n v="2"/>
    <n v="2"/>
    <n v="2"/>
    <n v="2"/>
    <n v="2"/>
    <n v="2"/>
    <n v="2"/>
    <n v="1"/>
    <n v="1"/>
    <n v="1"/>
    <n v="1"/>
    <n v="1"/>
    <n v="1"/>
    <n v="1"/>
    <s v="Normal"/>
    <s v="No.27 normal"/>
    <s v="June"/>
  </r>
  <r>
    <n v="20"/>
    <d v="2025-11-03T00:00:00"/>
    <m/>
    <m/>
    <m/>
    <m/>
    <s v="E3_2025-11-03"/>
    <n v="6"/>
    <s v="TU_6"/>
    <x v="19"/>
    <n v="11"/>
    <s v="TU_6_11"/>
    <s v="TU_6_11"/>
    <x v="0"/>
    <s v="TU Chunks cells-02"/>
    <n v="100"/>
    <n v="500"/>
    <m/>
    <s v="June_2"/>
    <n v="3"/>
    <n v="10.29"/>
    <n v="10.4"/>
    <n v="3"/>
    <n v="10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2"/>
    <s v="TU_6_12"/>
    <s v="TU_6_12"/>
    <x v="0"/>
    <s v="TU Chunks cells-02"/>
    <n v="100"/>
    <n v="500"/>
    <m/>
    <s v="June_3"/>
    <n v="3"/>
    <n v="11"/>
    <n v="11.07"/>
    <n v="3"/>
    <n v="11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3"/>
    <s v="TU_6_13"/>
    <s v="TU_6_13"/>
    <x v="0"/>
    <s v="TU Chunks cells-02"/>
    <n v="100"/>
    <n v="500"/>
    <m/>
    <s v="June_4"/>
    <n v="3"/>
    <n v="11.17"/>
    <n v="11.25"/>
    <n v="3"/>
    <n v="1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4"/>
    <s v="TU_6_14"/>
    <s v="TU_6_14"/>
    <x v="0"/>
    <s v="TU Chunks cells-02"/>
    <n v="100"/>
    <n v="500"/>
    <m/>
    <s v="June_5"/>
    <n v="3"/>
    <n v="11.4"/>
    <n v="11.54"/>
    <n v="3"/>
    <n v="12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5"/>
    <s v="TU_6_15"/>
    <s v="TU_6_15"/>
    <x v="0"/>
    <s v="TU Chunks cells-02"/>
    <n v="100"/>
    <n v="500"/>
    <m/>
    <s v="June_6"/>
    <n v="4"/>
    <n v="12.02"/>
    <n v="12.16"/>
    <n v="4"/>
    <n v="12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6"/>
    <s v="TU_6_16"/>
    <s v="TU_6_16"/>
    <x v="0"/>
    <s v="TU Chunks cells-02"/>
    <n v="100"/>
    <n v="500"/>
    <m/>
    <s v="June_7"/>
    <n v="4"/>
    <n v="12.24"/>
    <n v="12.32"/>
    <n v="4"/>
    <n v="12.4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7"/>
    <s v="TU_6_17"/>
    <s v="TU_6_17"/>
    <x v="0"/>
    <s v="TU Chunks cells-02"/>
    <n v="100"/>
    <n v="500"/>
    <m/>
    <s v="June_8"/>
    <n v="4"/>
    <n v="12.34"/>
    <n v="12.47"/>
    <n v="4"/>
    <n v="13.03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18"/>
    <s v="TU_6_18"/>
    <s v="TU_6_18"/>
    <x v="0"/>
    <s v="TU Chunks cells-02"/>
    <n v="100"/>
    <n v="500"/>
    <m/>
    <s v="Bee_1"/>
    <n v="3"/>
    <s v="-"/>
    <s v="-"/>
    <n v="3"/>
    <n v="10.5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"/>
    <s v="No.28 normal"/>
    <m/>
  </r>
  <r>
    <n v="20"/>
    <d v="2025-11-03T00:00:00"/>
    <m/>
    <m/>
    <m/>
    <m/>
    <s v="E3_2025-11-03"/>
    <n v="6"/>
    <s v="TU_6"/>
    <x v="19"/>
    <n v="19"/>
    <s v="TU_6_19"/>
    <s v="TU_6_19"/>
    <x v="0"/>
    <s v="TU Chunks cells-02"/>
    <n v="100"/>
    <n v="500"/>
    <m/>
    <s v="Bee_2"/>
    <n v="5"/>
    <s v="-"/>
    <s v="-"/>
    <n v="5"/>
    <n v="11.24"/>
    <n v="4"/>
    <n v="4"/>
    <n v="4"/>
    <n v="4"/>
    <n v="4"/>
    <n v="4"/>
    <n v="4"/>
    <n v="4"/>
    <n v="4"/>
    <n v="4"/>
    <n v="4"/>
    <n v="4"/>
    <n v="4"/>
    <n v="4"/>
    <n v="4"/>
    <n v="2"/>
    <n v="2"/>
    <n v="2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20"/>
    <s v="TU_6_20"/>
    <s v="TU_6_20"/>
    <x v="0"/>
    <s v="TU Chunks cells-02"/>
    <n v="100"/>
    <n v="500"/>
    <m/>
    <s v="Bee_3"/>
    <n v="3"/>
    <s v="-"/>
    <s v="-"/>
    <n v="3"/>
    <n v="1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21"/>
    <s v="TU_6_21"/>
    <s v="TU_6_21"/>
    <x v="0"/>
    <s v="TU Chunks cells-02"/>
    <n v="100"/>
    <n v="500"/>
    <m/>
    <s v="Bee_4"/>
    <n v="5"/>
    <s v="-"/>
    <s v="-"/>
    <n v="5"/>
    <n v="12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22"/>
    <s v="TU_6_22"/>
    <s v="TU_6_22"/>
    <x v="0"/>
    <s v="TU Chunks cells-02"/>
    <n v="100"/>
    <n v="500"/>
    <m/>
    <s v="Bee_5"/>
    <n v="4"/>
    <s v="-"/>
    <s v="-"/>
    <n v="4"/>
    <n v="12.18"/>
    <n v="2"/>
    <n v="2"/>
    <n v="2"/>
    <n v="2"/>
    <n v="2"/>
    <n v="2"/>
    <n v="2"/>
    <n v="2"/>
    <n v="2"/>
    <n v="2"/>
    <n v="1"/>
    <n v="1"/>
    <n v="1"/>
    <n v="1"/>
    <n v="1"/>
    <n v="1"/>
    <n v="1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23"/>
    <s v="TU_6_23"/>
    <s v="TU_6_23"/>
    <x v="0"/>
    <s v="TU Chunks cells-02"/>
    <n v="100"/>
    <n v="500"/>
    <m/>
    <s v="Bee_6"/>
    <n v="4"/>
    <s v="-"/>
    <s v="-"/>
    <n v="4"/>
    <n v="12.32"/>
    <n v="2"/>
    <n v="2"/>
    <n v="2"/>
    <n v="2"/>
    <n v="2"/>
    <n v="2"/>
    <n v="2"/>
    <n v="2"/>
    <n v="2"/>
    <n v="1"/>
    <n v="1"/>
    <n v="1"/>
    <n v="1"/>
    <n v="1"/>
    <n v="1"/>
    <n v="1"/>
    <n v="1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24"/>
    <s v="TU_6_24"/>
    <s v="TU_6_24"/>
    <x v="0"/>
    <s v="TU Chunks cells-02"/>
    <n v="100"/>
    <n v="500"/>
    <m/>
    <s v="Bee_7"/>
    <n v="4"/>
    <s v="-"/>
    <s v="-"/>
    <n v="4"/>
    <n v="12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0"/>
    <d v="2025-11-03T00:00:00"/>
    <m/>
    <m/>
    <m/>
    <m/>
    <s v="E3_2025-11-03"/>
    <n v="6"/>
    <s v="TU_6"/>
    <x v="19"/>
    <n v="25"/>
    <s v="TU_6_25"/>
    <s v="TU_6_25"/>
    <x v="0"/>
    <s v="TU Chunks cells-02"/>
    <n v="100"/>
    <n v="500"/>
    <m/>
    <s v="Bee_8"/>
    <n v="5"/>
    <s v="-"/>
    <s v="-"/>
    <n v="5"/>
    <n v="13.04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s v="Normal"/>
    <s v="No.29 normal"/>
    <m/>
  </r>
  <r>
    <n v="21"/>
    <d v="2025-11-07T00:00:00"/>
    <s v="TAB Taiwan 20-3-2025"/>
    <s v="NBD 3 2 cell = 81.4 %"/>
    <m/>
    <s v="CSOF 3-2021"/>
    <s v="E3_2025-11-07"/>
    <n v="9"/>
    <s v="AB_9"/>
    <x v="20"/>
    <n v="1"/>
    <s v="AB_9_1"/>
    <s v="AB_9_1"/>
    <x v="2"/>
    <s v="AB Chunks cells-04"/>
    <n v="100"/>
    <n v="500"/>
    <n v="70"/>
    <s v="Jan_1"/>
    <n v="5"/>
    <n v="1016"/>
    <n v="10.37"/>
    <n v="5"/>
    <n v="10.5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s v="Jan"/>
  </r>
  <r>
    <n v="21"/>
    <d v="2025-11-07T00:00:00"/>
    <m/>
    <s v="Day 3 =81.42 %"/>
    <m/>
    <m/>
    <s v="E3_2025-11-07"/>
    <n v="9"/>
    <s v="AB_9"/>
    <x v="20"/>
    <n v="2"/>
    <s v="AB_9_2"/>
    <s v="AB_9_2"/>
    <x v="2"/>
    <s v="AB Chunks cells-04"/>
    <n v="100"/>
    <n v="500"/>
    <m/>
    <s v="Jan_2"/>
    <n v="4"/>
    <n v="11.04"/>
    <n v="11.18"/>
    <n v="4"/>
    <n v="11.33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21"/>
    <d v="2025-11-07T00:00:00"/>
    <m/>
    <m/>
    <m/>
    <m/>
    <s v="E3_2025-11-07"/>
    <n v="9"/>
    <s v="AB_9"/>
    <x v="20"/>
    <n v="3"/>
    <s v="AB_9_3"/>
    <s v="AB_9_3"/>
    <x v="2"/>
    <s v="AB Chunks cells-04"/>
    <n v="100"/>
    <n v="500"/>
    <m/>
    <s v="Jan_3"/>
    <n v="4"/>
    <n v="11.19"/>
    <n v="11.32"/>
    <n v="4"/>
    <n v="11.45"/>
    <n v="4"/>
    <n v="4"/>
    <n v="4"/>
    <n v="4"/>
    <n v="3"/>
    <n v="3"/>
    <n v="3"/>
    <n v="3"/>
    <n v="3"/>
    <n v="3"/>
    <n v="3"/>
    <n v="3"/>
    <n v="3"/>
    <n v="3"/>
    <n v="2"/>
    <n v="0"/>
    <n v="0"/>
    <n v="0"/>
    <n v="0"/>
    <n v="0"/>
    <n v="0"/>
    <n v="0"/>
    <n v="0"/>
    <m/>
    <m/>
    <m/>
  </r>
  <r>
    <n v="21"/>
    <d v="2025-11-07T00:00:00"/>
    <m/>
    <m/>
    <m/>
    <m/>
    <s v="E3_2025-11-07"/>
    <n v="9"/>
    <s v="AB_9"/>
    <x v="20"/>
    <n v="4"/>
    <s v="AB_9_4"/>
    <s v="AB_9_4"/>
    <x v="2"/>
    <s v="AB Chunks cells-04"/>
    <n v="100"/>
    <n v="500"/>
    <m/>
    <s v="Jan_4"/>
    <n v="4"/>
    <n v="11.33"/>
    <n v="11.46"/>
    <n v="4"/>
    <n v="12.0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21"/>
    <d v="2025-11-07T00:00:00"/>
    <m/>
    <m/>
    <m/>
    <m/>
    <s v="E3_2025-11-07"/>
    <n v="9"/>
    <s v="AB_9"/>
    <x v="20"/>
    <n v="5"/>
    <s v="AB_9_5"/>
    <s v="AB_9_5"/>
    <x v="2"/>
    <s v="AB Chunks cells-04"/>
    <n v="100"/>
    <n v="500"/>
    <m/>
    <s v="Jan_5"/>
    <n v="4"/>
    <n v="11.54"/>
    <n v="12.01"/>
    <n v="4"/>
    <n v="12.25"/>
    <n v="2"/>
    <n v="2"/>
    <n v="2"/>
    <n v="2"/>
    <n v="2"/>
    <n v="2"/>
    <n v="2"/>
    <n v="2"/>
    <n v="2"/>
    <n v="2"/>
    <n v="2"/>
    <n v="2"/>
    <n v="2"/>
    <n v="1"/>
    <n v="1"/>
    <n v="0"/>
    <n v="0"/>
    <n v="0"/>
    <n v="0"/>
    <n v="0"/>
    <n v="0"/>
    <n v="0"/>
    <n v="0"/>
    <m/>
    <m/>
    <m/>
  </r>
  <r>
    <n v="21"/>
    <d v="2025-11-07T00:00:00"/>
    <m/>
    <m/>
    <m/>
    <m/>
    <s v="E3_2025-11-07"/>
    <n v="9"/>
    <s v="AB_9"/>
    <x v="20"/>
    <n v="6"/>
    <s v="AB_9_6"/>
    <s v="AB_9_6"/>
    <x v="2"/>
    <s v="AB Chunks cells-04"/>
    <n v="100"/>
    <n v="500"/>
    <n v="80"/>
    <s v="June_1"/>
    <n v="4"/>
    <n v="10.17"/>
    <n v="10.35"/>
    <n v="4"/>
    <n v="10.51"/>
    <n v="3"/>
    <n v="3"/>
    <n v="3"/>
    <n v="3"/>
    <n v="3"/>
    <n v="3"/>
    <n v="3"/>
    <n v="3"/>
    <n v="3"/>
    <n v="3"/>
    <n v="3"/>
    <n v="3"/>
    <n v="3"/>
    <n v="2"/>
    <n v="2"/>
    <n v="2"/>
    <n v="2"/>
    <n v="1"/>
    <n v="1"/>
    <n v="1"/>
    <n v="0"/>
    <m/>
    <n v="0"/>
    <m/>
    <m/>
    <s v="June"/>
  </r>
  <r>
    <n v="21"/>
    <d v="2025-11-07T00:00:00"/>
    <m/>
    <m/>
    <m/>
    <m/>
    <s v="E3_2025-11-07"/>
    <n v="9"/>
    <s v="AB_9"/>
    <x v="20"/>
    <n v="7"/>
    <s v="AB_9_7"/>
    <s v="AB_9_7"/>
    <x v="2"/>
    <s v="AB Chunks cells-04"/>
    <n v="100"/>
    <n v="500"/>
    <m/>
    <s v="June_2"/>
    <n v="5"/>
    <n v="10.51"/>
    <n v="11.05"/>
    <n v="5"/>
    <n v="11.21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s v="Normal"/>
    <s v="No.30 normal"/>
    <m/>
  </r>
  <r>
    <n v="21"/>
    <d v="2025-11-07T00:00:00"/>
    <m/>
    <m/>
    <m/>
    <m/>
    <s v="E3_2025-11-07"/>
    <n v="9"/>
    <s v="AB_9"/>
    <x v="20"/>
    <n v="8"/>
    <s v="AB_9_8"/>
    <s v="AB_9_8"/>
    <x v="2"/>
    <s v="AB Chunks cells-04"/>
    <n v="100"/>
    <n v="500"/>
    <m/>
    <s v="June_3"/>
    <n v="4"/>
    <n v="11.15"/>
    <n v="11.3"/>
    <n v="4"/>
    <n v="11.44"/>
    <n v="3"/>
    <n v="3"/>
    <n v="3"/>
    <n v="3"/>
    <n v="3"/>
    <n v="3"/>
    <n v="3"/>
    <n v="3"/>
    <n v="3"/>
    <n v="3"/>
    <n v="3"/>
    <n v="3"/>
    <n v="2"/>
    <n v="2"/>
    <n v="2"/>
    <n v="2"/>
    <n v="2"/>
    <n v="2"/>
    <n v="0"/>
    <n v="0"/>
    <n v="0"/>
    <n v="0"/>
    <n v="0"/>
    <m/>
    <m/>
    <m/>
  </r>
  <r>
    <n v="21"/>
    <d v="2025-11-07T00:00:00"/>
    <m/>
    <m/>
    <m/>
    <m/>
    <s v="E3_2025-11-07"/>
    <n v="9"/>
    <s v="AB_9"/>
    <x v="20"/>
    <n v="9"/>
    <s v="AB_9_9"/>
    <s v="AB_9_9"/>
    <x v="2"/>
    <s v="AB Chunks cells-04"/>
    <n v="100"/>
    <n v="500"/>
    <m/>
    <s v="June_4"/>
    <n v="4"/>
    <n v="11.33"/>
    <n v="11.46"/>
    <n v="4"/>
    <n v="12.02"/>
    <n v="2"/>
    <n v="2"/>
    <n v="2"/>
    <n v="2"/>
    <n v="2"/>
    <n v="2"/>
    <n v="2"/>
    <n v="2"/>
    <n v="2"/>
    <n v="2"/>
    <n v="2"/>
    <n v="2"/>
    <n v="2"/>
    <n v="1"/>
    <n v="1"/>
    <n v="1"/>
    <n v="1"/>
    <n v="0"/>
    <n v="0"/>
    <n v="0"/>
    <n v="0"/>
    <n v="0"/>
    <n v="0"/>
    <m/>
    <m/>
    <m/>
  </r>
  <r>
    <n v="21"/>
    <d v="2025-11-07T00:00:00"/>
    <m/>
    <m/>
    <m/>
    <m/>
    <s v="E3_2025-11-07"/>
    <n v="9"/>
    <s v="AB_9"/>
    <x v="20"/>
    <n v="10"/>
    <s v="AB_9_10"/>
    <s v="AB_9_10"/>
    <x v="2"/>
    <s v="AB Chunks cells-04"/>
    <n v="100"/>
    <n v="500"/>
    <m/>
    <s v="June_5"/>
    <n v="3"/>
    <n v="11.48"/>
    <n v="11.58"/>
    <n v="3"/>
    <n v="12.14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"/>
    <s v="No.31 normal"/>
    <m/>
  </r>
  <r>
    <n v="21"/>
    <d v="2025-11-07T00:00:00"/>
    <m/>
    <m/>
    <m/>
    <m/>
    <s v="E3_2025-11-07"/>
    <n v="9"/>
    <s v="AB_9"/>
    <x v="20"/>
    <n v="11"/>
    <s v="AB_9_11"/>
    <s v="AB_9_11"/>
    <x v="2"/>
    <s v="AB Chunks cells-04"/>
    <n v="100"/>
    <n v="500"/>
    <m/>
    <s v="June_6"/>
    <n v="3"/>
    <n v="12"/>
    <n v="12.1"/>
    <n v="3"/>
    <n v="12.2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m/>
    <m/>
    <m/>
  </r>
  <r>
    <n v="22"/>
    <d v="2025-11-10T00:00:00"/>
    <s v="TAB Taiwan 20-3-2025"/>
    <s v="NBD 8 4 cell = 88 %"/>
    <m/>
    <s v="CSOF 3-2021"/>
    <m/>
    <n v="7"/>
    <s v="TU_7"/>
    <x v="21"/>
    <n v="1"/>
    <s v="TU_7_1"/>
    <s v="TU_7_1"/>
    <x v="0"/>
    <s v="TU Chunks cells-03"/>
    <n v="100"/>
    <n v="500"/>
    <m/>
    <s v="Jan_1"/>
    <n v="4"/>
    <n v="10.42"/>
    <n v="10.58"/>
    <n v="4"/>
    <n v="11.13"/>
    <n v="4"/>
    <n v="4"/>
    <n v="4"/>
    <n v="4"/>
    <n v="4"/>
    <n v="4"/>
    <n v="4"/>
    <n v="4"/>
    <n v="4"/>
    <n v="4"/>
    <n v="4"/>
    <n v="4"/>
    <n v="4"/>
    <n v="2"/>
    <n v="0"/>
    <n v="0"/>
    <n v="0"/>
    <n v="0"/>
    <n v="0"/>
    <n v="0"/>
    <n v="0"/>
    <n v="0"/>
    <n v="0"/>
    <m/>
    <m/>
    <s v="Jan"/>
  </r>
  <r>
    <n v="22"/>
    <d v="2025-11-10T00:00:00"/>
    <m/>
    <s v="Day 3 =14.28 %"/>
    <m/>
    <m/>
    <m/>
    <n v="7"/>
    <s v="TU_7"/>
    <x v="21"/>
    <n v="2"/>
    <s v="TU_7_2"/>
    <s v="TU_7_2"/>
    <x v="0"/>
    <s v="TU Chunks cells-03"/>
    <n v="100"/>
    <n v="500"/>
    <m/>
    <s v="Jan_2"/>
    <n v="4"/>
    <n v="10.59"/>
    <n v="11.14"/>
    <n v="4"/>
    <n v="11.28"/>
    <n v="2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3"/>
    <s v="TU_7_3"/>
    <s v="TU_7_3"/>
    <x v="0"/>
    <s v="TU Chunks cells-03"/>
    <n v="100"/>
    <n v="500"/>
    <m/>
    <s v="Jan_3"/>
    <n v="4"/>
    <n v="11.15"/>
    <n v="11.33"/>
    <n v="4"/>
    <n v="11.47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4"/>
    <s v="TU_7_4"/>
    <s v="TU_7_4"/>
    <x v="0"/>
    <s v="TU Chunks cells-03"/>
    <n v="100"/>
    <n v="500"/>
    <m/>
    <s v="Jan_4"/>
    <n v="1"/>
    <n v="11.34"/>
    <n v="11.51"/>
    <n v="1"/>
    <n v="12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5"/>
    <s v="TU_7_5"/>
    <s v="TU_7_5"/>
    <x v="0"/>
    <s v="TU Chunks cells-03"/>
    <n v="100"/>
    <n v="500"/>
    <m/>
    <s v="Jan_5"/>
    <n v="2"/>
    <s v="-"/>
    <n v="12.05"/>
    <n v="2"/>
    <n v="12.19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6"/>
    <s v="TU_7_6"/>
    <s v="TU_7_6"/>
    <x v="0"/>
    <s v="TU Chunks cells-03"/>
    <n v="100"/>
    <n v="500"/>
    <m/>
    <s v="Jan_6"/>
    <n v="4"/>
    <n v="12.06"/>
    <n v="12.23"/>
    <n v="4"/>
    <n v="12.37"/>
    <n v="2"/>
    <n v="2"/>
    <n v="2"/>
    <n v="2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7"/>
    <s v="TU_7_7"/>
    <s v="TU_7_7"/>
    <x v="0"/>
    <s v="TU Chunks cells-03"/>
    <n v="100"/>
    <n v="500"/>
    <m/>
    <s v="Jan_7"/>
    <n v="4"/>
    <n v="12.25"/>
    <n v="12.39"/>
    <n v="4"/>
    <n v="12.49"/>
    <n v="3"/>
    <n v="3"/>
    <n v="2"/>
    <n v="2"/>
    <n v="2"/>
    <n v="2"/>
    <n v="2"/>
    <n v="2"/>
    <n v="2"/>
    <n v="1"/>
    <n v="0"/>
    <n v="0"/>
    <n v="0"/>
    <n v="0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8"/>
    <s v="TU_7_8"/>
    <s v="TU_7_8"/>
    <x v="0"/>
    <s v="TU Chunks cells-03"/>
    <n v="100"/>
    <n v="500"/>
    <n v="75"/>
    <s v="June_1"/>
    <n v="4"/>
    <n v="10.37"/>
    <n v="11.49"/>
    <n v="4"/>
    <n v="11.05"/>
    <n v="3"/>
    <n v="3"/>
    <n v="3"/>
    <n v="3"/>
    <n v="3"/>
    <n v="3"/>
    <n v="3"/>
    <n v="3"/>
    <n v="3"/>
    <n v="2"/>
    <n v="2"/>
    <n v="2"/>
    <n v="2"/>
    <n v="2"/>
    <n v="2"/>
    <n v="0"/>
    <n v="0"/>
    <n v="0"/>
    <n v="0"/>
    <n v="0"/>
    <n v="0"/>
    <n v="0"/>
    <n v="0"/>
    <m/>
    <m/>
    <s v="June"/>
  </r>
  <r>
    <n v="22"/>
    <d v="2025-11-10T00:00:00"/>
    <m/>
    <m/>
    <m/>
    <m/>
    <m/>
    <n v="7"/>
    <s v="TU_7"/>
    <x v="21"/>
    <n v="9"/>
    <s v="TU_7_9"/>
    <s v="TU_7_9"/>
    <x v="0"/>
    <s v="TU Chunks cells-03"/>
    <n v="100"/>
    <n v="500"/>
    <m/>
    <s v="June_2"/>
    <n v="4"/>
    <n v="10.52"/>
    <n v="11.05"/>
    <n v="4"/>
    <n v="11.23"/>
    <n v="2"/>
    <n v="2"/>
    <n v="2"/>
    <n v="2"/>
    <n v="2"/>
    <n v="2"/>
    <n v="2"/>
    <n v="2"/>
    <n v="2"/>
    <n v="2"/>
    <n v="2"/>
    <n v="2"/>
    <n v="2"/>
    <n v="2"/>
    <n v="1"/>
    <n v="1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10"/>
    <s v="TU_7_10"/>
    <s v="TU_7_10"/>
    <x v="0"/>
    <s v="TU Chunks cells-03"/>
    <n v="100"/>
    <n v="500"/>
    <m/>
    <s v="June_3"/>
    <n v="4"/>
    <n v="11.08"/>
    <n v="11.2"/>
    <n v="4"/>
    <n v="11.34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0"/>
    <n v="0"/>
    <n v="0"/>
    <n v="0"/>
    <m/>
    <m/>
    <m/>
  </r>
  <r>
    <n v="22"/>
    <d v="2025-11-10T00:00:00"/>
    <m/>
    <m/>
    <m/>
    <m/>
    <m/>
    <n v="7"/>
    <s v="TU_7"/>
    <x v="21"/>
    <n v="11"/>
    <s v="TU_7_11"/>
    <s v="TU_7_11"/>
    <x v="0"/>
    <s v="TU Chunks cells-03"/>
    <n v="100"/>
    <n v="500"/>
    <m/>
    <s v="June_4"/>
    <n v="4"/>
    <n v="11.25"/>
    <n v="11.38"/>
    <n v="4"/>
    <n v="11.53"/>
    <n v="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12"/>
    <s v="TU_7_12"/>
    <s v="TU_7_12"/>
    <x v="0"/>
    <s v="TU Chunks cells-03"/>
    <n v="100"/>
    <n v="500"/>
    <m/>
    <s v="June_5"/>
    <n v="4"/>
    <n v="11.4"/>
    <n v="11.53"/>
    <n v="4"/>
    <n v="12.08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13"/>
    <s v="TU_7_13"/>
    <s v="TU_7_13"/>
    <x v="0"/>
    <s v="TU Chunks cells-03"/>
    <n v="100"/>
    <n v="500"/>
    <m/>
    <s v="June_6"/>
    <n v="4"/>
    <n v="12"/>
    <n v="12.1"/>
    <n v="4"/>
    <n v="1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2"/>
    <d v="2025-11-10T00:00:00"/>
    <m/>
    <m/>
    <m/>
    <m/>
    <m/>
    <n v="7"/>
    <s v="TU_7"/>
    <x v="21"/>
    <n v="14"/>
    <s v="TU_7_14"/>
    <s v="TU_7_14"/>
    <x v="0"/>
    <s v="TU Chunks cells-03"/>
    <n v="100"/>
    <n v="500"/>
    <m/>
    <s v="June_7"/>
    <n v="4"/>
    <n v="12.12"/>
    <n v="12.23"/>
    <n v="4"/>
    <n v="12.39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0"/>
    <n v="0"/>
    <n v="0"/>
    <n v="0"/>
    <n v="0"/>
    <m/>
    <m/>
    <m/>
  </r>
  <r>
    <n v="22"/>
    <d v="2025-11-10T00:00:00"/>
    <m/>
    <m/>
    <m/>
    <m/>
    <m/>
    <n v="7"/>
    <s v="TU_7"/>
    <x v="21"/>
    <n v="15"/>
    <s v="TU_7_15"/>
    <s v="TU_7_15"/>
    <x v="0"/>
    <s v="TU Chunks cells-03"/>
    <n v="100"/>
    <n v="500"/>
    <m/>
    <s v="June_8"/>
    <n v="3"/>
    <n v="12.25"/>
    <n v="12.37"/>
    <n v="3"/>
    <n v="12.4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23"/>
    <d v="2025-11-18T00:00:00"/>
    <s v="TAB Taiwan 20-3-2025"/>
    <s v="NBD 5 4 cell =90.72 %"/>
    <m/>
    <s v="CSOF 3-2021"/>
    <s v="E5_2025-11-18"/>
    <n v="7"/>
    <s v="NHGRI_7"/>
    <x v="22"/>
    <n v="1"/>
    <s v="NHGRI_7_1"/>
    <s v="NHGRI_7_1"/>
    <x v="1"/>
    <s v="NHGRI dissociated cells-16"/>
    <n v="100"/>
    <n v="500"/>
    <n v="70"/>
    <s v="Jan_1"/>
    <n v="4"/>
    <n v="10.08"/>
    <n v="10.25"/>
    <n v="4"/>
    <n v="10.4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  <r>
    <n v="23"/>
    <d v="2025-11-18T00:00:00"/>
    <m/>
    <s v="Day 3 =86.59 %"/>
    <m/>
    <m/>
    <s v="E5_2025-11-18"/>
    <n v="7"/>
    <s v="NHGRI_7"/>
    <x v="22"/>
    <n v="2"/>
    <s v="NHGRI_7_2"/>
    <s v="NHGRI_7_2"/>
    <x v="1"/>
    <s v="NHGRI dissociated cells-16"/>
    <n v="100"/>
    <n v="500"/>
    <m/>
    <s v="Jan_2"/>
    <n v="4"/>
    <n v="10.25"/>
    <n v="10.53"/>
    <n v="4"/>
    <n v="11.07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23"/>
    <d v="2025-11-18T00:00:00"/>
    <m/>
    <m/>
    <m/>
    <m/>
    <s v="E5_2025-11-18"/>
    <n v="7"/>
    <s v="NHGRI_7"/>
    <x v="22"/>
    <n v="3"/>
    <s v="NHGRI_7_3"/>
    <s v="NHGRI_7_3"/>
    <x v="1"/>
    <s v="NHGRI dissociated cells-16"/>
    <n v="100"/>
    <n v="500"/>
    <m/>
    <s v="Jan_3"/>
    <n v="4"/>
    <n v="10.59"/>
    <n v="11.13"/>
    <n v="4"/>
    <n v="11.27"/>
    <n v="3"/>
    <n v="3"/>
    <n v="3"/>
    <n v="3"/>
    <n v="3"/>
    <n v="3"/>
    <n v="3"/>
    <n v="3"/>
    <n v="3"/>
    <n v="3"/>
    <n v="3"/>
    <n v="3"/>
    <n v="2"/>
    <n v="2"/>
    <n v="0"/>
    <n v="0"/>
    <n v="0"/>
    <n v="0"/>
    <n v="0"/>
    <n v="0"/>
    <n v="0"/>
    <n v="0"/>
    <n v="0"/>
    <m/>
    <m/>
    <m/>
  </r>
  <r>
    <n v="23"/>
    <d v="2025-11-18T00:00:00"/>
    <m/>
    <m/>
    <m/>
    <m/>
    <s v="E5_2025-11-18"/>
    <n v="7"/>
    <s v="NHGRI_7"/>
    <x v="22"/>
    <n v="4"/>
    <s v="NHGRI_7_4"/>
    <s v="NHGRI_7_4"/>
    <x v="1"/>
    <s v="NHGRI dissociated cells-16"/>
    <n v="100"/>
    <n v="500"/>
    <m/>
    <s v="Jan_4"/>
    <n v="4"/>
    <n v="11.17"/>
    <n v="11.3"/>
    <n v="4"/>
    <n v="11.43"/>
    <n v="2"/>
    <n v="2"/>
    <n v="2"/>
    <n v="2"/>
    <n v="2"/>
    <n v="2"/>
    <n v="2"/>
    <n v="2"/>
    <n v="2"/>
    <n v="2"/>
    <n v="2"/>
    <n v="2"/>
    <n v="1"/>
    <n v="0"/>
    <n v="0"/>
    <n v="0"/>
    <n v="0"/>
    <n v="0"/>
    <n v="0"/>
    <n v="0"/>
    <n v="0"/>
    <n v="0"/>
    <n v="0"/>
    <m/>
    <m/>
    <m/>
  </r>
  <r>
    <n v="23"/>
    <d v="2025-11-18T00:00:00"/>
    <m/>
    <m/>
    <m/>
    <m/>
    <s v="E5_2025-11-18"/>
    <n v="7"/>
    <s v="NHGRI_7"/>
    <x v="22"/>
    <n v="5"/>
    <s v="NHGRI_7_5"/>
    <s v="NHGRI_7_5"/>
    <x v="1"/>
    <s v="NHGRI dissociated cells-16"/>
    <n v="100"/>
    <n v="500"/>
    <m/>
    <s v="Jan_5"/>
    <n v="3"/>
    <n v="11.31"/>
    <n v="11.43"/>
    <n v="3"/>
    <n v="11.5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3"/>
    <d v="2025-11-18T00:00:00"/>
    <m/>
    <m/>
    <m/>
    <m/>
    <s v="E5_2025-11-18"/>
    <n v="7"/>
    <s v="NHGRI_7"/>
    <x v="22"/>
    <n v="6"/>
    <s v="NHGRI_7_6"/>
    <s v="NHGRI_7_6"/>
    <x v="1"/>
    <s v="NHGRI dissociated cells-16"/>
    <n v="100"/>
    <n v="500"/>
    <m/>
    <s v="June_1"/>
    <n v="4"/>
    <n v="10.07"/>
    <n v="10.210000000000001"/>
    <n v="4"/>
    <n v="10.36"/>
    <n v="3"/>
    <n v="3"/>
    <n v="3"/>
    <n v="3"/>
    <n v="3"/>
    <n v="3"/>
    <n v="3"/>
    <n v="3"/>
    <n v="3"/>
    <n v="3"/>
    <n v="3"/>
    <n v="3"/>
    <n v="3"/>
    <n v="3"/>
    <n v="3"/>
    <n v="2"/>
    <n v="2"/>
    <n v="2"/>
    <n v="2"/>
    <n v="2"/>
    <n v="0"/>
    <n v="0"/>
    <n v="0"/>
    <m/>
    <m/>
    <m/>
  </r>
  <r>
    <n v="23"/>
    <d v="2025-11-18T00:00:00"/>
    <m/>
    <m/>
    <m/>
    <m/>
    <s v="E5_2025-11-18"/>
    <n v="7"/>
    <s v="NHGRI_7"/>
    <x v="22"/>
    <n v="7"/>
    <s v="NHGRI_7_7"/>
    <s v="NHGRI_7_7"/>
    <x v="1"/>
    <s v="NHGRI dissociated cells-16"/>
    <n v="100"/>
    <n v="500"/>
    <m/>
    <s v="June_2"/>
    <n v="2"/>
    <n v="10.24"/>
    <n v="10.33"/>
    <n v="2"/>
    <n v="10.48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m/>
    <m/>
    <m/>
  </r>
  <r>
    <n v="23"/>
    <d v="2025-11-18T00:00:00"/>
    <m/>
    <m/>
    <m/>
    <m/>
    <s v="E5_2025-11-18"/>
    <n v="7"/>
    <s v="NHGRI_7"/>
    <x v="22"/>
    <n v="8"/>
    <s v="NHGRI_7_8"/>
    <s v="NHGRI_7_8"/>
    <x v="1"/>
    <s v="NHGRI dissociated cells-16"/>
    <n v="100"/>
    <n v="500"/>
    <m/>
    <s v="June_3"/>
    <n v="3"/>
    <n v="10.37"/>
    <n v="10.5"/>
    <n v="3"/>
    <n v="11.06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23"/>
    <d v="2025-11-18T00:00:00"/>
    <m/>
    <m/>
    <m/>
    <m/>
    <s v="E5_2025-11-18"/>
    <n v="7"/>
    <s v="NHGRI_7"/>
    <x v="22"/>
    <n v="9"/>
    <s v="NHGRI_7_9"/>
    <s v="NHGRI_7_9"/>
    <x v="1"/>
    <s v="NHGRI dissociated cells-16"/>
    <n v="100"/>
    <n v="500"/>
    <m/>
    <s v="June_4"/>
    <n v="4"/>
    <n v="10.55"/>
    <n v="11.1"/>
    <n v="4"/>
    <n v="11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3"/>
    <d v="2025-11-18T00:00:00"/>
    <m/>
    <m/>
    <m/>
    <m/>
    <s v="E5_2025-11-18"/>
    <n v="7"/>
    <s v="NHGRI_7"/>
    <x v="22"/>
    <n v="10"/>
    <s v="NHGRI_7_10"/>
    <s v="NHGRI_7_10"/>
    <x v="1"/>
    <s v="NHGRI dissociated cells-16"/>
    <n v="100"/>
    <n v="500"/>
    <m/>
    <s v="June_5"/>
    <n v="3"/>
    <n v="11.24"/>
    <n v="11.35"/>
    <n v="3"/>
    <n v="1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3"/>
    <d v="2025-11-18T00:00:00"/>
    <m/>
    <m/>
    <m/>
    <m/>
    <s v="E5_2025-11-18"/>
    <n v="7"/>
    <s v="NHGRI_7"/>
    <x v="22"/>
    <n v="11"/>
    <s v="NHGRI_7_11"/>
    <s v="NHGRI_7_11"/>
    <x v="1"/>
    <s v="NHGRI dissociated cells-16"/>
    <n v="100"/>
    <n v="500"/>
    <m/>
    <s v="June_6"/>
    <n v="4"/>
    <n v="11.4"/>
    <n v="11.51"/>
    <n v="4"/>
    <n v="12.06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m/>
    <m/>
    <m/>
  </r>
  <r>
    <n v="24"/>
    <d v="2025-11-20T00:00:00"/>
    <s v="TAB Taiwan 20-3-2025"/>
    <s v="NBD 2 2 cell =59.09 %"/>
    <m/>
    <s v="CSOF 3-2021"/>
    <s v="E2_2025-11-20"/>
    <n v="8"/>
    <s v="NHGRI_8"/>
    <x v="23"/>
    <n v="1"/>
    <s v="NHGRI_8_1"/>
    <s v="NHGRI_8_1"/>
    <x v="1"/>
    <s v="NHGRI dissociated cells-17"/>
    <n v="100"/>
    <n v="500"/>
    <n v="70"/>
    <s v="Jan_1"/>
    <n v="4"/>
    <n v="10.119999999999999"/>
    <n v="10.3"/>
    <n v="4"/>
    <n v="10.45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 ลง system แล้ว"/>
    <s v="No.32 normal"/>
    <m/>
  </r>
  <r>
    <n v="24"/>
    <d v="2025-11-20T00:00:00"/>
    <m/>
    <s v="Day 2 = 59.09 %"/>
    <m/>
    <m/>
    <s v="E2_2025-11-20"/>
    <n v="8"/>
    <s v="NHGRI_8"/>
    <x v="23"/>
    <n v="2"/>
    <s v="NHGRI_8_2"/>
    <s v="NHGRI_8_2"/>
    <x v="1"/>
    <s v="NHGRI dissociated cells-17"/>
    <n v="100"/>
    <n v="500"/>
    <m/>
    <s v="Jan_2"/>
    <n v="4"/>
    <n v="10.3"/>
    <n v="10.43"/>
    <n v="4"/>
    <n v="10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3"/>
    <s v="NHGRI_8_3"/>
    <s v="NHGRI_8_3"/>
    <x v="1"/>
    <s v="NHGRI dissociated cells-17"/>
    <n v="100"/>
    <n v="500"/>
    <m/>
    <s v="Jan_3"/>
    <n v="4"/>
    <n v="10.47"/>
    <n v="10.58"/>
    <n v="4"/>
    <n v="11.12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4"/>
    <s v="NHGRI_8_4"/>
    <s v="NHGRI_8_4"/>
    <x v="1"/>
    <s v="NHGRI dissociated cells-17"/>
    <n v="100"/>
    <n v="500"/>
    <m/>
    <s v="Jan_4"/>
    <n v="3"/>
    <n v="10.59"/>
    <n v="11.1"/>
    <n v="3"/>
    <n v="11.26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5"/>
    <s v="NHGRI_8_5"/>
    <s v="NHGRI_8_5"/>
    <x v="1"/>
    <s v="NHGRI dissociated cells-17"/>
    <n v="100"/>
    <n v="500"/>
    <m/>
    <s v="Jan_5"/>
    <n v="3"/>
    <n v="11.1"/>
    <n v="11.26"/>
    <n v="3"/>
    <n v="11.3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6"/>
    <s v="NHGRI_8_6"/>
    <s v="NHGRI_8_6"/>
    <x v="1"/>
    <s v="NHGRI dissociated cells-17"/>
    <n v="100"/>
    <n v="500"/>
    <m/>
    <s v="Jan_6"/>
    <n v="4"/>
    <n v="11.26"/>
    <n v="11.43"/>
    <n v="4"/>
    <n v="11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7"/>
    <s v="NHGRI_8_7"/>
    <s v="NHGRI_8_7"/>
    <x v="1"/>
    <s v="NHGRI dissociated cells-17"/>
    <n v="100"/>
    <n v="500"/>
    <m/>
    <s v="Jan_7"/>
    <n v="3"/>
    <n v="11.43"/>
    <n v="11.52"/>
    <n v="3"/>
    <n v="12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8"/>
    <s v="NHGRI_8_8"/>
    <s v="NHGRI_8_8"/>
    <x v="1"/>
    <s v="NHGRI dissociated cells-17"/>
    <n v="100"/>
    <n v="500"/>
    <m/>
    <s v="June_1"/>
    <n v="3"/>
    <n v="10.15"/>
    <n v="10.27"/>
    <n v="3"/>
    <n v="10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9"/>
    <s v="NHGRI_8_9"/>
    <s v="NHGRI_8_9"/>
    <x v="1"/>
    <s v="NHGRI dissociated cells-17"/>
    <n v="100"/>
    <n v="500"/>
    <m/>
    <s v="June_2"/>
    <n v="2"/>
    <n v="10.32"/>
    <n v="10.38"/>
    <n v="2"/>
    <n v="10.53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10"/>
    <s v="NHGRI_8_10"/>
    <s v="NHGRI_8_10"/>
    <x v="1"/>
    <s v="NHGRI dissociated cells-17"/>
    <n v="100"/>
    <n v="500"/>
    <m/>
    <s v="June_3"/>
    <n v="1"/>
    <n v="10.4"/>
    <n v="10.46"/>
    <n v="1"/>
    <n v="1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11"/>
    <s v="NHGRI_8_11"/>
    <s v="NHGRI_8_11"/>
    <x v="1"/>
    <s v="NHGRI dissociated cells-17"/>
    <n v="100"/>
    <n v="500"/>
    <m/>
    <s v="June_4"/>
    <n v="3"/>
    <n v="10.48"/>
    <n v="11"/>
    <n v="3"/>
    <n v="11.14"/>
    <n v="1"/>
    <n v="1"/>
    <n v="1"/>
    <n v="1"/>
    <n v="1"/>
    <n v="1"/>
    <n v="1"/>
    <n v="1"/>
    <n v="1"/>
    <n v="1"/>
    <n v="1"/>
    <m/>
    <m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12"/>
    <s v="NHGRI_8_12"/>
    <s v="NHGRI_8_12"/>
    <x v="1"/>
    <s v="NHGRI dissociated cells-17"/>
    <n v="100"/>
    <n v="500"/>
    <m/>
    <s v="June_5"/>
    <n v="2"/>
    <n v="11.03"/>
    <n v="11.09"/>
    <n v="2"/>
    <n v="11.25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0"/>
    <m/>
    <m/>
    <m/>
  </r>
  <r>
    <n v="24"/>
    <d v="2025-11-20T00:00:00"/>
    <m/>
    <m/>
    <m/>
    <m/>
    <s v="E2_2025-11-20"/>
    <n v="8"/>
    <s v="NHGRI_8"/>
    <x v="23"/>
    <n v="13"/>
    <s v="NHGRI_8_13"/>
    <s v="NHGRI_8_13"/>
    <x v="1"/>
    <s v="NHGRI dissociated cells-17"/>
    <n v="100"/>
    <n v="500"/>
    <m/>
    <s v="June_6"/>
    <n v="3"/>
    <n v="11.13"/>
    <n v="11.21"/>
    <n v="3"/>
    <n v="11.37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14"/>
    <s v="NHGRI_8_14"/>
    <s v="NHGRI_8_14"/>
    <x v="1"/>
    <s v="NHGRI dissociated cells-17"/>
    <n v="100"/>
    <n v="500"/>
    <m/>
    <s v="June_7"/>
    <n v="3"/>
    <n v="11.26"/>
    <n v="11.35"/>
    <n v="3"/>
    <n v="11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4"/>
    <d v="2025-11-20T00:00:00"/>
    <m/>
    <m/>
    <m/>
    <m/>
    <s v="E2_2025-11-20"/>
    <n v="8"/>
    <s v="NHGRI_8"/>
    <x v="23"/>
    <n v="15"/>
    <s v="NHGRI_8_15"/>
    <s v="NHGRI_8_15"/>
    <x v="1"/>
    <s v="NHGRI dissociated cells-17"/>
    <n v="100"/>
    <n v="500"/>
    <m/>
    <s v="June_8"/>
    <n v="2"/>
    <n v="12.45"/>
    <n v="11.58"/>
    <n v="2"/>
    <n v="12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5"/>
    <d v="2025-11-25T00:00:00"/>
    <s v="Long Fin 23-5-25"/>
    <s v="NBD 9 4 cell = 100 %"/>
    <m/>
    <s v="CSOF 3-2021"/>
    <s v="E9_2025-11-25"/>
    <n v="9"/>
    <s v="NHGRI_9"/>
    <x v="24"/>
    <n v="1"/>
    <s v="NHGRI_9_1"/>
    <s v="NHGRI_9_1"/>
    <x v="1"/>
    <s v="NHGRI dissociated cells-18"/>
    <n v="100"/>
    <n v="500"/>
    <n v="70"/>
    <s v="Jan_1"/>
    <n v="4"/>
    <n v="10.050000000000001"/>
    <n v="10.17"/>
    <n v="4"/>
    <n v="10.3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s v="normal ลง system แล้ว"/>
    <s v="No.33 &amp;34 normal"/>
    <m/>
  </r>
  <r>
    <n v="25"/>
    <d v="2025-11-25T00:00:00"/>
    <m/>
    <s v="Day 3 = 81.25 %"/>
    <m/>
    <m/>
    <s v="E9_2025-11-25"/>
    <n v="9"/>
    <s v="NHGRI_9"/>
    <x v="24"/>
    <n v="2"/>
    <s v="NHGRI_9_2"/>
    <s v="NHGRI_9_2"/>
    <x v="1"/>
    <s v="NHGRI dissociated cells-18"/>
    <n v="100"/>
    <n v="500"/>
    <m/>
    <s v="Jan_2"/>
    <n v="4"/>
    <n v="10.18"/>
    <n v="10.31"/>
    <n v="4"/>
    <n v="10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5"/>
    <d v="2025-11-25T00:00:00"/>
    <m/>
    <m/>
    <m/>
    <m/>
    <s v="E9_2025-11-25"/>
    <n v="9"/>
    <s v="NHGRI_9"/>
    <x v="24"/>
    <n v="3"/>
    <s v="NHGRI_9_3"/>
    <s v="NHGRI_9_3"/>
    <x v="1"/>
    <s v="NHGRI dissociated cells-18"/>
    <n v="100"/>
    <n v="500"/>
    <m/>
    <s v="Jan_3"/>
    <n v="4"/>
    <n v="10.36"/>
    <n v="10.49"/>
    <n v="4"/>
    <n v="11.04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25"/>
    <d v="2025-11-25T00:00:00"/>
    <m/>
    <m/>
    <m/>
    <m/>
    <s v="E9_2025-11-25"/>
    <n v="9"/>
    <s v="NHGRI_9"/>
    <x v="24"/>
    <n v="4"/>
    <s v="NHGRI_9_4"/>
    <s v="NHGRI_9_4"/>
    <x v="1"/>
    <s v="NHGRI dissociated cells-18"/>
    <n v="100"/>
    <n v="500"/>
    <m/>
    <s v="Jan_4"/>
    <n v="4"/>
    <n v="10.5"/>
    <n v="11.04"/>
    <n v="4"/>
    <n v="11.18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m/>
    <m/>
    <m/>
  </r>
  <r>
    <n v="25"/>
    <d v="2025-11-25T00:00:00"/>
    <m/>
    <m/>
    <m/>
    <m/>
    <s v="E9_2025-11-25"/>
    <n v="9"/>
    <s v="NHGRI_9"/>
    <x v="24"/>
    <n v="5"/>
    <s v="NHGRI_9_5"/>
    <s v="NHGRI_9_5"/>
    <x v="1"/>
    <s v="NHGRI dissociated cells-18"/>
    <n v="100"/>
    <n v="500"/>
    <m/>
    <s v="Jan_5"/>
    <n v="4"/>
    <n v="11.05"/>
    <n v="11.24"/>
    <n v="4"/>
    <n v="11.39"/>
    <n v="3"/>
    <n v="3"/>
    <n v="3"/>
    <n v="3"/>
    <n v="3"/>
    <n v="2"/>
    <n v="2"/>
    <n v="2"/>
    <n v="2"/>
    <n v="2"/>
    <n v="2"/>
    <n v="2"/>
    <n v="1"/>
    <n v="1"/>
    <n v="1"/>
    <n v="1"/>
    <n v="1"/>
    <n v="1"/>
    <n v="1"/>
    <n v="1"/>
    <n v="1"/>
    <n v="1"/>
    <n v="1"/>
    <s v="Abnormal"/>
    <s v="No.35 abnormal"/>
    <m/>
  </r>
  <r>
    <n v="25"/>
    <d v="2025-11-25T00:00:00"/>
    <m/>
    <m/>
    <m/>
    <m/>
    <s v="E9_2025-11-25"/>
    <n v="9"/>
    <s v="NHGRI_9"/>
    <x v="24"/>
    <n v="6"/>
    <s v="NHGRI_9_6"/>
    <s v="NHGRI_9_6"/>
    <x v="1"/>
    <s v="NHGRI dissociated cells-18"/>
    <n v="100"/>
    <n v="500"/>
    <m/>
    <s v="Jan_6"/>
    <n v="4"/>
    <n v="11.25"/>
    <n v="11.45"/>
    <n v="4"/>
    <n v="12.01"/>
    <n v="3"/>
    <n v="3"/>
    <n v="3"/>
    <n v="3"/>
    <n v="3"/>
    <n v="3"/>
    <n v="3"/>
    <n v="3"/>
    <n v="3"/>
    <n v="3"/>
    <n v="3"/>
    <n v="3"/>
    <n v="3"/>
    <n v="3"/>
    <n v="3"/>
    <n v="3"/>
    <n v="3"/>
    <n v="2"/>
    <n v="2"/>
    <n v="1"/>
    <n v="1"/>
    <n v="1"/>
    <n v="1"/>
    <s v="normal ลง system แล้ว"/>
    <s v="No.36 normal"/>
    <m/>
  </r>
  <r>
    <n v="25"/>
    <d v="2025-11-25T00:00:00"/>
    <m/>
    <m/>
    <m/>
    <m/>
    <s v="E9_2025-11-25"/>
    <n v="9"/>
    <s v="NHGRI_9"/>
    <x v="24"/>
    <n v="7"/>
    <s v="NHGRI_9_7"/>
    <s v="NHGRI_9_7"/>
    <x v="1"/>
    <s v="NHGRI dissociated cells-18"/>
    <n v="100"/>
    <n v="500"/>
    <m/>
    <s v="Jan_7"/>
    <n v="4"/>
    <n v="11.46"/>
    <n v="11.59"/>
    <n v="4"/>
    <n v="12.13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n v="0"/>
    <n v="0"/>
    <m/>
    <m/>
    <m/>
  </r>
  <r>
    <n v="25"/>
    <d v="2025-11-25T00:00:00"/>
    <m/>
    <m/>
    <m/>
    <m/>
    <s v="E9_2025-11-25"/>
    <n v="9"/>
    <s v="NHGRI_9"/>
    <x v="24"/>
    <n v="8"/>
    <s v="NHGRI_9_8"/>
    <s v="NHGRI_9_8"/>
    <x v="1"/>
    <s v="NHGRI dissociated cells-18"/>
    <n v="100"/>
    <n v="500"/>
    <m/>
    <s v="June_1"/>
    <n v="4"/>
    <n v="10.06"/>
    <n v="10.16"/>
    <n v="4"/>
    <n v="10.34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0"/>
    <n v="0"/>
    <n v="0"/>
    <n v="0"/>
    <m/>
    <m/>
    <m/>
  </r>
  <r>
    <n v="25"/>
    <d v="2025-11-25T00:00:00"/>
    <m/>
    <m/>
    <m/>
    <m/>
    <s v="E9_2025-11-25"/>
    <n v="9"/>
    <s v="NHGRI_9"/>
    <x v="24"/>
    <n v="9"/>
    <s v="NHGRI_9_9"/>
    <s v="NHGRI_9_9"/>
    <x v="1"/>
    <s v="NHGRI dissociated cells-18"/>
    <n v="100"/>
    <n v="500"/>
    <m/>
    <s v="June_2"/>
    <n v="3"/>
    <n v="10.19"/>
    <n v="10.25"/>
    <n v="3"/>
    <n v="10.44"/>
    <n v="3"/>
    <n v="3"/>
    <n v="3"/>
    <n v="3"/>
    <n v="3"/>
    <n v="3"/>
    <n v="3"/>
    <n v="3"/>
    <n v="3"/>
    <n v="3"/>
    <n v="3"/>
    <n v="3"/>
    <n v="3"/>
    <n v="3"/>
    <n v="3"/>
    <n v="3"/>
    <n v="2"/>
    <n v="2"/>
    <n v="2"/>
    <n v="1"/>
    <n v="1"/>
    <n v="1"/>
    <n v="1"/>
    <s v="Abnormal"/>
    <s v="No.37 abnormal"/>
    <m/>
  </r>
  <r>
    <n v="25"/>
    <d v="2025-11-25T00:00:00"/>
    <m/>
    <m/>
    <m/>
    <m/>
    <s v="E9_2025-11-25"/>
    <n v="9"/>
    <s v="NHGRI_9"/>
    <x v="24"/>
    <n v="10"/>
    <s v="NHGRI_9_10"/>
    <s v="NHGRI_9_10"/>
    <x v="1"/>
    <s v="NHGRI dissociated cells-18"/>
    <n v="100"/>
    <n v="500"/>
    <m/>
    <s v="June_3"/>
    <n v="4"/>
    <n v="10.35"/>
    <n v="10.45"/>
    <n v="4"/>
    <n v="11.01"/>
    <n v="2"/>
    <n v="2"/>
    <n v="2"/>
    <n v="2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s v="Abnormal"/>
    <s v="No.38 abnormal"/>
    <m/>
  </r>
  <r>
    <n v="25"/>
    <d v="2025-11-25T00:00:00"/>
    <m/>
    <m/>
    <m/>
    <m/>
    <s v="E9_2025-11-25"/>
    <n v="9"/>
    <s v="NHGRI_9"/>
    <x v="24"/>
    <n v="11"/>
    <s v="NHGRI_9_11"/>
    <s v="NHGRI_9_11"/>
    <x v="1"/>
    <s v="NHGRI dissociated cells-18"/>
    <n v="100"/>
    <n v="500"/>
    <m/>
    <s v="June_4"/>
    <n v="2"/>
    <n v="10.48"/>
    <n v="11.59"/>
    <n v="2"/>
    <n v="11.13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0"/>
    <n v="0"/>
    <n v="0"/>
    <n v="0"/>
    <m/>
    <m/>
    <m/>
  </r>
  <r>
    <n v="25"/>
    <d v="2025-11-25T00:00:00"/>
    <m/>
    <m/>
    <m/>
    <m/>
    <s v="E9_2025-11-25"/>
    <n v="9"/>
    <s v="NHGRI_9"/>
    <x v="24"/>
    <n v="12"/>
    <s v="NHGRI_9_12"/>
    <s v="NHGRI_9_12"/>
    <x v="1"/>
    <s v="NHGRI dissociated cells-18"/>
    <n v="100"/>
    <n v="500"/>
    <m/>
    <s v="June_5"/>
    <n v="2"/>
    <n v="11.1"/>
    <n v="11.23"/>
    <n v="2"/>
    <n v="11.37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5"/>
    <d v="2025-11-25T00:00:00"/>
    <m/>
    <m/>
    <m/>
    <m/>
    <s v="E9_2025-11-25"/>
    <n v="9"/>
    <s v="NHGRI_9"/>
    <x v="24"/>
    <n v="13"/>
    <s v="NHGRI_9_13"/>
    <s v="NHGRI_9_13"/>
    <x v="1"/>
    <s v="NHGRI dissociated cells-18"/>
    <n v="100"/>
    <n v="500"/>
    <m/>
    <s v="June_6"/>
    <n v="2"/>
    <n v="11.26"/>
    <n v="11.32"/>
    <n v="2"/>
    <n v="11.48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m/>
    <m/>
    <m/>
  </r>
  <r>
    <n v="25"/>
    <d v="2025-11-25T00:00:00"/>
    <m/>
    <m/>
    <m/>
    <m/>
    <s v="E9_2025-11-25"/>
    <n v="9"/>
    <s v="NHGRI_9"/>
    <x v="24"/>
    <n v="14"/>
    <s v="NHGRI_9_14"/>
    <s v="NHGRI_9_14"/>
    <x v="1"/>
    <s v="NHGRI dissociated cells-18"/>
    <n v="100"/>
    <n v="500"/>
    <m/>
    <s v="June_7"/>
    <n v="3"/>
    <n v="11.37"/>
    <n v="11.49"/>
    <n v="3"/>
    <n v="12.03"/>
    <n v="1"/>
    <n v="1"/>
    <n v="1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m/>
    <m/>
    <m/>
  </r>
  <r>
    <n v="26"/>
    <d v="2025-11-27T00:00:00"/>
    <s v="TAB Taiwan 20-3-2025"/>
    <s v="NBD 1 4 cell = 84.21 %"/>
    <m/>
    <s v="CSOF 3-2021"/>
    <m/>
    <n v="10"/>
    <s v="NHGRI_10"/>
    <x v="25"/>
    <n v="1"/>
    <s v="NHGRI_10_1"/>
    <s v="NHGRI_10_1"/>
    <x v="1"/>
    <s v="NHGRI dissociated cells-19"/>
    <n v="100"/>
    <n v="500"/>
    <n v="70"/>
    <s v="Jan_1"/>
    <n v="4"/>
    <n v="10.17"/>
    <n v="10.29"/>
    <n v="4"/>
    <n v="10.44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6"/>
    <d v="2025-11-27T00:00:00"/>
    <m/>
    <s v="Day 3 = 75.43 %"/>
    <m/>
    <m/>
    <m/>
    <n v="10"/>
    <s v="NHGRI_10"/>
    <x v="25"/>
    <n v="2"/>
    <s v="NHGRI_10_2"/>
    <s v="NHGRI_10_2"/>
    <x v="1"/>
    <s v="NHGRI dissociated cells-19"/>
    <n v="100"/>
    <n v="500"/>
    <m/>
    <s v="Jan_2"/>
    <n v="4"/>
    <n v="10.36"/>
    <n v="10.54"/>
    <n v="4"/>
    <n v="11.1"/>
    <n v="3"/>
    <n v="3"/>
    <n v="3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3"/>
    <s v="NHGRI_10_3"/>
    <s v="NHGRI_10_3"/>
    <x v="1"/>
    <s v="NHGRI dissociated cells-19"/>
    <n v="100"/>
    <n v="500"/>
    <m/>
    <s v="Jan_3"/>
    <n v="4"/>
    <n v="11.04"/>
    <n v="11.21"/>
    <n v="4"/>
    <n v="11.35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4"/>
    <s v="NHGRI_10_4"/>
    <s v="NHGRI_10_4"/>
    <x v="1"/>
    <s v="NHGRI dissociated cells-19"/>
    <n v="100"/>
    <n v="500"/>
    <m/>
    <s v="Jan_4"/>
    <n v="4"/>
    <n v="11.28"/>
    <n v="11.39"/>
    <n v="4"/>
    <n v="1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5"/>
    <s v="NHGRI_10_5"/>
    <s v="NHGRI_10_5"/>
    <x v="1"/>
    <s v="NHGRI dissociated cells-19"/>
    <n v="100"/>
    <n v="500"/>
    <m/>
    <s v="Jan_5"/>
    <n v="4"/>
    <n v="11.48"/>
    <n v="12.01"/>
    <n v="4"/>
    <n v="12.15"/>
    <n v="1"/>
    <n v="1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6"/>
    <s v="NHGRI_10_6"/>
    <s v="NHGRI_10_6"/>
    <x v="1"/>
    <s v="NHGRI dissociated cells-19"/>
    <n v="100"/>
    <n v="500"/>
    <m/>
    <s v="Jan_6"/>
    <n v="4"/>
    <n v="12.07"/>
    <n v="12.23"/>
    <n v="4"/>
    <n v="12.36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7"/>
    <s v="NHGRI_10_7"/>
    <s v="NHGRI_10_7"/>
    <x v="1"/>
    <s v="NHGRI dissociated cells-19"/>
    <n v="100"/>
    <n v="500"/>
    <m/>
    <s v="June_1"/>
    <n v="3"/>
    <n v="10.15"/>
    <n v="10.24"/>
    <n v="3"/>
    <n v="10.41"/>
    <n v="2"/>
    <n v="2"/>
    <n v="2"/>
    <n v="2"/>
    <n v="2"/>
    <n v="2"/>
    <n v="2"/>
    <n v="2"/>
    <n v="2"/>
    <n v="1"/>
    <n v="1"/>
    <n v="1"/>
    <n v="1"/>
    <n v="1"/>
    <n v="1"/>
    <n v="1"/>
    <n v="1"/>
    <n v="1"/>
    <n v="1"/>
    <n v="0"/>
    <n v="0"/>
    <n v="0"/>
    <n v="0"/>
    <m/>
    <m/>
    <m/>
  </r>
  <r>
    <n v="26"/>
    <d v="2025-11-27T00:00:00"/>
    <m/>
    <m/>
    <m/>
    <m/>
    <m/>
    <n v="10"/>
    <s v="NHGRI_10"/>
    <x v="25"/>
    <n v="8"/>
    <s v="NHGRI_10_8"/>
    <s v="NHGRI_10_8"/>
    <x v="1"/>
    <s v="NHGRI dissociated cells-19"/>
    <n v="100"/>
    <n v="500"/>
    <m/>
    <s v="June_2"/>
    <n v="3"/>
    <n v="10.28"/>
    <n v="10.36"/>
    <n v="3"/>
    <n v="10.5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s v="normal ลง system แล้ว"/>
    <s v="No.39 normal"/>
    <m/>
  </r>
  <r>
    <n v="26"/>
    <d v="2025-11-27T00:00:00"/>
    <m/>
    <m/>
    <m/>
    <m/>
    <m/>
    <n v="10"/>
    <s v="NHGRI_10"/>
    <x v="25"/>
    <n v="9"/>
    <s v="NHGRI_10_9"/>
    <s v="NHGRI_10_9"/>
    <x v="1"/>
    <s v="NHGRI dissociated cells-19"/>
    <n v="100"/>
    <n v="500"/>
    <m/>
    <s v="June_3"/>
    <n v="3"/>
    <n v="10.38"/>
    <n v="10.53"/>
    <n v="3"/>
    <n v="11.09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n v="1"/>
    <s v="normal ลง system แล้ว"/>
    <s v="No.40 normal"/>
    <m/>
  </r>
  <r>
    <n v="26"/>
    <d v="2025-11-27T00:00:00"/>
    <m/>
    <m/>
    <m/>
    <m/>
    <m/>
    <n v="10"/>
    <s v="NHGRI_10"/>
    <x v="25"/>
    <n v="10"/>
    <s v="NHGRI_10_10"/>
    <s v="NHGRI_10_10"/>
    <x v="1"/>
    <s v="NHGRI dissociated cells-19"/>
    <n v="100"/>
    <n v="500"/>
    <m/>
    <s v="June_4"/>
    <n v="3"/>
    <n v="11.02"/>
    <n v="11.12"/>
    <n v="3"/>
    <n v="11.26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s v="Abnormal"/>
    <s v="No.41 abnormal"/>
    <m/>
  </r>
  <r>
    <n v="26"/>
    <d v="2025-11-27T00:00:00"/>
    <m/>
    <m/>
    <m/>
    <m/>
    <m/>
    <n v="10"/>
    <s v="NHGRI_10"/>
    <x v="25"/>
    <n v="11"/>
    <s v="NHGRI_10_11"/>
    <s v="NHGRI_10_11"/>
    <x v="1"/>
    <s v="NHGRI dissociated cells-19"/>
    <n v="100"/>
    <n v="500"/>
    <m/>
    <s v="June_5"/>
    <n v="3"/>
    <n v="11.24"/>
    <n v="11.37"/>
    <n v="3"/>
    <n v="11.5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s v="Abnormal"/>
    <s v="No.42 abnormal"/>
    <m/>
  </r>
  <r>
    <n v="26"/>
    <d v="2025-11-27T00:00:00"/>
    <m/>
    <m/>
    <m/>
    <m/>
    <m/>
    <n v="10"/>
    <s v="NHGRI_10"/>
    <x v="25"/>
    <n v="12"/>
    <s v="NHGRI_10_12"/>
    <s v="NHGRI_10_12"/>
    <x v="1"/>
    <s v="NHGRI dissociated cells-19"/>
    <n v="100"/>
    <n v="500"/>
    <m/>
    <s v="June_6"/>
    <n v="3"/>
    <n v="11.42"/>
    <n v="11.52"/>
    <n v="3"/>
    <n v="12.07"/>
    <n v="3"/>
    <n v="3"/>
    <n v="3"/>
    <n v="3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Abnormal"/>
    <s v="No.43 abnormal"/>
    <m/>
  </r>
  <r>
    <n v="26"/>
    <d v="2025-11-27T00:00:00"/>
    <m/>
    <m/>
    <m/>
    <m/>
    <m/>
    <n v="10"/>
    <s v="NHGRI_10"/>
    <x v="25"/>
    <n v="13"/>
    <s v="NHGRI_10_13"/>
    <s v="NHGRI_10_13"/>
    <x v="1"/>
    <s v="NHGRI dissociated cells-19"/>
    <n v="100"/>
    <n v="500"/>
    <m/>
    <s v="June_7"/>
    <n v="1"/>
    <n v="11.54"/>
    <n v="12.02"/>
    <n v="1"/>
    <n v="12.1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1"/>
    <n v="1"/>
    <n v="1"/>
    <s v="Abnormal"/>
    <s v="No.44 abnormal"/>
    <m/>
  </r>
  <r>
    <n v="26"/>
    <d v="2025-11-27T00:00:00"/>
    <m/>
    <m/>
    <m/>
    <m/>
    <m/>
    <n v="10"/>
    <s v="NHGRI_10"/>
    <x v="25"/>
    <n v="14"/>
    <s v="NHGRI_10_14"/>
    <s v="NHGRI_10_14"/>
    <x v="1"/>
    <s v="NHGRI dissociated cells-19"/>
    <n v="100"/>
    <n v="500"/>
    <m/>
    <s v="June_8"/>
    <n v="2"/>
    <n v="12.06"/>
    <n v="12.18"/>
    <n v="2"/>
    <n v="12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15"/>
    <s v="NHGRI_10_15"/>
    <s v="NHGRI_10_15"/>
    <x v="1"/>
    <s v="NHGRI dissociated cells-19"/>
    <n v="100"/>
    <n v="500"/>
    <m/>
    <s v="Bee_1"/>
    <n v="5"/>
    <s v="-"/>
    <s v="-"/>
    <n v="5"/>
    <n v="10.49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s v="normal ลง system แล้ว"/>
    <s v="No.45 normal"/>
    <m/>
  </r>
  <r>
    <n v="26"/>
    <d v="2025-11-27T00:00:00"/>
    <m/>
    <m/>
    <m/>
    <m/>
    <m/>
    <n v="10"/>
    <s v="NHGRI_10"/>
    <x v="25"/>
    <n v="16"/>
    <s v="NHGRI_10_16"/>
    <s v="NHGRI_10_16"/>
    <x v="1"/>
    <s v="NHGRI dissociated cells-19"/>
    <n v="100"/>
    <n v="500"/>
    <m/>
    <s v="Bee_2"/>
    <n v="4"/>
    <s v="-"/>
    <s v="-"/>
    <n v="4"/>
    <n v="11.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17"/>
    <s v="NHGRI_10_17"/>
    <s v="NHGRI_10_17"/>
    <x v="1"/>
    <s v="NHGRI dissociated cells-19"/>
    <n v="100"/>
    <n v="500"/>
    <m/>
    <s v="Bee_3"/>
    <n v="5"/>
    <s v="-"/>
    <s v="-"/>
    <n v="5"/>
    <n v="11.37"/>
    <n v="4"/>
    <n v="4"/>
    <n v="4"/>
    <n v="4"/>
    <n v="4"/>
    <n v="4"/>
    <n v="4"/>
    <n v="4"/>
    <n v="1"/>
    <n v="1"/>
    <n v="1"/>
    <n v="1"/>
    <n v="1"/>
    <n v="1"/>
    <n v="1"/>
    <n v="1"/>
    <n v="1"/>
    <n v="1"/>
    <n v="1"/>
    <n v="1"/>
    <n v="1"/>
    <n v="1"/>
    <n v="1"/>
    <s v="Abnormal"/>
    <s v="No.46 abnormal"/>
    <m/>
  </r>
  <r>
    <n v="26"/>
    <d v="2025-11-27T00:00:00"/>
    <m/>
    <m/>
    <m/>
    <m/>
    <m/>
    <n v="10"/>
    <s v="NHGRI_10"/>
    <x v="25"/>
    <n v="18"/>
    <s v="NHGRI_10_18"/>
    <s v="NHGRI_10_18"/>
    <x v="1"/>
    <s v="NHGRI dissociated cells-19"/>
    <n v="100"/>
    <n v="500"/>
    <m/>
    <s v="Bee_4"/>
    <n v="5"/>
    <s v="-"/>
    <s v="-"/>
    <n v="5"/>
    <n v="11.55"/>
    <n v="4"/>
    <n v="4"/>
    <n v="4"/>
    <n v="4"/>
    <n v="4"/>
    <n v="1"/>
    <n v="1"/>
    <n v="1"/>
    <n v="1"/>
    <n v="1"/>
    <n v="1"/>
    <n v="1"/>
    <n v="1"/>
    <n v="1"/>
    <n v="1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19"/>
    <s v="NHGRI_10_19"/>
    <s v="NHGRI_10_19"/>
    <x v="1"/>
    <s v="NHGRI dissociated cells-19"/>
    <n v="100"/>
    <n v="500"/>
    <m/>
    <s v="Bee_5"/>
    <n v="5"/>
    <s v="-"/>
    <s v="-"/>
    <n v="5"/>
    <n v="12.13"/>
    <n v="2"/>
    <n v="2"/>
    <n v="2"/>
    <n v="2"/>
    <n v="2"/>
    <n v="2"/>
    <n v="2"/>
    <n v="2"/>
    <n v="2"/>
    <n v="2"/>
    <n v="2"/>
    <n v="2"/>
    <n v="2"/>
    <n v="2"/>
    <n v="2"/>
    <n v="0"/>
    <n v="0"/>
    <n v="0"/>
    <n v="0"/>
    <n v="0"/>
    <n v="0"/>
    <n v="0"/>
    <n v="0"/>
    <m/>
    <m/>
    <m/>
  </r>
  <r>
    <n v="26"/>
    <d v="2025-11-27T00:00:00"/>
    <m/>
    <m/>
    <m/>
    <m/>
    <m/>
    <n v="10"/>
    <s v="NHGRI_10"/>
    <x v="25"/>
    <n v="20"/>
    <s v="NHGRI_10_20"/>
    <s v="NHGRI_10_20"/>
    <x v="1"/>
    <s v="NHGRI dissociated cells-19"/>
    <n v="100"/>
    <n v="500"/>
    <m/>
    <s v="Bee_6"/>
    <n v="5"/>
    <s v="-"/>
    <s v="-"/>
    <n v="5"/>
    <n v="12.35"/>
    <n v="1"/>
    <n v="1"/>
    <n v="1"/>
    <n v="1"/>
    <n v="1"/>
    <n v="1"/>
    <n v="1"/>
    <n v="1"/>
    <n v="1"/>
    <n v="1"/>
    <n v="1"/>
    <n v="1"/>
    <n v="0"/>
    <n v="0"/>
    <n v="0"/>
    <n v="0"/>
    <n v="0"/>
    <n v="0"/>
    <n v="0"/>
    <n v="0"/>
    <n v="0"/>
    <n v="0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44EB1-8399-431E-A8DC-B1850F3EF0E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31" firstHeaderRow="1" firstDataRow="2" firstDataCol="1"/>
  <pivotFields count="5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nonAutoSortDefault="1" defaultSubtotal="0">
      <items count="26">
        <item x="2"/>
        <item x="5"/>
        <item x="8"/>
        <item x="11"/>
        <item x="14"/>
        <item x="15"/>
        <item x="16"/>
        <item x="18"/>
        <item x="20"/>
        <item x="1"/>
        <item x="25"/>
        <item x="4"/>
        <item x="7"/>
        <item x="10"/>
        <item x="12"/>
        <item x="13"/>
        <item x="22"/>
        <item x="23"/>
        <item x="24"/>
        <item x="0"/>
        <item x="3"/>
        <item x="6"/>
        <item x="9"/>
        <item x="17"/>
        <item x="19"/>
        <item x="21"/>
      </items>
    </pivotField>
    <pivotField numFmtId="1"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dataField="1" showAll="0"/>
    <pivotField numFmtId="1"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</pivotFields>
  <rowFields count="1">
    <field x="9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09_256-cell" fld="31" baseField="0" baseItem="0"/>
  </dataFields>
  <chartFormats count="6">
    <chartFormat chart="0" format="25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26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27" series="1">
      <pivotArea type="data" outline="0" fieldPosition="0">
        <references count="1">
          <reference field="13" count="1" selected="0">
            <x v="2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F34C8-45A8-49C9-8B96-C2130F7727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20" firstHeaderRow="1" firstDataRow="2" firstDataCol="1"/>
  <pivotFields count="33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01_Activate" fld="5" baseField="0" baseItem="0"/>
  </dataFields>
  <chartFormats count="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9-30T02:42:30.53" personId="{26569247-4491-4069-84E9-A89CFB5AC1EE}" id="{9A2554B6-7230-4002-82B9-529BC287AB34}">
    <text>Result of %NBD  @ sheet NBD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25" dT="2025-11-12T01:32:22.41" personId="{37AC6C1A-4F28-43AC-B966-5D258ADCB9CA}" id="{98C0C458-E96E-4114-AFA1-1F0F85143B99}">
    <text>ยังดีอยู่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Picture/No.25_Clone7-TU%20cell-01.tif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../Picture/No.14_Clone4-NHGRI-14.tif" TargetMode="External"/><Relationship Id="rId7" Type="http://schemas.openxmlformats.org/officeDocument/2006/relationships/hyperlink" Target="../Picture/No.23_Clone1-NHGRI%20cell-15.tif" TargetMode="External"/><Relationship Id="rId12" Type="http://schemas.openxmlformats.org/officeDocument/2006/relationships/hyperlink" Target="../Picture/No.31_Clone5-AB%20cell-04.tif" TargetMode="External"/><Relationship Id="rId2" Type="http://schemas.openxmlformats.org/officeDocument/2006/relationships/hyperlink" Target="../Picture/No.11_Clone4-AB%20cell-17.tif" TargetMode="External"/><Relationship Id="rId16" Type="http://schemas.microsoft.com/office/2017/10/relationships/threadedComment" Target="../threadedComments/threadedComment2.xml"/><Relationship Id="rId1" Type="http://schemas.openxmlformats.org/officeDocument/2006/relationships/hyperlink" Target="../Picture/No.6_Clone3-AB%20cell-16.tif" TargetMode="External"/><Relationship Id="rId6" Type="http://schemas.openxmlformats.org/officeDocument/2006/relationships/hyperlink" Target="../Picture/No.21_Clone4-NHGRI%20cell-15.tif" TargetMode="External"/><Relationship Id="rId11" Type="http://schemas.openxmlformats.org/officeDocument/2006/relationships/hyperlink" Target="../Picture/No.30_Clone2-AB%20cell-04.tif" TargetMode="External"/><Relationship Id="rId5" Type="http://schemas.openxmlformats.org/officeDocument/2006/relationships/hyperlink" Target="../Picture/No.20_Clone1-NHGRI%20cell-15.tif" TargetMode="External"/><Relationship Id="rId15" Type="http://schemas.openxmlformats.org/officeDocument/2006/relationships/comments" Target="../comments2.xml"/><Relationship Id="rId10" Type="http://schemas.openxmlformats.org/officeDocument/2006/relationships/hyperlink" Target="../Picture/No.29_Clone8-TU%20cell-02.tif" TargetMode="External"/><Relationship Id="rId4" Type="http://schemas.openxmlformats.org/officeDocument/2006/relationships/hyperlink" Target="../Picture/No.19_Clone1-NHGRI%20cell-15.tif" TargetMode="External"/><Relationship Id="rId9" Type="http://schemas.openxmlformats.org/officeDocument/2006/relationships/hyperlink" Target="../Picture/No.28_Clone2-TU%20cell-02.tif" TargetMode="External"/><Relationship Id="rId1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A629-98DE-47C8-983C-F4F938BB059E}">
  <sheetPr>
    <tabColor rgb="FF00B050"/>
  </sheetPr>
  <dimension ref="A1:BI412"/>
  <sheetViews>
    <sheetView workbookViewId="0">
      <pane xSplit="24" ySplit="1" topLeftCell="AI2" activePane="bottomRight" state="frozen"/>
      <selection pane="topRight" activeCell="S1" sqref="S1"/>
      <selection pane="bottomLeft" activeCell="A3" sqref="A3"/>
      <selection pane="bottomRight" activeCell="V23" sqref="V23"/>
    </sheetView>
    <sheetView topLeftCell="H1" workbookViewId="1">
      <selection activeCell="W30" sqref="W30"/>
    </sheetView>
    <sheetView topLeftCell="H1" workbookViewId="2"/>
  </sheetViews>
  <sheetFormatPr defaultColWidth="9" defaultRowHeight="15"/>
  <cols>
    <col min="1" max="1" width="9.7109375" style="115" hidden="1" customWidth="1"/>
    <col min="2" max="2" width="11.28515625" style="115" hidden="1" customWidth="1"/>
    <col min="3" max="3" width="20" style="115" hidden="1" customWidth="1"/>
    <col min="4" max="4" width="23.28515625" style="115" hidden="1" customWidth="1"/>
    <col min="5" max="5" width="31.5703125" style="115" hidden="1" customWidth="1"/>
    <col min="6" max="6" width="14.5703125" style="115" hidden="1" customWidth="1"/>
    <col min="7" max="7" width="18.5703125" style="115" hidden="1" customWidth="1"/>
    <col min="8" max="8" width="10.28515625" style="115" customWidth="1"/>
    <col min="9" max="9" width="10.28515625" style="117" hidden="1" customWidth="1"/>
    <col min="10" max="10" width="10.28515625" style="117" customWidth="1"/>
    <col min="11" max="11" width="10.28515625" style="118" hidden="1" customWidth="1"/>
    <col min="12" max="12" width="11.140625" style="117" hidden="1" customWidth="1"/>
    <col min="13" max="13" width="11.140625" style="117" customWidth="1"/>
    <col min="14" max="14" width="8.28515625" style="115" customWidth="1"/>
    <col min="15" max="15" width="32.140625" style="115" hidden="1" customWidth="1"/>
    <col min="16" max="16" width="9" style="115" hidden="1" customWidth="1"/>
    <col min="17" max="19" width="0" style="115" hidden="1" customWidth="1"/>
    <col min="20" max="22" width="9" style="115" customWidth="1"/>
    <col min="23" max="23" width="5.85546875" style="118" customWidth="1"/>
    <col min="24" max="24" width="7.85546875" style="115" hidden="1" customWidth="1"/>
    <col min="25" max="25" width="8.85546875" style="115" customWidth="1"/>
    <col min="26" max="26" width="8.28515625" style="115" customWidth="1"/>
    <col min="27" max="27" width="8.5703125" style="115" customWidth="1"/>
    <col min="28" max="44" width="9" style="115"/>
    <col min="45" max="45" width="8.28515625" style="115" customWidth="1"/>
    <col min="46" max="46" width="8.5703125" style="115" customWidth="1"/>
    <col min="47" max="47" width="6.5703125" style="115" customWidth="1"/>
    <col min="48" max="48" width="8" style="115" customWidth="1"/>
    <col min="49" max="49" width="24" style="115" hidden="1" customWidth="1"/>
    <col min="50" max="50" width="4.7109375" style="114" hidden="1" customWidth="1"/>
    <col min="51" max="52" width="9" style="115" hidden="1" customWidth="1"/>
    <col min="53" max="53" width="19.5703125" style="115" customWidth="1"/>
    <col min="54" max="54" width="9" style="115"/>
    <col min="55" max="55" width="9.7109375" style="126" hidden="1" customWidth="1"/>
    <col min="56" max="56" width="9" style="115"/>
    <col min="57" max="57" width="10.7109375" style="115" hidden="1" customWidth="1"/>
    <col min="58" max="58" width="9" style="115"/>
    <col min="59" max="59" width="0" style="115" hidden="1" customWidth="1"/>
    <col min="60" max="16384" width="9" style="115"/>
  </cols>
  <sheetData>
    <row r="1" spans="1:61">
      <c r="A1" s="105" t="s">
        <v>768</v>
      </c>
      <c r="B1" s="106" t="s">
        <v>764</v>
      </c>
      <c r="C1" s="106" t="s">
        <v>24</v>
      </c>
      <c r="D1" s="106" t="s">
        <v>25</v>
      </c>
      <c r="E1" s="106"/>
      <c r="F1" s="106" t="s">
        <v>26</v>
      </c>
      <c r="G1" s="105" t="s">
        <v>27</v>
      </c>
      <c r="H1" s="107" t="s">
        <v>763</v>
      </c>
      <c r="I1" s="108" t="s">
        <v>770</v>
      </c>
      <c r="J1" s="108" t="s">
        <v>769</v>
      </c>
      <c r="K1" s="109" t="s">
        <v>800</v>
      </c>
      <c r="L1" s="108" t="s">
        <v>799</v>
      </c>
      <c r="M1" s="108" t="s">
        <v>801</v>
      </c>
      <c r="N1" s="107" t="s">
        <v>28</v>
      </c>
      <c r="O1" s="105" t="s">
        <v>29</v>
      </c>
      <c r="P1" s="105" t="s">
        <v>30</v>
      </c>
      <c r="Q1" s="105"/>
      <c r="R1" s="105"/>
      <c r="S1" s="105" t="s">
        <v>31</v>
      </c>
      <c r="T1" s="105" t="s">
        <v>32</v>
      </c>
      <c r="U1" s="105" t="s">
        <v>33</v>
      </c>
      <c r="V1" s="105"/>
      <c r="W1" s="110" t="s">
        <v>1211</v>
      </c>
      <c r="X1" s="111" t="s">
        <v>34</v>
      </c>
      <c r="Y1" s="111" t="s">
        <v>1212</v>
      </c>
      <c r="Z1" s="112" t="s">
        <v>1213</v>
      </c>
      <c r="AA1" s="112" t="s">
        <v>1214</v>
      </c>
      <c r="AB1" s="112" t="s">
        <v>1215</v>
      </c>
      <c r="AC1" s="112" t="s">
        <v>1216</v>
      </c>
      <c r="AD1" s="112" t="s">
        <v>1217</v>
      </c>
      <c r="AE1" s="112" t="s">
        <v>1218</v>
      </c>
      <c r="AF1" s="112" t="s">
        <v>1219</v>
      </c>
      <c r="AG1" s="112" t="s">
        <v>1220</v>
      </c>
      <c r="AH1" s="112" t="s">
        <v>1221</v>
      </c>
      <c r="AI1" s="112" t="s">
        <v>1222</v>
      </c>
      <c r="AJ1" s="112" t="s">
        <v>1223</v>
      </c>
      <c r="AK1" s="112" t="s">
        <v>1224</v>
      </c>
      <c r="AL1" s="112" t="s">
        <v>1225</v>
      </c>
      <c r="AM1" s="112" t="s">
        <v>1226</v>
      </c>
      <c r="AN1" s="112" t="s">
        <v>1227</v>
      </c>
      <c r="AO1" s="112" t="s">
        <v>1228</v>
      </c>
      <c r="AP1" s="112" t="s">
        <v>1229</v>
      </c>
      <c r="AQ1" s="112" t="s">
        <v>1230</v>
      </c>
      <c r="AR1" s="111" t="s">
        <v>1231</v>
      </c>
      <c r="AS1" s="111" t="s">
        <v>1232</v>
      </c>
      <c r="AT1" s="111" t="s">
        <v>1233</v>
      </c>
      <c r="AU1" s="113" t="s">
        <v>36</v>
      </c>
      <c r="AV1" s="105" t="s">
        <v>1235</v>
      </c>
      <c r="AW1" s="105" t="s">
        <v>37</v>
      </c>
      <c r="AX1" s="114" t="s">
        <v>38</v>
      </c>
      <c r="BA1" s="148" t="s">
        <v>39</v>
      </c>
      <c r="BB1" s="148" t="s">
        <v>40</v>
      </c>
      <c r="BC1" s="148" t="s">
        <v>41</v>
      </c>
      <c r="BD1" s="148" t="s">
        <v>42</v>
      </c>
      <c r="BE1" s="148" t="s">
        <v>43</v>
      </c>
      <c r="BF1" s="148" t="s">
        <v>44</v>
      </c>
      <c r="BG1" s="148" t="s">
        <v>45</v>
      </c>
      <c r="BH1" s="149" t="s">
        <v>1234</v>
      </c>
      <c r="BI1" s="150" t="s">
        <v>1236</v>
      </c>
    </row>
    <row r="2" spans="1:61">
      <c r="A2" s="114">
        <v>1</v>
      </c>
      <c r="B2" s="116">
        <v>45911</v>
      </c>
      <c r="C2" s="116" t="s">
        <v>46</v>
      </c>
      <c r="D2" s="116" t="s">
        <v>47</v>
      </c>
      <c r="E2" s="116"/>
      <c r="F2" s="116" t="s">
        <v>48</v>
      </c>
      <c r="G2" s="115" t="s">
        <v>49</v>
      </c>
      <c r="H2" s="115">
        <v>1</v>
      </c>
      <c r="I2" s="117" t="str">
        <f>_xlfn.CONCAT(N2 &amp; "_" &amp; H2)</f>
        <v>TU_1</v>
      </c>
      <c r="J2" s="117" t="s">
        <v>791</v>
      </c>
      <c r="K2" s="118">
        <v>1</v>
      </c>
      <c r="L2" s="117" t="str">
        <f>_xlfn.CONCAT(J2 &amp; "_" &amp; K2)</f>
        <v>TU_1_1</v>
      </c>
      <c r="M2" s="117" t="s">
        <v>802</v>
      </c>
      <c r="N2" s="115" t="s">
        <v>50</v>
      </c>
      <c r="O2" s="115" t="s">
        <v>51</v>
      </c>
      <c r="P2" s="115">
        <v>100</v>
      </c>
      <c r="Q2" s="115">
        <v>500</v>
      </c>
      <c r="R2" s="115">
        <v>80</v>
      </c>
      <c r="S2" s="115">
        <v>1</v>
      </c>
      <c r="T2" s="115">
        <v>3</v>
      </c>
      <c r="U2" s="117">
        <v>10</v>
      </c>
      <c r="V2" s="117">
        <v>10.25</v>
      </c>
      <c r="W2" s="118">
        <v>3</v>
      </c>
      <c r="X2" s="118">
        <v>10.41</v>
      </c>
      <c r="Y2" s="118">
        <v>2</v>
      </c>
      <c r="Z2" s="118">
        <v>2</v>
      </c>
      <c r="AA2" s="118">
        <v>2</v>
      </c>
      <c r="AB2" s="118">
        <v>2</v>
      </c>
      <c r="AC2" s="118">
        <v>2</v>
      </c>
      <c r="AD2" s="118">
        <v>2</v>
      </c>
      <c r="AE2" s="118">
        <v>2</v>
      </c>
      <c r="AF2" s="118">
        <v>2</v>
      </c>
      <c r="AG2" s="118">
        <v>2</v>
      </c>
      <c r="AH2" s="118">
        <v>2</v>
      </c>
      <c r="AI2" s="118">
        <v>2</v>
      </c>
      <c r="AJ2" s="118">
        <v>2</v>
      </c>
      <c r="AK2" s="118">
        <v>1</v>
      </c>
      <c r="AL2" s="118">
        <v>0</v>
      </c>
      <c r="AM2" s="118">
        <v>0</v>
      </c>
      <c r="AN2" s="118">
        <v>0</v>
      </c>
      <c r="AO2" s="118">
        <v>0</v>
      </c>
      <c r="AP2" s="118">
        <v>0</v>
      </c>
      <c r="AQ2" s="118">
        <v>0</v>
      </c>
      <c r="AR2" s="118">
        <v>0</v>
      </c>
      <c r="AS2" s="118">
        <v>0</v>
      </c>
      <c r="AT2" s="118">
        <v>0</v>
      </c>
      <c r="AU2" s="118">
        <f>AT2</f>
        <v>0</v>
      </c>
      <c r="AW2" s="119" t="s">
        <v>52</v>
      </c>
      <c r="AX2" s="114" t="s">
        <v>53</v>
      </c>
      <c r="AZ2" s="115" t="s">
        <v>54</v>
      </c>
      <c r="BA2" s="148" t="s">
        <v>55</v>
      </c>
      <c r="BB2" s="151">
        <f>SUMIFS(T$2:T$995,N$2:N$995,"TU")</f>
        <v>450</v>
      </c>
      <c r="BC2" s="151"/>
      <c r="BD2" s="151">
        <f>SUMIFS(T$2:T$995,N$2:N$995,"NHGRI")</f>
        <v>501</v>
      </c>
      <c r="BE2" s="151"/>
      <c r="BF2" s="151">
        <f>SUMIFS(T$2:T$995,N$2:N$995,"AB")</f>
        <v>482</v>
      </c>
      <c r="BG2" s="151"/>
      <c r="BH2" s="150">
        <f>BB2+BD2+BF2</f>
        <v>1433</v>
      </c>
      <c r="BI2" s="152">
        <v>1416</v>
      </c>
    </row>
    <row r="3" spans="1:61">
      <c r="A3" s="114">
        <v>1</v>
      </c>
      <c r="B3" s="116">
        <v>45911</v>
      </c>
      <c r="C3" s="116"/>
      <c r="D3" s="116" t="s">
        <v>56</v>
      </c>
      <c r="E3" s="116"/>
      <c r="F3" s="116"/>
      <c r="G3" s="115" t="s">
        <v>49</v>
      </c>
      <c r="H3" s="115">
        <v>1</v>
      </c>
      <c r="I3" s="117" t="str">
        <f t="shared" ref="I3:I14" si="0">_xlfn.CONCAT(N3 &amp; "_" &amp; H3)</f>
        <v>TU_1</v>
      </c>
      <c r="J3" s="117" t="s">
        <v>791</v>
      </c>
      <c r="K3" s="118">
        <v>2</v>
      </c>
      <c r="L3" s="117" t="str">
        <f t="shared" ref="L3:L22" si="1">_xlfn.CONCAT(J3 &amp; "_" &amp; K3)</f>
        <v>TU_1_2</v>
      </c>
      <c r="M3" s="117" t="s">
        <v>803</v>
      </c>
      <c r="N3" s="115" t="s">
        <v>50</v>
      </c>
      <c r="O3" s="115" t="s">
        <v>51</v>
      </c>
      <c r="P3" s="115">
        <v>100</v>
      </c>
      <c r="Q3" s="115">
        <v>500</v>
      </c>
      <c r="S3" s="115">
        <v>2</v>
      </c>
      <c r="T3" s="115">
        <v>3</v>
      </c>
      <c r="U3" s="117">
        <v>10.32</v>
      </c>
      <c r="V3" s="117">
        <v>10.55</v>
      </c>
      <c r="W3" s="118">
        <v>3</v>
      </c>
      <c r="X3" s="118">
        <v>11.11</v>
      </c>
      <c r="Y3" s="118">
        <v>3</v>
      </c>
      <c r="Z3" s="118">
        <v>3</v>
      </c>
      <c r="AA3" s="118">
        <v>2</v>
      </c>
      <c r="AB3" s="118">
        <v>2</v>
      </c>
      <c r="AC3" s="118">
        <v>2</v>
      </c>
      <c r="AD3" s="118">
        <v>2</v>
      </c>
      <c r="AE3" s="118">
        <v>2</v>
      </c>
      <c r="AF3" s="118">
        <v>2</v>
      </c>
      <c r="AG3" s="118">
        <v>2</v>
      </c>
      <c r="AH3" s="118">
        <v>2</v>
      </c>
      <c r="AI3" s="118">
        <v>2</v>
      </c>
      <c r="AJ3" s="118">
        <v>0</v>
      </c>
      <c r="AK3" s="118">
        <v>0</v>
      </c>
      <c r="AL3" s="118">
        <v>0</v>
      </c>
      <c r="AM3" s="118">
        <v>0</v>
      </c>
      <c r="AN3" s="118">
        <v>0</v>
      </c>
      <c r="AO3" s="118">
        <v>0</v>
      </c>
      <c r="AP3" s="118">
        <v>0</v>
      </c>
      <c r="AQ3" s="118">
        <v>0</v>
      </c>
      <c r="AR3" s="118">
        <v>0</v>
      </c>
      <c r="AS3" s="118">
        <v>0</v>
      </c>
      <c r="AT3" s="118">
        <v>0</v>
      </c>
      <c r="AU3" s="118">
        <f t="shared" ref="AU3:AU68" si="2">AT3</f>
        <v>0</v>
      </c>
      <c r="AW3" s="119" t="s">
        <v>52</v>
      </c>
      <c r="AZ3" s="115" t="s">
        <v>57</v>
      </c>
      <c r="BA3" s="148" t="s">
        <v>0</v>
      </c>
      <c r="BB3" s="151">
        <f>SUMIFS(W$2:W$995,N$2:N$995,"TU")</f>
        <v>450</v>
      </c>
      <c r="BC3" s="153">
        <f>(BB3*100)/BB2</f>
        <v>100</v>
      </c>
      <c r="BD3" s="151">
        <f>SUMIFS(W$2:W$995,N$2:N$995,"NHGRI")</f>
        <v>501</v>
      </c>
      <c r="BE3" s="153">
        <f>(BD3*100)/BD2</f>
        <v>100</v>
      </c>
      <c r="BF3" s="151">
        <f>SUMIFS(W$2:W$995,N$2:N$995,"AB")</f>
        <v>482</v>
      </c>
      <c r="BG3" s="153">
        <f>(BF3*100)/BF2</f>
        <v>100</v>
      </c>
      <c r="BH3" s="150">
        <f>BB3+BD3+BF3</f>
        <v>1433</v>
      </c>
      <c r="BI3" s="152">
        <v>1433</v>
      </c>
    </row>
    <row r="4" spans="1:61">
      <c r="A4" s="114">
        <v>1</v>
      </c>
      <c r="B4" s="116">
        <v>45911</v>
      </c>
      <c r="C4" s="116"/>
      <c r="D4" s="116"/>
      <c r="E4" s="116"/>
      <c r="F4" s="116"/>
      <c r="G4" s="115" t="s">
        <v>49</v>
      </c>
      <c r="H4" s="115">
        <v>1</v>
      </c>
      <c r="I4" s="117" t="str">
        <f t="shared" si="0"/>
        <v>TU_1</v>
      </c>
      <c r="J4" s="117" t="s">
        <v>791</v>
      </c>
      <c r="K4" s="118">
        <v>3</v>
      </c>
      <c r="L4" s="117" t="str">
        <f t="shared" si="1"/>
        <v>TU_1_3</v>
      </c>
      <c r="M4" s="117" t="s">
        <v>804</v>
      </c>
      <c r="N4" s="115" t="s">
        <v>50</v>
      </c>
      <c r="O4" s="115" t="s">
        <v>51</v>
      </c>
      <c r="P4" s="115">
        <v>100</v>
      </c>
      <c r="Q4" s="115">
        <v>500</v>
      </c>
      <c r="S4" s="115">
        <v>3</v>
      </c>
      <c r="T4" s="115">
        <v>4</v>
      </c>
      <c r="U4" s="117">
        <v>10.57</v>
      </c>
      <c r="V4" s="117">
        <v>11.21</v>
      </c>
      <c r="W4" s="118">
        <v>4</v>
      </c>
      <c r="X4" s="118">
        <v>11.45</v>
      </c>
      <c r="Y4" s="118">
        <v>2</v>
      </c>
      <c r="Z4" s="118">
        <v>2</v>
      </c>
      <c r="AA4" s="118">
        <v>2</v>
      </c>
      <c r="AB4" s="118">
        <v>0</v>
      </c>
      <c r="AC4" s="118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0</v>
      </c>
      <c r="AJ4" s="118">
        <v>0</v>
      </c>
      <c r="AK4" s="118">
        <v>0</v>
      </c>
      <c r="AL4" s="118">
        <v>0</v>
      </c>
      <c r="AM4" s="118">
        <v>0</v>
      </c>
      <c r="AN4" s="118">
        <v>0</v>
      </c>
      <c r="AO4" s="118">
        <v>0</v>
      </c>
      <c r="AP4" s="118">
        <v>0</v>
      </c>
      <c r="AQ4" s="118">
        <v>0</v>
      </c>
      <c r="AR4" s="118">
        <v>0</v>
      </c>
      <c r="AS4" s="118">
        <v>0</v>
      </c>
      <c r="AT4" s="118">
        <v>0</v>
      </c>
      <c r="AU4" s="118">
        <f t="shared" si="2"/>
        <v>0</v>
      </c>
      <c r="AW4" s="119" t="s">
        <v>52</v>
      </c>
      <c r="AZ4" s="115" t="s">
        <v>58</v>
      </c>
      <c r="BA4" s="151" t="s">
        <v>59</v>
      </c>
      <c r="BB4" s="151">
        <f>SUMIFS(Y$2:Y$995,N$2:N$995,"TU")</f>
        <v>206</v>
      </c>
      <c r="BC4" s="153">
        <f>(BB4*100)/BB2</f>
        <v>45.777777777777779</v>
      </c>
      <c r="BD4" s="151">
        <f>SUMIFS(Y$2:Y$995,N$2:N$995,"NHGRI")</f>
        <v>234</v>
      </c>
      <c r="BE4" s="153">
        <f>(BD4*100)/BD2</f>
        <v>46.706586826347305</v>
      </c>
      <c r="BF4" s="151">
        <f>SUMIFS(Y$2:Y$995,N$2:N$995,"AB")</f>
        <v>230</v>
      </c>
      <c r="BG4" s="153">
        <f>(BF4*100)/BF2</f>
        <v>47.717842323651453</v>
      </c>
      <c r="BH4" s="150">
        <f t="shared" ref="BH4:BH25" si="3">BB4+BD4+BF4</f>
        <v>670</v>
      </c>
      <c r="BI4" s="152">
        <v>670</v>
      </c>
    </row>
    <row r="5" spans="1:61">
      <c r="A5" s="114">
        <v>1</v>
      </c>
      <c r="B5" s="116">
        <v>45911</v>
      </c>
      <c r="C5" s="116"/>
      <c r="D5" s="116"/>
      <c r="E5" s="116"/>
      <c r="F5" s="116"/>
      <c r="G5" s="115" t="s">
        <v>49</v>
      </c>
      <c r="H5" s="115">
        <v>1</v>
      </c>
      <c r="I5" s="117" t="str">
        <f t="shared" si="0"/>
        <v>TU_1</v>
      </c>
      <c r="J5" s="117" t="s">
        <v>791</v>
      </c>
      <c r="K5" s="118">
        <v>4</v>
      </c>
      <c r="L5" s="117" t="str">
        <f t="shared" si="1"/>
        <v>TU_1_4</v>
      </c>
      <c r="M5" s="117" t="s">
        <v>805</v>
      </c>
      <c r="N5" s="115" t="s">
        <v>50</v>
      </c>
      <c r="O5" s="115" t="s">
        <v>51</v>
      </c>
      <c r="P5" s="115">
        <v>100</v>
      </c>
      <c r="Q5" s="115">
        <v>500</v>
      </c>
      <c r="S5" s="115">
        <v>4</v>
      </c>
      <c r="T5" s="115">
        <v>3</v>
      </c>
      <c r="U5" s="117">
        <v>11.31</v>
      </c>
      <c r="V5" s="117">
        <v>11.45</v>
      </c>
      <c r="W5" s="118">
        <v>3</v>
      </c>
      <c r="X5" s="118">
        <v>12.02</v>
      </c>
      <c r="Y5" s="118">
        <v>2</v>
      </c>
      <c r="Z5" s="118">
        <v>2</v>
      </c>
      <c r="AA5" s="118">
        <v>2</v>
      </c>
      <c r="AB5" s="118">
        <v>2</v>
      </c>
      <c r="AC5" s="118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8">
        <v>0</v>
      </c>
      <c r="AL5" s="118">
        <v>0</v>
      </c>
      <c r="AM5" s="118">
        <v>0</v>
      </c>
      <c r="AN5" s="118">
        <v>0</v>
      </c>
      <c r="AO5" s="118">
        <v>0</v>
      </c>
      <c r="AP5" s="118">
        <v>0</v>
      </c>
      <c r="AQ5" s="118">
        <v>0</v>
      </c>
      <c r="AR5" s="118">
        <v>0</v>
      </c>
      <c r="AS5" s="118">
        <v>0</v>
      </c>
      <c r="AT5" s="118">
        <v>0</v>
      </c>
      <c r="AU5" s="118">
        <f t="shared" si="2"/>
        <v>0</v>
      </c>
      <c r="AW5" s="119" t="s">
        <v>52</v>
      </c>
      <c r="AZ5" s="115" t="s">
        <v>60</v>
      </c>
      <c r="BA5" s="151" t="s">
        <v>61</v>
      </c>
      <c r="BB5" s="151">
        <f>SUMIFS(Z$2:Z$995,N$2:N$995,"TU")</f>
        <v>188</v>
      </c>
      <c r="BC5" s="153">
        <f>(BB5*100)/BB2</f>
        <v>41.777777777777779</v>
      </c>
      <c r="BD5" s="151">
        <f>SUMIFS(Z$2:Z$995,N$2:N$995,"NHGRI")</f>
        <v>220</v>
      </c>
      <c r="BE5" s="153">
        <f>(BD5*100)/BD2</f>
        <v>43.912175648702593</v>
      </c>
      <c r="BF5" s="151">
        <f>SUMIFS(Z$2:Z$995,N$2:N$995,"AB")</f>
        <v>213</v>
      </c>
      <c r="BG5" s="153">
        <f>(BF5*100)/BF2</f>
        <v>44.190871369294605</v>
      </c>
      <c r="BH5" s="150">
        <f t="shared" si="3"/>
        <v>621</v>
      </c>
      <c r="BI5" s="152">
        <v>621</v>
      </c>
    </row>
    <row r="6" spans="1:61">
      <c r="A6" s="114">
        <v>1</v>
      </c>
      <c r="B6" s="116">
        <v>45911</v>
      </c>
      <c r="C6" s="116"/>
      <c r="D6" s="116"/>
      <c r="E6" s="116"/>
      <c r="F6" s="116"/>
      <c r="G6" s="115" t="s">
        <v>49</v>
      </c>
      <c r="H6" s="115">
        <v>1</v>
      </c>
      <c r="I6" s="117" t="str">
        <f t="shared" si="0"/>
        <v>TU_1</v>
      </c>
      <c r="J6" s="117" t="s">
        <v>791</v>
      </c>
      <c r="K6" s="118">
        <v>5</v>
      </c>
      <c r="L6" s="117" t="str">
        <f t="shared" si="1"/>
        <v>TU_1_5</v>
      </c>
      <c r="M6" s="117" t="s">
        <v>806</v>
      </c>
      <c r="N6" s="115" t="s">
        <v>50</v>
      </c>
      <c r="O6" s="115" t="s">
        <v>51</v>
      </c>
      <c r="P6" s="115">
        <v>100</v>
      </c>
      <c r="Q6" s="115">
        <v>500</v>
      </c>
      <c r="S6" s="115">
        <v>5</v>
      </c>
      <c r="T6" s="115">
        <v>1</v>
      </c>
      <c r="U6" s="117">
        <v>11.5</v>
      </c>
      <c r="V6" s="117">
        <v>12.04</v>
      </c>
      <c r="W6" s="118">
        <v>1</v>
      </c>
      <c r="X6" s="118">
        <v>12.19</v>
      </c>
      <c r="Y6" s="118">
        <v>0</v>
      </c>
      <c r="Z6" s="118">
        <v>0</v>
      </c>
      <c r="AA6" s="118">
        <v>0</v>
      </c>
      <c r="AB6" s="118">
        <v>0</v>
      </c>
      <c r="AC6" s="118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0</v>
      </c>
      <c r="AJ6" s="118">
        <v>0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  <c r="AP6" s="118">
        <v>0</v>
      </c>
      <c r="AQ6" s="118">
        <v>0</v>
      </c>
      <c r="AR6" s="118">
        <v>0</v>
      </c>
      <c r="AS6" s="118">
        <v>0</v>
      </c>
      <c r="AT6" s="118">
        <v>0</v>
      </c>
      <c r="AU6" s="118">
        <f t="shared" si="2"/>
        <v>0</v>
      </c>
      <c r="AW6" s="119" t="s">
        <v>52</v>
      </c>
      <c r="AZ6" s="115" t="s">
        <v>62</v>
      </c>
      <c r="BA6" s="151" t="s">
        <v>63</v>
      </c>
      <c r="BB6" s="151">
        <f>SUMIFS(AA$2:AA$995,N$2:N$995,"TU")</f>
        <v>172</v>
      </c>
      <c r="BC6" s="153">
        <f>(BB6*100)/BB2</f>
        <v>38.222222222222221</v>
      </c>
      <c r="BD6" s="151">
        <f>SUMIFS(AA$2:AA$995,N$2:N$995,"NHGRI")</f>
        <v>210</v>
      </c>
      <c r="BE6" s="153">
        <f>(BD6*100)/BD2</f>
        <v>41.91616766467066</v>
      </c>
      <c r="BF6" s="151">
        <f>SUMIFS(AA$2:AA$995,N$2:N$995,"AB")</f>
        <v>199</v>
      </c>
      <c r="BG6" s="153">
        <f>(BF6*100)/BF2</f>
        <v>41.286307053941911</v>
      </c>
      <c r="BH6" s="150">
        <f t="shared" si="3"/>
        <v>581</v>
      </c>
      <c r="BI6" s="152">
        <v>581</v>
      </c>
    </row>
    <row r="7" spans="1:61">
      <c r="A7" s="114">
        <v>1</v>
      </c>
      <c r="B7" s="116">
        <v>45911</v>
      </c>
      <c r="C7" s="116"/>
      <c r="D7" s="116"/>
      <c r="E7" s="116"/>
      <c r="F7" s="116"/>
      <c r="G7" s="115" t="s">
        <v>49</v>
      </c>
      <c r="H7" s="115">
        <v>1</v>
      </c>
      <c r="I7" s="117" t="str">
        <f t="shared" si="0"/>
        <v>TU_1</v>
      </c>
      <c r="J7" s="117" t="s">
        <v>791</v>
      </c>
      <c r="K7" s="118">
        <v>6</v>
      </c>
      <c r="L7" s="117" t="str">
        <f t="shared" si="1"/>
        <v>TU_1_6</v>
      </c>
      <c r="M7" s="117" t="s">
        <v>807</v>
      </c>
      <c r="N7" s="115" t="s">
        <v>50</v>
      </c>
      <c r="O7" s="115" t="s">
        <v>51</v>
      </c>
      <c r="P7" s="115">
        <v>100</v>
      </c>
      <c r="Q7" s="115">
        <v>500</v>
      </c>
      <c r="S7" s="115">
        <v>6</v>
      </c>
      <c r="T7" s="115">
        <v>4</v>
      </c>
      <c r="U7" s="117">
        <v>12.07</v>
      </c>
      <c r="V7" s="117">
        <v>12.24</v>
      </c>
      <c r="W7" s="118">
        <v>4</v>
      </c>
      <c r="X7" s="118">
        <v>12.39</v>
      </c>
      <c r="Y7" s="118">
        <v>0</v>
      </c>
      <c r="Z7" s="118">
        <v>0</v>
      </c>
      <c r="AA7" s="118">
        <v>0</v>
      </c>
      <c r="AB7" s="118">
        <v>0</v>
      </c>
      <c r="AC7" s="118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8">
        <v>0</v>
      </c>
      <c r="AL7" s="118">
        <v>0</v>
      </c>
      <c r="AM7" s="118">
        <v>0</v>
      </c>
      <c r="AN7" s="118">
        <v>0</v>
      </c>
      <c r="AO7" s="118">
        <v>0</v>
      </c>
      <c r="AP7" s="118">
        <v>0</v>
      </c>
      <c r="AQ7" s="118">
        <v>0</v>
      </c>
      <c r="AR7" s="118">
        <v>0</v>
      </c>
      <c r="AS7" s="118">
        <v>0</v>
      </c>
      <c r="AT7" s="118">
        <v>0</v>
      </c>
      <c r="AU7" s="118">
        <f t="shared" si="2"/>
        <v>0</v>
      </c>
      <c r="AW7" s="119" t="s">
        <v>52</v>
      </c>
      <c r="AZ7" s="115" t="s">
        <v>64</v>
      </c>
      <c r="BA7" s="151" t="s">
        <v>65</v>
      </c>
      <c r="BB7" s="151">
        <f>SUMIFS(AB$2:AB$995,N$2:N$995,"TU")</f>
        <v>159</v>
      </c>
      <c r="BC7" s="153">
        <f>(BB7*100)/BB2</f>
        <v>35.333333333333336</v>
      </c>
      <c r="BD7" s="151">
        <f>SUMIFS(AB$2:AB$995,N$2:N$995,"NHGRI")</f>
        <v>201</v>
      </c>
      <c r="BE7" s="153">
        <f>(BD7*100)/BD2</f>
        <v>40.119760479041915</v>
      </c>
      <c r="BF7" s="151">
        <f>SUMIFS(AB$2:AB$995,N$2:N$995,"AB")</f>
        <v>179</v>
      </c>
      <c r="BG7" s="153">
        <f>(BF7*100)/BF2</f>
        <v>37.136929460580916</v>
      </c>
      <c r="BH7" s="150">
        <f t="shared" si="3"/>
        <v>539</v>
      </c>
      <c r="BI7" s="152">
        <v>539</v>
      </c>
    </row>
    <row r="8" spans="1:61">
      <c r="A8" s="114">
        <v>1</v>
      </c>
      <c r="B8" s="116">
        <v>45911</v>
      </c>
      <c r="C8" s="116"/>
      <c r="D8" s="116"/>
      <c r="E8" s="116"/>
      <c r="F8" s="116"/>
      <c r="G8" s="115" t="s">
        <v>49</v>
      </c>
      <c r="H8" s="115">
        <v>1</v>
      </c>
      <c r="I8" s="117" t="str">
        <f t="shared" si="0"/>
        <v>TU_1</v>
      </c>
      <c r="J8" s="117" t="s">
        <v>791</v>
      </c>
      <c r="K8" s="118">
        <v>7</v>
      </c>
      <c r="L8" s="117" t="str">
        <f t="shared" si="1"/>
        <v>TU_1_7</v>
      </c>
      <c r="M8" s="117" t="s">
        <v>808</v>
      </c>
      <c r="N8" s="115" t="s">
        <v>50</v>
      </c>
      <c r="O8" s="115" t="s">
        <v>51</v>
      </c>
      <c r="P8" s="115">
        <v>100</v>
      </c>
      <c r="Q8" s="115">
        <v>500</v>
      </c>
      <c r="R8" s="115">
        <v>90</v>
      </c>
      <c r="S8" s="115">
        <v>1</v>
      </c>
      <c r="T8" s="115">
        <v>2</v>
      </c>
      <c r="U8" s="115">
        <v>10.02</v>
      </c>
      <c r="V8" s="115">
        <v>10.210000000000001</v>
      </c>
      <c r="W8" s="118">
        <v>2</v>
      </c>
      <c r="X8" s="118">
        <v>10.38</v>
      </c>
      <c r="Y8" s="118">
        <v>1</v>
      </c>
      <c r="Z8" s="118">
        <v>0</v>
      </c>
      <c r="AA8" s="118">
        <v>0</v>
      </c>
      <c r="AB8" s="118">
        <v>0</v>
      </c>
      <c r="AC8" s="118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8">
        <v>0</v>
      </c>
      <c r="AL8" s="118">
        <v>0</v>
      </c>
      <c r="AM8" s="118">
        <v>0</v>
      </c>
      <c r="AN8" s="118">
        <v>0</v>
      </c>
      <c r="AO8" s="118">
        <v>0</v>
      </c>
      <c r="AP8" s="118">
        <v>0</v>
      </c>
      <c r="AQ8" s="118">
        <v>0</v>
      </c>
      <c r="AR8" s="118">
        <v>0</v>
      </c>
      <c r="AS8" s="118">
        <v>0</v>
      </c>
      <c r="AT8" s="118">
        <v>0</v>
      </c>
      <c r="AU8" s="118">
        <f t="shared" si="2"/>
        <v>0</v>
      </c>
      <c r="AW8" s="121" t="s">
        <v>66</v>
      </c>
      <c r="AX8" s="114" t="s">
        <v>67</v>
      </c>
      <c r="AZ8" s="115" t="s">
        <v>68</v>
      </c>
      <c r="BA8" s="151" t="s">
        <v>69</v>
      </c>
      <c r="BB8" s="151">
        <f>SUMIFS(AC$2:AC$995,N$2:N$995,"TU")</f>
        <v>148</v>
      </c>
      <c r="BC8" s="153">
        <f>(BB8*100)/BB2</f>
        <v>32.888888888888886</v>
      </c>
      <c r="BD8" s="151">
        <f>SUMIFS(AC$2:AC$995,N$2:N$995,"NHGRI")</f>
        <v>196</v>
      </c>
      <c r="BE8" s="153">
        <f>(BD8*100)/BD2</f>
        <v>39.121756487025948</v>
      </c>
      <c r="BF8" s="151">
        <f>SUMIFS(AC$2:AC$995,N$2:N$995,"AB")</f>
        <v>174</v>
      </c>
      <c r="BG8" s="153">
        <f>(BF8*100)/BF2</f>
        <v>36.099585062240664</v>
      </c>
      <c r="BH8" s="150">
        <f t="shared" si="3"/>
        <v>518</v>
      </c>
      <c r="BI8" s="152">
        <v>518</v>
      </c>
    </row>
    <row r="9" spans="1:61">
      <c r="A9" s="114">
        <v>1</v>
      </c>
      <c r="B9" s="116">
        <v>45911</v>
      </c>
      <c r="C9" s="116"/>
      <c r="D9" s="116"/>
      <c r="E9" s="116"/>
      <c r="F9" s="116"/>
      <c r="G9" s="115" t="s">
        <v>49</v>
      </c>
      <c r="H9" s="115">
        <v>1</v>
      </c>
      <c r="I9" s="117" t="str">
        <f t="shared" si="0"/>
        <v>TU_1</v>
      </c>
      <c r="J9" s="117" t="s">
        <v>791</v>
      </c>
      <c r="K9" s="118">
        <v>8</v>
      </c>
      <c r="L9" s="117" t="str">
        <f t="shared" si="1"/>
        <v>TU_1_8</v>
      </c>
      <c r="M9" s="117" t="s">
        <v>809</v>
      </c>
      <c r="N9" s="115" t="s">
        <v>50</v>
      </c>
      <c r="O9" s="115" t="s">
        <v>51</v>
      </c>
      <c r="P9" s="115">
        <v>100</v>
      </c>
      <c r="Q9" s="115">
        <v>500</v>
      </c>
      <c r="S9" s="115">
        <v>2</v>
      </c>
      <c r="T9" s="115">
        <v>1</v>
      </c>
      <c r="U9" s="115">
        <v>10.32</v>
      </c>
      <c r="V9" s="115">
        <v>10.39</v>
      </c>
      <c r="W9" s="118">
        <v>1</v>
      </c>
      <c r="X9" s="118">
        <v>10.57</v>
      </c>
      <c r="Y9" s="118">
        <v>1</v>
      </c>
      <c r="Z9" s="118">
        <v>1</v>
      </c>
      <c r="AA9" s="118">
        <v>1</v>
      </c>
      <c r="AB9" s="118">
        <v>1</v>
      </c>
      <c r="AC9" s="118">
        <v>1</v>
      </c>
      <c r="AD9" s="118">
        <v>1</v>
      </c>
      <c r="AE9" s="118">
        <v>1</v>
      </c>
      <c r="AF9" s="118">
        <v>1</v>
      </c>
      <c r="AG9" s="118">
        <v>1</v>
      </c>
      <c r="AH9" s="118">
        <v>1</v>
      </c>
      <c r="AI9" s="118">
        <v>0</v>
      </c>
      <c r="AJ9" s="118">
        <v>0</v>
      </c>
      <c r="AK9" s="118">
        <v>0</v>
      </c>
      <c r="AL9" s="118">
        <v>0</v>
      </c>
      <c r="AM9" s="118">
        <v>0</v>
      </c>
      <c r="AN9" s="118">
        <v>0</v>
      </c>
      <c r="AO9" s="118">
        <v>0</v>
      </c>
      <c r="AP9" s="118">
        <v>0</v>
      </c>
      <c r="AQ9" s="118">
        <v>0</v>
      </c>
      <c r="AR9" s="118">
        <v>0</v>
      </c>
      <c r="AS9" s="118">
        <v>0</v>
      </c>
      <c r="AT9" s="118">
        <v>0</v>
      </c>
      <c r="AU9" s="118">
        <f t="shared" si="2"/>
        <v>0</v>
      </c>
      <c r="AW9" s="121" t="s">
        <v>70</v>
      </c>
      <c r="AZ9" s="115" t="s">
        <v>71</v>
      </c>
      <c r="BA9" s="151" t="s">
        <v>72</v>
      </c>
      <c r="BB9" s="151">
        <f>SUMIFS(AD$2:AD$995,N$2:N$995,"TU")</f>
        <v>147</v>
      </c>
      <c r="BC9" s="153">
        <f>(BB9*100)/BB2</f>
        <v>32.666666666666664</v>
      </c>
      <c r="BD9" s="151">
        <f>SUMIFS(AD$2:AD$995,N$2:N$995,"NHGRI")</f>
        <v>190</v>
      </c>
      <c r="BE9" s="153">
        <f>(BD9*100)/BD2</f>
        <v>37.924151696606785</v>
      </c>
      <c r="BF9" s="151">
        <f>SUMIFS(AD$2:AD$995,N$2:N$995,"AB")</f>
        <v>173</v>
      </c>
      <c r="BG9" s="153">
        <f>(BF9*100)/BF2</f>
        <v>35.892116182572614</v>
      </c>
      <c r="BH9" s="150">
        <f t="shared" si="3"/>
        <v>510</v>
      </c>
      <c r="BI9" s="152">
        <v>510</v>
      </c>
    </row>
    <row r="10" spans="1:61">
      <c r="A10" s="114">
        <v>1</v>
      </c>
      <c r="B10" s="116">
        <v>45911</v>
      </c>
      <c r="C10" s="116"/>
      <c r="D10" s="116"/>
      <c r="E10" s="116"/>
      <c r="F10" s="116"/>
      <c r="G10" s="115" t="s">
        <v>49</v>
      </c>
      <c r="H10" s="115">
        <v>1</v>
      </c>
      <c r="I10" s="117" t="str">
        <f t="shared" si="0"/>
        <v>TU_1</v>
      </c>
      <c r="J10" s="117" t="s">
        <v>791</v>
      </c>
      <c r="K10" s="118">
        <v>9</v>
      </c>
      <c r="L10" s="117" t="str">
        <f t="shared" si="1"/>
        <v>TU_1_9</v>
      </c>
      <c r="M10" s="117" t="s">
        <v>810</v>
      </c>
      <c r="N10" s="115" t="s">
        <v>50</v>
      </c>
      <c r="O10" s="115" t="s">
        <v>51</v>
      </c>
      <c r="P10" s="115">
        <v>100</v>
      </c>
      <c r="Q10" s="115">
        <v>500</v>
      </c>
      <c r="S10" s="115">
        <v>3</v>
      </c>
      <c r="T10" s="115">
        <v>1</v>
      </c>
      <c r="U10" s="115">
        <v>11.12</v>
      </c>
      <c r="V10" s="115">
        <v>11.26</v>
      </c>
      <c r="W10" s="118">
        <v>1</v>
      </c>
      <c r="X10" s="118">
        <v>11.42</v>
      </c>
      <c r="Y10" s="118">
        <v>1</v>
      </c>
      <c r="Z10" s="118">
        <v>1</v>
      </c>
      <c r="AA10" s="118">
        <v>1</v>
      </c>
      <c r="AB10" s="118">
        <v>1</v>
      </c>
      <c r="AC10" s="118">
        <v>1</v>
      </c>
      <c r="AD10" s="118">
        <v>1</v>
      </c>
      <c r="AE10" s="118">
        <v>1</v>
      </c>
      <c r="AF10" s="118">
        <v>1</v>
      </c>
      <c r="AG10" s="118">
        <v>1</v>
      </c>
      <c r="AH10" s="118">
        <v>1</v>
      </c>
      <c r="AI10" s="118">
        <v>1</v>
      </c>
      <c r="AJ10" s="118">
        <v>1</v>
      </c>
      <c r="AK10" s="118">
        <v>1</v>
      </c>
      <c r="AL10" s="118">
        <v>0</v>
      </c>
      <c r="AM10" s="118">
        <v>0</v>
      </c>
      <c r="AN10" s="118">
        <v>0</v>
      </c>
      <c r="AO10" s="118">
        <v>0</v>
      </c>
      <c r="AP10" s="118">
        <v>0</v>
      </c>
      <c r="AQ10" s="118">
        <v>0</v>
      </c>
      <c r="AR10" s="118">
        <v>0</v>
      </c>
      <c r="AS10" s="118">
        <v>0</v>
      </c>
      <c r="AT10" s="118">
        <v>0</v>
      </c>
      <c r="AU10" s="118">
        <f t="shared" si="2"/>
        <v>0</v>
      </c>
      <c r="AW10" s="121" t="s">
        <v>73</v>
      </c>
      <c r="AZ10" s="115" t="s">
        <v>74</v>
      </c>
      <c r="BA10" s="151" t="s">
        <v>75</v>
      </c>
      <c r="BB10" s="151">
        <f>SUMIFS(AE$2:AE$995,N$2:N$995,"TU")</f>
        <v>146</v>
      </c>
      <c r="BC10" s="153">
        <f>(BB10*100)/BB2</f>
        <v>32.444444444444443</v>
      </c>
      <c r="BD10" s="151">
        <f>SUMIFS(AE$2:AE$995,N$2:N$995,"NHGRI")</f>
        <v>180</v>
      </c>
      <c r="BE10" s="153">
        <f>(BD10*100)/BD2</f>
        <v>35.928143712574851</v>
      </c>
      <c r="BF10" s="151">
        <f>SUMIFS(AE$2:AE$995,N$2:N$995,"AB")</f>
        <v>170</v>
      </c>
      <c r="BG10" s="153">
        <f>(BF10*100)/BF2</f>
        <v>35.269709543568467</v>
      </c>
      <c r="BH10" s="150">
        <f t="shared" si="3"/>
        <v>496</v>
      </c>
      <c r="BI10" s="152">
        <v>495</v>
      </c>
    </row>
    <row r="11" spans="1:61">
      <c r="A11" s="114">
        <v>1</v>
      </c>
      <c r="B11" s="116">
        <v>45911</v>
      </c>
      <c r="C11" s="116"/>
      <c r="D11" s="116"/>
      <c r="E11" s="116"/>
      <c r="F11" s="116"/>
      <c r="G11" s="115" t="s">
        <v>49</v>
      </c>
      <c r="H11" s="115">
        <v>1</v>
      </c>
      <c r="I11" s="117" t="str">
        <f t="shared" si="0"/>
        <v>TU_1</v>
      </c>
      <c r="J11" s="117" t="s">
        <v>791</v>
      </c>
      <c r="K11" s="118">
        <v>10</v>
      </c>
      <c r="L11" s="117" t="str">
        <f t="shared" si="1"/>
        <v>TU_1_10</v>
      </c>
      <c r="M11" s="117" t="s">
        <v>811</v>
      </c>
      <c r="N11" s="115" t="s">
        <v>50</v>
      </c>
      <c r="O11" s="115" t="s">
        <v>51</v>
      </c>
      <c r="P11" s="115">
        <v>100</v>
      </c>
      <c r="Q11" s="115">
        <v>500</v>
      </c>
      <c r="S11" s="115">
        <v>4</v>
      </c>
      <c r="T11" s="115">
        <v>1</v>
      </c>
      <c r="U11" s="115">
        <v>11.12</v>
      </c>
      <c r="V11" s="115">
        <v>11.36</v>
      </c>
      <c r="W11" s="118">
        <v>1</v>
      </c>
      <c r="X11" s="118">
        <v>11.53</v>
      </c>
      <c r="Y11" s="118">
        <v>1</v>
      </c>
      <c r="Z11" s="118">
        <v>0</v>
      </c>
      <c r="AA11" s="118">
        <v>0</v>
      </c>
      <c r="AB11" s="118">
        <v>0</v>
      </c>
      <c r="AC11" s="118">
        <v>0</v>
      </c>
      <c r="AD11" s="118">
        <v>0</v>
      </c>
      <c r="AE11" s="118">
        <v>0</v>
      </c>
      <c r="AF11" s="118">
        <v>0</v>
      </c>
      <c r="AG11" s="118">
        <v>0</v>
      </c>
      <c r="AH11" s="118">
        <v>0</v>
      </c>
      <c r="AI11" s="118">
        <v>0</v>
      </c>
      <c r="AJ11" s="118">
        <v>0</v>
      </c>
      <c r="AK11" s="118">
        <v>0</v>
      </c>
      <c r="AL11" s="118">
        <v>0</v>
      </c>
      <c r="AM11" s="118">
        <v>0</v>
      </c>
      <c r="AN11" s="118">
        <v>0</v>
      </c>
      <c r="AO11" s="118">
        <v>0</v>
      </c>
      <c r="AP11" s="118">
        <v>0</v>
      </c>
      <c r="AQ11" s="118">
        <v>0</v>
      </c>
      <c r="AR11" s="118">
        <v>0</v>
      </c>
      <c r="AS11" s="118">
        <v>0</v>
      </c>
      <c r="AT11" s="118">
        <v>0</v>
      </c>
      <c r="AU11" s="118">
        <f t="shared" si="2"/>
        <v>0</v>
      </c>
      <c r="AW11" s="115" t="s">
        <v>76</v>
      </c>
      <c r="AZ11" s="115" t="s">
        <v>77</v>
      </c>
      <c r="BA11" s="151" t="s">
        <v>78</v>
      </c>
      <c r="BB11" s="151">
        <f>SUMIFS(AF$2:AF$995,N$2:N$995,"TU")</f>
        <v>144</v>
      </c>
      <c r="BC11" s="153">
        <f>(BB11*100)/BB2</f>
        <v>32</v>
      </c>
      <c r="BD11" s="151">
        <f>SUMIFS(AF$2:AF$995,N$2:N$995,"NHGRI")</f>
        <v>178</v>
      </c>
      <c r="BE11" s="153">
        <f>(BD11*100)/BD2</f>
        <v>35.528942115768466</v>
      </c>
      <c r="BF11" s="151">
        <f>SUMIFS(AF$2:AF$995,N$2:N$995,"AB")</f>
        <v>169</v>
      </c>
      <c r="BG11" s="153">
        <f>(BF11*100)/BF2</f>
        <v>35.062240663900418</v>
      </c>
      <c r="BH11" s="150">
        <f t="shared" si="3"/>
        <v>491</v>
      </c>
      <c r="BI11" s="152">
        <v>490</v>
      </c>
    </row>
    <row r="12" spans="1:61">
      <c r="A12" s="114">
        <v>1</v>
      </c>
      <c r="B12" s="116">
        <v>45911</v>
      </c>
      <c r="C12" s="116"/>
      <c r="D12" s="116"/>
      <c r="E12" s="116"/>
      <c r="F12" s="116"/>
      <c r="G12" s="115" t="s">
        <v>49</v>
      </c>
      <c r="H12" s="115">
        <v>1</v>
      </c>
      <c r="I12" s="117" t="str">
        <f t="shared" si="0"/>
        <v>TU_1</v>
      </c>
      <c r="J12" s="117" t="s">
        <v>791</v>
      </c>
      <c r="K12" s="118">
        <v>11</v>
      </c>
      <c r="L12" s="117" t="str">
        <f t="shared" si="1"/>
        <v>TU_1_11</v>
      </c>
      <c r="M12" s="117" t="s">
        <v>812</v>
      </c>
      <c r="N12" s="115" t="s">
        <v>50</v>
      </c>
      <c r="O12" s="115" t="s">
        <v>51</v>
      </c>
      <c r="P12" s="115">
        <v>100</v>
      </c>
      <c r="Q12" s="115">
        <v>500</v>
      </c>
      <c r="S12" s="115">
        <v>5</v>
      </c>
      <c r="T12" s="115">
        <v>1</v>
      </c>
      <c r="U12" s="115">
        <v>11.39</v>
      </c>
      <c r="V12" s="115">
        <v>11.43</v>
      </c>
      <c r="W12" s="118">
        <v>1</v>
      </c>
      <c r="X12" s="118">
        <v>11.59</v>
      </c>
      <c r="Y12" s="118">
        <v>1</v>
      </c>
      <c r="Z12" s="118">
        <v>1</v>
      </c>
      <c r="AA12" s="118">
        <v>1</v>
      </c>
      <c r="AB12" s="118">
        <v>1</v>
      </c>
      <c r="AC12" s="118">
        <v>1</v>
      </c>
      <c r="AD12" s="118">
        <v>1</v>
      </c>
      <c r="AE12" s="118">
        <v>1</v>
      </c>
      <c r="AF12" s="118">
        <v>1</v>
      </c>
      <c r="AG12" s="118">
        <v>1</v>
      </c>
      <c r="AH12" s="118">
        <v>1</v>
      </c>
      <c r="AI12" s="118">
        <v>0</v>
      </c>
      <c r="AJ12" s="118">
        <v>0</v>
      </c>
      <c r="AK12" s="118">
        <v>0</v>
      </c>
      <c r="AL12" s="118">
        <v>0</v>
      </c>
      <c r="AM12" s="118">
        <v>0</v>
      </c>
      <c r="AN12" s="118">
        <v>0</v>
      </c>
      <c r="AO12" s="118">
        <v>0</v>
      </c>
      <c r="AP12" s="118">
        <v>0</v>
      </c>
      <c r="AQ12" s="118">
        <v>0</v>
      </c>
      <c r="AR12" s="118">
        <v>0</v>
      </c>
      <c r="AS12" s="118">
        <v>0</v>
      </c>
      <c r="AT12" s="118">
        <v>0</v>
      </c>
      <c r="AU12" s="118">
        <f t="shared" si="2"/>
        <v>0</v>
      </c>
      <c r="AW12" s="115" t="s">
        <v>76</v>
      </c>
      <c r="AZ12" s="115" t="s">
        <v>79</v>
      </c>
      <c r="BA12" s="151" t="s">
        <v>1237</v>
      </c>
      <c r="BB12" s="151">
        <f>SUMIFS(AG$2:AG$995,N$2:N$995,"TU")</f>
        <v>138</v>
      </c>
      <c r="BC12" s="153">
        <f>(BB12*100)/BB2</f>
        <v>30.666666666666668</v>
      </c>
      <c r="BD12" s="151">
        <f>SUMIFS(AG$2:AG$995,N$2:N$995,"NHGRI")</f>
        <v>172</v>
      </c>
      <c r="BE12" s="153">
        <f>(BD12*100)/BD2</f>
        <v>34.331337325349303</v>
      </c>
      <c r="BF12" s="151">
        <f>SUMIFS(AG$2:AG$995,N$2:N$995,"AB")</f>
        <v>164</v>
      </c>
      <c r="BG12" s="153">
        <f>(BF12*100)/BF2</f>
        <v>34.024896265560166</v>
      </c>
      <c r="BH12" s="150">
        <f t="shared" si="3"/>
        <v>474</v>
      </c>
      <c r="BI12" s="152">
        <v>474</v>
      </c>
    </row>
    <row r="13" spans="1:61">
      <c r="A13" s="114">
        <v>1</v>
      </c>
      <c r="B13" s="116">
        <v>45911</v>
      </c>
      <c r="C13" s="116"/>
      <c r="D13" s="116"/>
      <c r="E13" s="116"/>
      <c r="F13" s="116"/>
      <c r="G13" s="115" t="s">
        <v>49</v>
      </c>
      <c r="H13" s="115">
        <v>1</v>
      </c>
      <c r="I13" s="117" t="str">
        <f t="shared" si="0"/>
        <v>TU_1</v>
      </c>
      <c r="J13" s="117" t="s">
        <v>791</v>
      </c>
      <c r="K13" s="118">
        <v>12</v>
      </c>
      <c r="L13" s="117" t="str">
        <f t="shared" si="1"/>
        <v>TU_1_12</v>
      </c>
      <c r="M13" s="117" t="s">
        <v>813</v>
      </c>
      <c r="N13" s="115" t="s">
        <v>50</v>
      </c>
      <c r="O13" s="115" t="s">
        <v>51</v>
      </c>
      <c r="P13" s="115">
        <v>100</v>
      </c>
      <c r="Q13" s="115">
        <v>500</v>
      </c>
      <c r="S13" s="115">
        <v>6</v>
      </c>
      <c r="T13" s="115">
        <v>1</v>
      </c>
      <c r="U13" s="122">
        <v>0.49444444444444446</v>
      </c>
      <c r="V13" s="120">
        <v>12.02</v>
      </c>
      <c r="W13" s="118">
        <v>1</v>
      </c>
      <c r="X13" s="118">
        <v>12.14</v>
      </c>
      <c r="Y13" s="118">
        <v>1</v>
      </c>
      <c r="Z13" s="118">
        <v>1</v>
      </c>
      <c r="AA13" s="118">
        <v>1</v>
      </c>
      <c r="AB13" s="118">
        <v>1</v>
      </c>
      <c r="AC13" s="118">
        <v>1</v>
      </c>
      <c r="AD13" s="118">
        <v>1</v>
      </c>
      <c r="AE13" s="118">
        <v>1</v>
      </c>
      <c r="AF13" s="118">
        <v>1</v>
      </c>
      <c r="AG13" s="118">
        <v>1</v>
      </c>
      <c r="AH13" s="118">
        <v>1</v>
      </c>
      <c r="AI13" s="118">
        <v>0</v>
      </c>
      <c r="AJ13" s="118">
        <v>0</v>
      </c>
      <c r="AK13" s="118">
        <v>0</v>
      </c>
      <c r="AL13" s="118">
        <v>0</v>
      </c>
      <c r="AM13" s="118">
        <v>0</v>
      </c>
      <c r="AN13" s="118">
        <v>0</v>
      </c>
      <c r="AO13" s="118">
        <v>0</v>
      </c>
      <c r="AP13" s="118">
        <v>0</v>
      </c>
      <c r="AQ13" s="118">
        <v>0</v>
      </c>
      <c r="AR13" s="118">
        <v>0</v>
      </c>
      <c r="AS13" s="118">
        <v>0</v>
      </c>
      <c r="AT13" s="118">
        <v>0</v>
      </c>
      <c r="AU13" s="118">
        <f t="shared" si="2"/>
        <v>0</v>
      </c>
      <c r="AW13" s="115" t="s">
        <v>76</v>
      </c>
      <c r="AZ13" s="115" t="s">
        <v>80</v>
      </c>
      <c r="BA13" s="151" t="s">
        <v>1238</v>
      </c>
      <c r="BB13" s="151">
        <f>SUMIFS(AH$2:AH$995,N$2:N$995,"TU")</f>
        <v>134</v>
      </c>
      <c r="BC13" s="153">
        <f>(BB13*100)/BB2</f>
        <v>29.777777777777779</v>
      </c>
      <c r="BD13" s="151">
        <f>SUMIFS(AH$2:AH$995,N$2:N$995,"NHGRI")</f>
        <v>168</v>
      </c>
      <c r="BE13" s="153">
        <f>(BD13*100)/BD2</f>
        <v>33.532934131736525</v>
      </c>
      <c r="BF13" s="151">
        <f>SUMIFS(AH$2:AH$995,N$2:N$995,"AB")</f>
        <v>157</v>
      </c>
      <c r="BG13" s="153">
        <f>(BF13*100)/BF2</f>
        <v>32.572614107883815</v>
      </c>
      <c r="BH13" s="150">
        <f t="shared" si="3"/>
        <v>459</v>
      </c>
      <c r="BI13" s="152">
        <v>459</v>
      </c>
    </row>
    <row r="14" spans="1:61">
      <c r="A14" s="114">
        <v>1</v>
      </c>
      <c r="B14" s="116">
        <v>45911</v>
      </c>
      <c r="C14" s="116"/>
      <c r="D14" s="116"/>
      <c r="E14" s="116"/>
      <c r="F14" s="116"/>
      <c r="G14" s="115" t="s">
        <v>49</v>
      </c>
      <c r="H14" s="115">
        <v>1</v>
      </c>
      <c r="I14" s="117" t="str">
        <f t="shared" si="0"/>
        <v>TU_1</v>
      </c>
      <c r="J14" s="117" t="s">
        <v>791</v>
      </c>
      <c r="K14" s="118">
        <v>13</v>
      </c>
      <c r="L14" s="117" t="str">
        <f t="shared" si="1"/>
        <v>TU_1_13</v>
      </c>
      <c r="M14" s="117" t="s">
        <v>814</v>
      </c>
      <c r="N14" s="115" t="s">
        <v>50</v>
      </c>
      <c r="O14" s="115" t="s">
        <v>51</v>
      </c>
      <c r="P14" s="115">
        <v>100</v>
      </c>
      <c r="Q14" s="115">
        <v>500</v>
      </c>
      <c r="S14" s="115">
        <v>7</v>
      </c>
      <c r="T14" s="115">
        <v>2</v>
      </c>
      <c r="U14" s="115">
        <v>12.05</v>
      </c>
      <c r="V14" s="115">
        <v>12.22</v>
      </c>
      <c r="W14" s="118">
        <v>2</v>
      </c>
      <c r="X14" s="118">
        <v>12.38</v>
      </c>
      <c r="Y14" s="118">
        <v>1</v>
      </c>
      <c r="Z14" s="118">
        <v>1</v>
      </c>
      <c r="AA14" s="118">
        <v>1</v>
      </c>
      <c r="AB14" s="118">
        <v>1</v>
      </c>
      <c r="AC14" s="118">
        <v>0</v>
      </c>
      <c r="AD14" s="118">
        <v>0</v>
      </c>
      <c r="AE14" s="118">
        <v>0</v>
      </c>
      <c r="AF14" s="118">
        <v>0</v>
      </c>
      <c r="AG14" s="118">
        <v>0</v>
      </c>
      <c r="AH14" s="118">
        <v>0</v>
      </c>
      <c r="AI14" s="118">
        <v>0</v>
      </c>
      <c r="AJ14" s="118">
        <v>0</v>
      </c>
      <c r="AK14" s="118">
        <v>0</v>
      </c>
      <c r="AL14" s="118">
        <v>0</v>
      </c>
      <c r="AM14" s="118">
        <v>0</v>
      </c>
      <c r="AN14" s="118">
        <v>0</v>
      </c>
      <c r="AO14" s="118">
        <v>0</v>
      </c>
      <c r="AP14" s="118">
        <v>0</v>
      </c>
      <c r="AQ14" s="118">
        <v>0</v>
      </c>
      <c r="AR14" s="118">
        <v>0</v>
      </c>
      <c r="AS14" s="118">
        <v>0</v>
      </c>
      <c r="AT14" s="118">
        <v>0</v>
      </c>
      <c r="AU14" s="118">
        <f t="shared" si="2"/>
        <v>0</v>
      </c>
      <c r="AW14" s="115" t="s">
        <v>76</v>
      </c>
      <c r="AZ14" s="115" t="s">
        <v>81</v>
      </c>
      <c r="BA14" s="151" t="s">
        <v>1239</v>
      </c>
      <c r="BB14" s="151">
        <f>SUMIFS(AI$2:AI$995,N$2:N$995,"TU")</f>
        <v>122</v>
      </c>
      <c r="BC14" s="153">
        <f>(BB14*100)/BB2</f>
        <v>27.111111111111111</v>
      </c>
      <c r="BD14" s="151">
        <f>SUMIFS(AI$2:AI$995,N$2:N$995,"NHGRI")</f>
        <v>162</v>
      </c>
      <c r="BE14" s="153">
        <f>(BD14*100)/BD2</f>
        <v>32.335329341317369</v>
      </c>
      <c r="BF14" s="151">
        <f>SUMIFS(AI$2:AI$995,N$2:N$995,"AB")</f>
        <v>147</v>
      </c>
      <c r="BG14" s="153">
        <f>(BF14*100)/BF2</f>
        <v>30.497925311203318</v>
      </c>
      <c r="BH14" s="150">
        <f t="shared" si="3"/>
        <v>431</v>
      </c>
      <c r="BI14" s="152">
        <v>431</v>
      </c>
    </row>
    <row r="15" spans="1:61">
      <c r="A15" s="114">
        <v>2</v>
      </c>
      <c r="B15" s="116">
        <v>45916</v>
      </c>
      <c r="C15" s="116" t="s">
        <v>82</v>
      </c>
      <c r="D15" s="116" t="s">
        <v>83</v>
      </c>
      <c r="E15" s="116" t="s">
        <v>84</v>
      </c>
      <c r="F15" s="116" t="s">
        <v>48</v>
      </c>
      <c r="G15" s="115" t="s">
        <v>85</v>
      </c>
      <c r="H15" s="115">
        <v>1</v>
      </c>
      <c r="I15" s="117" t="str">
        <f>_xlfn.CONCAT(N15 &amp; "_" &amp; H15)</f>
        <v>NHGRI_1</v>
      </c>
      <c r="J15" s="117" t="s">
        <v>780</v>
      </c>
      <c r="K15" s="118">
        <v>1</v>
      </c>
      <c r="L15" s="117" t="str">
        <f t="shared" si="1"/>
        <v>NHGRI_1_1</v>
      </c>
      <c r="M15" s="117" t="s">
        <v>815</v>
      </c>
      <c r="N15" s="115" t="s">
        <v>86</v>
      </c>
      <c r="O15" s="115" t="s">
        <v>87</v>
      </c>
      <c r="P15" s="115">
        <v>100</v>
      </c>
      <c r="Q15" s="115">
        <v>500</v>
      </c>
      <c r="R15" s="115">
        <v>80</v>
      </c>
      <c r="S15" s="115">
        <v>1</v>
      </c>
      <c r="T15" s="115">
        <v>5</v>
      </c>
      <c r="U15" s="117">
        <v>9.41</v>
      </c>
      <c r="V15" s="117">
        <v>10.1</v>
      </c>
      <c r="W15" s="118">
        <v>5</v>
      </c>
      <c r="X15" s="118">
        <v>10.27</v>
      </c>
      <c r="Y15" s="118">
        <v>3</v>
      </c>
      <c r="Z15" s="118">
        <v>3</v>
      </c>
      <c r="AA15" s="118">
        <v>3</v>
      </c>
      <c r="AB15" s="118">
        <v>3</v>
      </c>
      <c r="AC15" s="118">
        <v>3</v>
      </c>
      <c r="AD15" s="118">
        <v>3</v>
      </c>
      <c r="AE15" s="118">
        <v>3</v>
      </c>
      <c r="AF15" s="118">
        <v>3</v>
      </c>
      <c r="AG15" s="118">
        <v>3</v>
      </c>
      <c r="AH15" s="118">
        <v>3</v>
      </c>
      <c r="AI15" s="118">
        <v>3</v>
      </c>
      <c r="AJ15" s="118">
        <v>2</v>
      </c>
      <c r="AK15" s="118">
        <v>1</v>
      </c>
      <c r="AL15" s="118">
        <v>0</v>
      </c>
      <c r="AM15" s="118">
        <v>0</v>
      </c>
      <c r="AN15" s="118">
        <v>0</v>
      </c>
      <c r="AO15" s="118">
        <v>0</v>
      </c>
      <c r="AP15" s="118">
        <v>0</v>
      </c>
      <c r="AQ15" s="118">
        <v>0</v>
      </c>
      <c r="AR15" s="118">
        <v>0</v>
      </c>
      <c r="AS15" s="118">
        <v>0</v>
      </c>
      <c r="AT15" s="118">
        <v>0</v>
      </c>
      <c r="AU15" s="118">
        <f t="shared" si="2"/>
        <v>0</v>
      </c>
      <c r="AW15" s="119" t="s">
        <v>790</v>
      </c>
      <c r="AX15" s="114" t="s">
        <v>53</v>
      </c>
      <c r="AZ15" s="115" t="s">
        <v>88</v>
      </c>
      <c r="BA15" s="151" t="s">
        <v>1240</v>
      </c>
      <c r="BB15" s="151">
        <f>SUMIFS(AJ$2:AJ$995,N$2:N$995,"TU")</f>
        <v>112</v>
      </c>
      <c r="BC15" s="153">
        <f>(BB15*100)/BB2</f>
        <v>24.888888888888889</v>
      </c>
      <c r="BD15" s="151">
        <f>SUMIFS(AJ$2:AJ$995,N$2:N$995,"NHGRI")</f>
        <v>149</v>
      </c>
      <c r="BE15" s="153">
        <f>(BD15*100)/BD2</f>
        <v>29.74051896207585</v>
      </c>
      <c r="BF15" s="151">
        <f>SUMIFS(AJ$2:AJ$995,N$2:N$995,"AB")</f>
        <v>131</v>
      </c>
      <c r="BG15" s="153">
        <f>(BF15*100)/BF2</f>
        <v>27.178423236514522</v>
      </c>
      <c r="BH15" s="150">
        <f t="shared" si="3"/>
        <v>392</v>
      </c>
      <c r="BI15" s="152">
        <v>392</v>
      </c>
    </row>
    <row r="16" spans="1:61">
      <c r="A16" s="114">
        <v>2</v>
      </c>
      <c r="B16" s="116">
        <v>45916</v>
      </c>
      <c r="C16" s="116"/>
      <c r="D16" s="116" t="s">
        <v>89</v>
      </c>
      <c r="E16" s="116" t="s">
        <v>90</v>
      </c>
      <c r="F16" s="116"/>
      <c r="G16" s="115" t="s">
        <v>85</v>
      </c>
      <c r="H16" s="115">
        <v>1</v>
      </c>
      <c r="I16" s="117" t="str">
        <f t="shared" ref="I16:I22" si="4">_xlfn.CONCAT(N16 &amp; "_" &amp; H16)</f>
        <v>NHGRI_1</v>
      </c>
      <c r="J16" s="123" t="s">
        <v>780</v>
      </c>
      <c r="K16" s="124">
        <v>2</v>
      </c>
      <c r="L16" s="123" t="str">
        <f t="shared" si="1"/>
        <v>NHGRI_1_2</v>
      </c>
      <c r="M16" s="123" t="s">
        <v>816</v>
      </c>
      <c r="N16" s="115" t="s">
        <v>86</v>
      </c>
      <c r="O16" s="115" t="s">
        <v>87</v>
      </c>
      <c r="P16" s="115">
        <v>100</v>
      </c>
      <c r="Q16" s="115">
        <v>500</v>
      </c>
      <c r="S16" s="115">
        <v>2</v>
      </c>
      <c r="T16" s="115">
        <v>2</v>
      </c>
      <c r="U16" s="115">
        <v>10.119999999999999</v>
      </c>
      <c r="V16" s="115">
        <v>10.19</v>
      </c>
      <c r="W16" s="118">
        <v>2</v>
      </c>
      <c r="X16" s="118" t="s">
        <v>91</v>
      </c>
      <c r="Y16" s="118">
        <v>2</v>
      </c>
      <c r="Z16" s="118">
        <v>1</v>
      </c>
      <c r="AA16" s="118">
        <v>1</v>
      </c>
      <c r="AB16" s="118">
        <v>1</v>
      </c>
      <c r="AC16" s="118">
        <v>1</v>
      </c>
      <c r="AD16" s="118">
        <v>1</v>
      </c>
      <c r="AE16" s="118">
        <v>1</v>
      </c>
      <c r="AF16" s="118">
        <v>1</v>
      </c>
      <c r="AG16" s="118">
        <v>1</v>
      </c>
      <c r="AH16" s="118">
        <v>1</v>
      </c>
      <c r="AI16" s="118">
        <v>1</v>
      </c>
      <c r="AJ16" s="118">
        <v>0</v>
      </c>
      <c r="AK16" s="118">
        <v>0</v>
      </c>
      <c r="AL16" s="118">
        <v>0</v>
      </c>
      <c r="AM16" s="118">
        <v>0</v>
      </c>
      <c r="AN16" s="118">
        <v>0</v>
      </c>
      <c r="AO16" s="118">
        <v>0</v>
      </c>
      <c r="AP16" s="118">
        <v>0</v>
      </c>
      <c r="AQ16" s="118">
        <v>0</v>
      </c>
      <c r="AR16" s="118">
        <v>0</v>
      </c>
      <c r="AS16" s="118">
        <v>0</v>
      </c>
      <c r="AT16" s="118">
        <v>0</v>
      </c>
      <c r="AU16" s="118">
        <f t="shared" si="2"/>
        <v>0</v>
      </c>
      <c r="AW16" s="119" t="s">
        <v>790</v>
      </c>
      <c r="AZ16" s="115" t="s">
        <v>92</v>
      </c>
      <c r="BA16" s="151" t="s">
        <v>1241</v>
      </c>
      <c r="BB16" s="151">
        <f>SUMIFS(AK$2:AK$995,N$2:N$995,"TU")</f>
        <v>104</v>
      </c>
      <c r="BC16" s="153">
        <f>(BB16*100)/BB2</f>
        <v>23.111111111111111</v>
      </c>
      <c r="BD16" s="151">
        <f>SUMIFS(AK$2:AK$995,N$2:N$995,"NHGRI")</f>
        <v>127</v>
      </c>
      <c r="BE16" s="153">
        <f>(BD16*100)/BD2</f>
        <v>25.34930139720559</v>
      </c>
      <c r="BF16" s="151">
        <f>SUMIFS(AK$2:AK$995,N$2:N$995,"AB")</f>
        <v>114</v>
      </c>
      <c r="BG16" s="153">
        <f>(BF16*100)/BF2</f>
        <v>23.651452282157678</v>
      </c>
      <c r="BH16" s="150">
        <f t="shared" si="3"/>
        <v>345</v>
      </c>
      <c r="BI16" s="152">
        <v>345</v>
      </c>
    </row>
    <row r="17" spans="1:61">
      <c r="A17" s="114">
        <v>2</v>
      </c>
      <c r="B17" s="116">
        <v>45916</v>
      </c>
      <c r="C17" s="116"/>
      <c r="D17" s="116"/>
      <c r="E17" s="116" t="s">
        <v>93</v>
      </c>
      <c r="F17" s="116"/>
      <c r="G17" s="115" t="s">
        <v>85</v>
      </c>
      <c r="H17" s="115">
        <v>1</v>
      </c>
      <c r="I17" s="117" t="str">
        <f t="shared" si="4"/>
        <v>NHGRI_1</v>
      </c>
      <c r="J17" s="123" t="s">
        <v>780</v>
      </c>
      <c r="K17" s="118">
        <v>3</v>
      </c>
      <c r="L17" s="123" t="str">
        <f t="shared" si="1"/>
        <v>NHGRI_1_3</v>
      </c>
      <c r="M17" s="123" t="s">
        <v>817</v>
      </c>
      <c r="N17" s="115" t="s">
        <v>86</v>
      </c>
      <c r="O17" s="115" t="s">
        <v>87</v>
      </c>
      <c r="P17" s="115">
        <v>100</v>
      </c>
      <c r="Q17" s="115">
        <v>500</v>
      </c>
      <c r="S17" s="115">
        <v>3</v>
      </c>
      <c r="T17" s="115">
        <v>2</v>
      </c>
      <c r="U17" s="115">
        <v>10.27</v>
      </c>
      <c r="V17" s="115">
        <v>10.59</v>
      </c>
      <c r="W17" s="118">
        <v>2</v>
      </c>
      <c r="X17" s="118">
        <v>10.5</v>
      </c>
      <c r="Y17" s="118">
        <v>2</v>
      </c>
      <c r="Z17" s="118">
        <v>2</v>
      </c>
      <c r="AA17" s="118">
        <v>2</v>
      </c>
      <c r="AB17" s="118">
        <v>2</v>
      </c>
      <c r="AC17" s="118">
        <v>2</v>
      </c>
      <c r="AD17" s="118">
        <v>2</v>
      </c>
      <c r="AE17" s="118">
        <v>2</v>
      </c>
      <c r="AF17" s="118">
        <v>2</v>
      </c>
      <c r="AG17" s="118">
        <v>2</v>
      </c>
      <c r="AH17" s="118">
        <v>2</v>
      </c>
      <c r="AI17" s="118">
        <v>2</v>
      </c>
      <c r="AJ17" s="118">
        <v>2</v>
      </c>
      <c r="AK17" s="118">
        <v>2</v>
      </c>
      <c r="AL17" s="118">
        <v>1</v>
      </c>
      <c r="AM17" s="118">
        <v>1</v>
      </c>
      <c r="AN17" s="118">
        <v>1</v>
      </c>
      <c r="AO17" s="118">
        <v>1</v>
      </c>
      <c r="AP17" s="118">
        <v>1</v>
      </c>
      <c r="AQ17" s="118">
        <v>1</v>
      </c>
      <c r="AR17" s="118">
        <v>1</v>
      </c>
      <c r="AS17" s="118">
        <v>1</v>
      </c>
      <c r="AT17" s="118">
        <v>1</v>
      </c>
      <c r="AU17" s="118">
        <f t="shared" si="2"/>
        <v>1</v>
      </c>
      <c r="AV17" s="115">
        <v>0</v>
      </c>
      <c r="AW17" s="119" t="s">
        <v>790</v>
      </c>
      <c r="AZ17" s="115" t="s">
        <v>94</v>
      </c>
      <c r="BA17" s="151" t="s">
        <v>1242</v>
      </c>
      <c r="BB17" s="151">
        <f>SUMIFS(AL$2:AL$995,N$2:N$995,"TU")</f>
        <v>66</v>
      </c>
      <c r="BC17" s="153">
        <f>(BB17*100)/BB2</f>
        <v>14.666666666666666</v>
      </c>
      <c r="BD17" s="151">
        <f>SUMIFS(AL$2:AL$995,N$2:N$995,"NHGRI")</f>
        <v>93</v>
      </c>
      <c r="BE17" s="153">
        <f>(BD17*100)/BD2</f>
        <v>18.562874251497007</v>
      </c>
      <c r="BF17" s="151">
        <f>SUMIFS(AL$2:AL$995,N$2:N$995,"AB")</f>
        <v>79</v>
      </c>
      <c r="BG17" s="153">
        <f>(BF17*100)/BF2</f>
        <v>16.390041493775932</v>
      </c>
      <c r="BH17" s="150">
        <f t="shared" si="3"/>
        <v>238</v>
      </c>
      <c r="BI17" s="152">
        <v>238</v>
      </c>
    </row>
    <row r="18" spans="1:61">
      <c r="A18" s="114">
        <v>2</v>
      </c>
      <c r="B18" s="116">
        <v>45916</v>
      </c>
      <c r="C18" s="116"/>
      <c r="D18" s="116"/>
      <c r="E18" s="116" t="s">
        <v>95</v>
      </c>
      <c r="F18" s="116"/>
      <c r="G18" s="115" t="s">
        <v>85</v>
      </c>
      <c r="H18" s="115">
        <v>1</v>
      </c>
      <c r="I18" s="117" t="str">
        <f t="shared" si="4"/>
        <v>NHGRI_1</v>
      </c>
      <c r="J18" s="123" t="s">
        <v>780</v>
      </c>
      <c r="K18" s="124">
        <v>4</v>
      </c>
      <c r="L18" s="123" t="str">
        <f t="shared" si="1"/>
        <v>NHGRI_1_4</v>
      </c>
      <c r="M18" s="123" t="s">
        <v>818</v>
      </c>
      <c r="N18" s="115" t="s">
        <v>86</v>
      </c>
      <c r="O18" s="115" t="s">
        <v>87</v>
      </c>
      <c r="P18" s="115">
        <v>100</v>
      </c>
      <c r="Q18" s="115">
        <v>500</v>
      </c>
      <c r="S18" s="115">
        <v>4</v>
      </c>
      <c r="T18" s="115">
        <v>4</v>
      </c>
      <c r="U18" s="115">
        <v>10.38</v>
      </c>
      <c r="V18" s="115">
        <v>10.59</v>
      </c>
      <c r="W18" s="118">
        <v>4</v>
      </c>
      <c r="X18" s="118">
        <v>11.15</v>
      </c>
      <c r="Y18" s="118">
        <v>4</v>
      </c>
      <c r="Z18" s="118">
        <v>4</v>
      </c>
      <c r="AA18" s="118">
        <v>4</v>
      </c>
      <c r="AB18" s="118">
        <v>4</v>
      </c>
      <c r="AC18" s="118">
        <v>4</v>
      </c>
      <c r="AD18" s="118">
        <v>4</v>
      </c>
      <c r="AE18" s="118">
        <v>2</v>
      </c>
      <c r="AF18" s="118">
        <v>2</v>
      </c>
      <c r="AG18" s="118">
        <v>2</v>
      </c>
      <c r="AH18" s="118">
        <v>2</v>
      </c>
      <c r="AI18" s="118">
        <v>2</v>
      </c>
      <c r="AJ18" s="118">
        <v>2</v>
      </c>
      <c r="AK18" s="118">
        <v>0</v>
      </c>
      <c r="AL18" s="118">
        <v>0</v>
      </c>
      <c r="AM18" s="118">
        <v>0</v>
      </c>
      <c r="AN18" s="118">
        <v>0</v>
      </c>
      <c r="AO18" s="118">
        <v>0</v>
      </c>
      <c r="AP18" s="118">
        <v>0</v>
      </c>
      <c r="AQ18" s="118">
        <v>0</v>
      </c>
      <c r="AR18" s="118">
        <v>0</v>
      </c>
      <c r="AS18" s="118">
        <v>0</v>
      </c>
      <c r="AT18" s="118">
        <v>0</v>
      </c>
      <c r="AU18" s="118">
        <f t="shared" si="2"/>
        <v>0</v>
      </c>
      <c r="AW18" s="119" t="s">
        <v>790</v>
      </c>
      <c r="AZ18" s="115" t="s">
        <v>96</v>
      </c>
      <c r="BA18" s="151" t="s">
        <v>1243</v>
      </c>
      <c r="BB18" s="151">
        <f>SUMIFS(AM$2:AM$995,N$2:N$995,"TU")</f>
        <v>42</v>
      </c>
      <c r="BC18" s="153">
        <f>(BB18*100)/BB2</f>
        <v>9.3333333333333339</v>
      </c>
      <c r="BD18" s="151">
        <f>SUMIFS(AM$2:AM$995,N$2:N$995,"NHGRI")</f>
        <v>79</v>
      </c>
      <c r="BE18" s="153">
        <f>(BD18*100)/BD2</f>
        <v>15.768463073852296</v>
      </c>
      <c r="BF18" s="151">
        <f>SUMIFS(AM$2:AM$995,N$2:N$995,"AB")</f>
        <v>54</v>
      </c>
      <c r="BG18" s="153">
        <f>(BF18*100)/BF2</f>
        <v>11.203319502074688</v>
      </c>
      <c r="BH18" s="150">
        <f t="shared" si="3"/>
        <v>175</v>
      </c>
      <c r="BI18" s="152">
        <v>175</v>
      </c>
    </row>
    <row r="19" spans="1:61">
      <c r="A19" s="114">
        <v>2</v>
      </c>
      <c r="B19" s="116">
        <v>45916</v>
      </c>
      <c r="C19" s="116"/>
      <c r="D19" s="116"/>
      <c r="E19" s="116"/>
      <c r="F19" s="116"/>
      <c r="G19" s="115" t="s">
        <v>85</v>
      </c>
      <c r="H19" s="115">
        <v>1</v>
      </c>
      <c r="I19" s="117" t="str">
        <f t="shared" si="4"/>
        <v>NHGRI_1</v>
      </c>
      <c r="J19" s="123" t="s">
        <v>780</v>
      </c>
      <c r="K19" s="118">
        <v>5</v>
      </c>
      <c r="L19" s="123" t="str">
        <f t="shared" si="1"/>
        <v>NHGRI_1_5</v>
      </c>
      <c r="M19" s="123" t="s">
        <v>819</v>
      </c>
      <c r="N19" s="115" t="s">
        <v>86</v>
      </c>
      <c r="O19" s="115" t="s">
        <v>87</v>
      </c>
      <c r="P19" s="115">
        <v>100</v>
      </c>
      <c r="Q19" s="115">
        <v>500</v>
      </c>
      <c r="S19" s="115">
        <v>5</v>
      </c>
      <c r="T19" s="115">
        <v>1</v>
      </c>
      <c r="U19" s="115">
        <v>11.02</v>
      </c>
      <c r="V19" s="115">
        <v>11.08</v>
      </c>
      <c r="W19" s="118">
        <v>1</v>
      </c>
      <c r="X19" s="118">
        <v>11.27</v>
      </c>
      <c r="Y19" s="118">
        <v>0</v>
      </c>
      <c r="Z19" s="118">
        <v>0</v>
      </c>
      <c r="AA19" s="118">
        <v>0</v>
      </c>
      <c r="AB19" s="118">
        <v>0</v>
      </c>
      <c r="AC19" s="118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118">
        <v>0</v>
      </c>
      <c r="AL19" s="118">
        <v>0</v>
      </c>
      <c r="AM19" s="118">
        <v>0</v>
      </c>
      <c r="AN19" s="118">
        <v>0</v>
      </c>
      <c r="AO19" s="118">
        <v>0</v>
      </c>
      <c r="AP19" s="118">
        <v>0</v>
      </c>
      <c r="AQ19" s="118">
        <v>0</v>
      </c>
      <c r="AR19" s="118">
        <v>0</v>
      </c>
      <c r="AS19" s="118">
        <v>0</v>
      </c>
      <c r="AT19" s="118">
        <v>0</v>
      </c>
      <c r="AU19" s="118">
        <f t="shared" si="2"/>
        <v>0</v>
      </c>
      <c r="AW19" s="119" t="s">
        <v>790</v>
      </c>
      <c r="AZ19" s="115" t="s">
        <v>97</v>
      </c>
      <c r="BA19" s="151" t="s">
        <v>1244</v>
      </c>
      <c r="BB19" s="151">
        <f>SUMIFS(AN$2:AN$995,N$2:N$995,"TU")</f>
        <v>28</v>
      </c>
      <c r="BC19" s="153">
        <f>(BB19*100)/BB2</f>
        <v>6.2222222222222223</v>
      </c>
      <c r="BD19" s="151">
        <f>SUMIFS(AN$2:AN$995,N$2:N$995,"NHGRI")</f>
        <v>68</v>
      </c>
      <c r="BE19" s="153">
        <f>(BD19*100)/BD2</f>
        <v>13.572854291417165</v>
      </c>
      <c r="BF19" s="151">
        <f>SUMIFS(AN$2:AN$995,N$2:N$995,"AB")</f>
        <v>38</v>
      </c>
      <c r="BG19" s="153">
        <f>(BF19*100)/BF2</f>
        <v>7.8838174273858925</v>
      </c>
      <c r="BH19" s="150">
        <f t="shared" si="3"/>
        <v>134</v>
      </c>
      <c r="BI19" s="152">
        <v>134</v>
      </c>
    </row>
    <row r="20" spans="1:61">
      <c r="A20" s="114">
        <v>2</v>
      </c>
      <c r="B20" s="116">
        <v>45916</v>
      </c>
      <c r="C20" s="116"/>
      <c r="D20" s="116"/>
      <c r="E20" s="116"/>
      <c r="F20" s="116"/>
      <c r="G20" s="115" t="s">
        <v>85</v>
      </c>
      <c r="H20" s="115">
        <v>1</v>
      </c>
      <c r="I20" s="117" t="str">
        <f t="shared" si="4"/>
        <v>NHGRI_1</v>
      </c>
      <c r="J20" s="123" t="s">
        <v>780</v>
      </c>
      <c r="K20" s="124">
        <v>6</v>
      </c>
      <c r="L20" s="123" t="str">
        <f t="shared" si="1"/>
        <v>NHGRI_1_6</v>
      </c>
      <c r="M20" s="123" t="s">
        <v>820</v>
      </c>
      <c r="N20" s="115" t="s">
        <v>86</v>
      </c>
      <c r="O20" s="115" t="s">
        <v>87</v>
      </c>
      <c r="P20" s="115">
        <v>100</v>
      </c>
      <c r="Q20" s="115">
        <v>500</v>
      </c>
      <c r="R20" s="115">
        <v>86</v>
      </c>
      <c r="S20" s="115">
        <v>1</v>
      </c>
      <c r="T20" s="115">
        <v>3</v>
      </c>
      <c r="U20" s="117">
        <v>9.4</v>
      </c>
      <c r="V20" s="115">
        <v>10.039999999999999</v>
      </c>
      <c r="W20" s="118">
        <v>3</v>
      </c>
      <c r="X20" s="118">
        <v>10.220000000000001</v>
      </c>
      <c r="Y20" s="118">
        <v>1</v>
      </c>
      <c r="Z20" s="118">
        <v>1</v>
      </c>
      <c r="AA20" s="118">
        <v>1</v>
      </c>
      <c r="AB20" s="118">
        <v>1</v>
      </c>
      <c r="AC20" s="118">
        <v>1</v>
      </c>
      <c r="AD20" s="118">
        <v>1</v>
      </c>
      <c r="AE20" s="118">
        <v>1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118">
        <v>0</v>
      </c>
      <c r="AL20" s="118">
        <v>0</v>
      </c>
      <c r="AM20" s="118">
        <v>0</v>
      </c>
      <c r="AN20" s="118">
        <v>0</v>
      </c>
      <c r="AO20" s="118">
        <v>0</v>
      </c>
      <c r="AP20" s="118">
        <v>0</v>
      </c>
      <c r="AQ20" s="118">
        <v>0</v>
      </c>
      <c r="AR20" s="118">
        <v>0</v>
      </c>
      <c r="AS20" s="118">
        <v>0</v>
      </c>
      <c r="AT20" s="118">
        <v>0</v>
      </c>
      <c r="AU20" s="118">
        <f t="shared" si="2"/>
        <v>0</v>
      </c>
      <c r="AW20" s="119" t="s">
        <v>98</v>
      </c>
      <c r="AX20" s="114" t="s">
        <v>67</v>
      </c>
      <c r="AZ20" s="115" t="s">
        <v>99</v>
      </c>
      <c r="BA20" s="151" t="s">
        <v>1245</v>
      </c>
      <c r="BB20" s="151">
        <f>SUMIFS(AO$2:AO$995,N$2:N$995,"TU")</f>
        <v>24</v>
      </c>
      <c r="BC20" s="153">
        <f>(BB20*100)/BB2</f>
        <v>5.333333333333333</v>
      </c>
      <c r="BD20" s="151">
        <f>SUMIFS(AO$2:AO$995,N$2:N$995,"NHGRI")</f>
        <v>62</v>
      </c>
      <c r="BE20" s="153">
        <f>(BD20*100)/BD2</f>
        <v>12.375249500998004</v>
      </c>
      <c r="BF20" s="151">
        <f>SUMIFS(AO$2:AO$995,N$2:N$995,"AB")</f>
        <v>36</v>
      </c>
      <c r="BG20" s="153">
        <f>(BF20*100)/BF2</f>
        <v>7.4688796680497926</v>
      </c>
      <c r="BH20" s="150">
        <f>BB20+BD20+BF20</f>
        <v>122</v>
      </c>
      <c r="BI20" s="152">
        <v>122</v>
      </c>
    </row>
    <row r="21" spans="1:61">
      <c r="A21" s="114">
        <v>2</v>
      </c>
      <c r="B21" s="116">
        <v>45916</v>
      </c>
      <c r="C21" s="116"/>
      <c r="D21" s="116"/>
      <c r="E21" s="116"/>
      <c r="F21" s="116"/>
      <c r="G21" s="115" t="s">
        <v>85</v>
      </c>
      <c r="H21" s="115">
        <v>1</v>
      </c>
      <c r="I21" s="117" t="str">
        <f t="shared" si="4"/>
        <v>NHGRI_1</v>
      </c>
      <c r="J21" s="123" t="s">
        <v>780</v>
      </c>
      <c r="K21" s="118">
        <v>7</v>
      </c>
      <c r="L21" s="123" t="str">
        <f t="shared" si="1"/>
        <v>NHGRI_1_7</v>
      </c>
      <c r="M21" s="123" t="s">
        <v>821</v>
      </c>
      <c r="N21" s="115" t="s">
        <v>86</v>
      </c>
      <c r="O21" s="115" t="s">
        <v>87</v>
      </c>
      <c r="P21" s="115">
        <v>100</v>
      </c>
      <c r="Q21" s="115">
        <v>500</v>
      </c>
      <c r="S21" s="115">
        <v>2</v>
      </c>
      <c r="T21" s="115">
        <v>1</v>
      </c>
      <c r="U21" s="115">
        <v>10.09</v>
      </c>
      <c r="V21" s="115">
        <v>10.199999999999999</v>
      </c>
      <c r="W21" s="118">
        <v>1</v>
      </c>
      <c r="X21" s="118">
        <v>10.45</v>
      </c>
      <c r="Y21" s="118">
        <v>1</v>
      </c>
      <c r="Z21" s="118">
        <v>1</v>
      </c>
      <c r="AA21" s="118">
        <v>1</v>
      </c>
      <c r="AB21" s="118">
        <v>1</v>
      </c>
      <c r="AC21" s="118">
        <v>1</v>
      </c>
      <c r="AD21" s="118">
        <v>1</v>
      </c>
      <c r="AE21" s="118">
        <v>0</v>
      </c>
      <c r="AF21" s="118">
        <v>0</v>
      </c>
      <c r="AG21" s="118">
        <v>0</v>
      </c>
      <c r="AH21" s="118">
        <v>0</v>
      </c>
      <c r="AI21" s="118">
        <v>0</v>
      </c>
      <c r="AJ21" s="118">
        <v>0</v>
      </c>
      <c r="AK21" s="118">
        <v>0</v>
      </c>
      <c r="AL21" s="118">
        <v>0</v>
      </c>
      <c r="AM21" s="118">
        <v>0</v>
      </c>
      <c r="AN21" s="118">
        <v>0</v>
      </c>
      <c r="AO21" s="118">
        <v>0</v>
      </c>
      <c r="AP21" s="118">
        <v>0</v>
      </c>
      <c r="AQ21" s="118">
        <v>0</v>
      </c>
      <c r="AR21" s="118">
        <v>0</v>
      </c>
      <c r="AS21" s="118">
        <v>0</v>
      </c>
      <c r="AT21" s="118">
        <v>0</v>
      </c>
      <c r="AU21" s="118">
        <f t="shared" si="2"/>
        <v>0</v>
      </c>
      <c r="AW21" s="119" t="s">
        <v>98</v>
      </c>
      <c r="AZ21" s="115" t="s">
        <v>100</v>
      </c>
      <c r="BA21" s="151" t="s">
        <v>1246</v>
      </c>
      <c r="BB21" s="151">
        <f>SUMIFS(AP$2:AP$995,N$2:N$995,"TU")</f>
        <v>20</v>
      </c>
      <c r="BC21" s="153">
        <f>(BB21*100)/BB2</f>
        <v>4.4444444444444446</v>
      </c>
      <c r="BD21" s="151">
        <f>SUMIFS(AP$2:AP$995,N$2:N$995,"NHGRI")</f>
        <v>56</v>
      </c>
      <c r="BE21" s="153">
        <f>(BD21*100)/BD2</f>
        <v>11.177644710578843</v>
      </c>
      <c r="BF21" s="151">
        <f>SUMIFS(AP$2:AP$995,N$2:N$995,"AB")</f>
        <v>29</v>
      </c>
      <c r="BG21" s="153">
        <f>(BF21*100)/BF2</f>
        <v>6.0165975103734439</v>
      </c>
      <c r="BH21" s="150">
        <f t="shared" si="3"/>
        <v>105</v>
      </c>
      <c r="BI21" s="152">
        <v>105</v>
      </c>
    </row>
    <row r="22" spans="1:61">
      <c r="A22" s="114">
        <v>2</v>
      </c>
      <c r="B22" s="116">
        <v>45916</v>
      </c>
      <c r="C22" s="116"/>
      <c r="D22" s="116"/>
      <c r="E22" s="116"/>
      <c r="F22" s="116"/>
      <c r="G22" s="115" t="s">
        <v>85</v>
      </c>
      <c r="H22" s="115">
        <v>1</v>
      </c>
      <c r="I22" s="117" t="str">
        <f t="shared" si="4"/>
        <v>NHGRI_1</v>
      </c>
      <c r="J22" s="123" t="s">
        <v>780</v>
      </c>
      <c r="K22" s="124">
        <v>8</v>
      </c>
      <c r="L22" s="123" t="str">
        <f t="shared" si="1"/>
        <v>NHGRI_1_8</v>
      </c>
      <c r="M22" s="123" t="s">
        <v>822</v>
      </c>
      <c r="N22" s="115" t="s">
        <v>86</v>
      </c>
      <c r="O22" s="115" t="s">
        <v>87</v>
      </c>
      <c r="P22" s="115">
        <v>100</v>
      </c>
      <c r="Q22" s="115">
        <v>500</v>
      </c>
      <c r="S22" s="115">
        <v>3</v>
      </c>
      <c r="T22" s="115">
        <v>5</v>
      </c>
      <c r="U22" s="115">
        <v>10.28</v>
      </c>
      <c r="V22" s="115">
        <v>10.54</v>
      </c>
      <c r="W22" s="118">
        <v>5</v>
      </c>
      <c r="X22" s="118">
        <v>11.12</v>
      </c>
      <c r="Y22" s="118">
        <v>1</v>
      </c>
      <c r="Z22" s="118">
        <v>1</v>
      </c>
      <c r="AA22" s="118">
        <v>1</v>
      </c>
      <c r="AB22" s="118">
        <v>1</v>
      </c>
      <c r="AC22" s="118">
        <v>0</v>
      </c>
      <c r="AD22" s="118">
        <v>0</v>
      </c>
      <c r="AE22" s="118">
        <v>0</v>
      </c>
      <c r="AF22" s="118">
        <v>0</v>
      </c>
      <c r="AG22" s="118">
        <v>0</v>
      </c>
      <c r="AH22" s="118">
        <v>0</v>
      </c>
      <c r="AI22" s="118">
        <v>0</v>
      </c>
      <c r="AJ22" s="118">
        <v>0</v>
      </c>
      <c r="AK22" s="118">
        <v>0</v>
      </c>
      <c r="AL22" s="118">
        <v>0</v>
      </c>
      <c r="AM22" s="118">
        <v>0</v>
      </c>
      <c r="AN22" s="118">
        <v>0</v>
      </c>
      <c r="AO22" s="118">
        <v>0</v>
      </c>
      <c r="AP22" s="118">
        <v>0</v>
      </c>
      <c r="AQ22" s="118">
        <v>0</v>
      </c>
      <c r="AR22" s="118">
        <v>0</v>
      </c>
      <c r="AS22" s="118">
        <v>0</v>
      </c>
      <c r="AT22" s="118">
        <v>0</v>
      </c>
      <c r="AU22" s="118">
        <f t="shared" si="2"/>
        <v>0</v>
      </c>
      <c r="AW22" s="119" t="s">
        <v>98</v>
      </c>
      <c r="AZ22" s="115" t="s">
        <v>101</v>
      </c>
      <c r="BA22" s="151" t="s">
        <v>1247</v>
      </c>
      <c r="BB22" s="151">
        <f>SUMIFS(AQ$2:AQ$995,N$2:N$995,"TU")</f>
        <v>12</v>
      </c>
      <c r="BC22" s="153">
        <f>(BB22*100)/BB2</f>
        <v>2.6666666666666665</v>
      </c>
      <c r="BD22" s="151">
        <f>SUMIFS(AQ$2:AQ$995,N$2:N$995,"NHGRI")</f>
        <v>51</v>
      </c>
      <c r="BE22" s="153">
        <f>(BD22*100)/BD2</f>
        <v>10.179640718562874</v>
      </c>
      <c r="BF22" s="151">
        <f>SUMIFS(AQ$2:AQ$995,N$2:N$995,"AB")</f>
        <v>19</v>
      </c>
      <c r="BG22" s="153">
        <f>(BF22*100)/BF2</f>
        <v>3.9419087136929463</v>
      </c>
      <c r="BH22" s="150">
        <f t="shared" si="3"/>
        <v>82</v>
      </c>
      <c r="BI22" s="152">
        <v>82</v>
      </c>
    </row>
    <row r="23" spans="1:61">
      <c r="A23" s="114">
        <v>3</v>
      </c>
      <c r="B23" s="116">
        <v>45917</v>
      </c>
      <c r="C23" s="116" t="s">
        <v>102</v>
      </c>
      <c r="D23" s="116" t="s">
        <v>103</v>
      </c>
      <c r="E23" s="116" t="s">
        <v>104</v>
      </c>
      <c r="F23" s="116" t="s">
        <v>105</v>
      </c>
      <c r="G23" s="115" t="s">
        <v>106</v>
      </c>
      <c r="H23" s="115">
        <v>1</v>
      </c>
      <c r="I23" s="117" t="str">
        <f t="shared" ref="I23:I37" si="5">_xlfn.CONCAT(N23 &amp; "_" &amp; H23)</f>
        <v>AB_1</v>
      </c>
      <c r="J23" s="117" t="s">
        <v>771</v>
      </c>
      <c r="K23" s="118">
        <v>1</v>
      </c>
      <c r="L23" s="117" t="str">
        <f>_xlfn.CONCAT(J23 &amp; "_" &amp; K23)</f>
        <v>AB_1_1</v>
      </c>
      <c r="M23" s="117" t="s">
        <v>823</v>
      </c>
      <c r="N23" s="115" t="s">
        <v>88</v>
      </c>
      <c r="O23" s="115" t="s">
        <v>107</v>
      </c>
      <c r="P23" s="115">
        <v>100</v>
      </c>
      <c r="Q23" s="115">
        <v>500</v>
      </c>
      <c r="R23" s="115">
        <v>80</v>
      </c>
      <c r="S23" s="115">
        <v>1</v>
      </c>
      <c r="T23" s="115">
        <v>6</v>
      </c>
      <c r="U23" s="115">
        <v>9.48</v>
      </c>
      <c r="V23" s="115">
        <v>10.130000000000001</v>
      </c>
      <c r="W23" s="118">
        <v>6</v>
      </c>
      <c r="X23" s="118">
        <v>10.31</v>
      </c>
      <c r="Y23" s="118">
        <v>3</v>
      </c>
      <c r="Z23" s="118">
        <v>3</v>
      </c>
      <c r="AA23" s="118">
        <v>3</v>
      </c>
      <c r="AB23" s="118">
        <v>3</v>
      </c>
      <c r="AC23" s="118">
        <v>3</v>
      </c>
      <c r="AD23" s="118">
        <v>3</v>
      </c>
      <c r="AE23" s="118">
        <v>3</v>
      </c>
      <c r="AF23" s="118">
        <v>3</v>
      </c>
      <c r="AG23" s="118">
        <v>3</v>
      </c>
      <c r="AH23" s="118">
        <v>1</v>
      </c>
      <c r="AI23" s="118">
        <v>1</v>
      </c>
      <c r="AJ23" s="118">
        <v>1</v>
      </c>
      <c r="AK23" s="118">
        <v>1</v>
      </c>
      <c r="AL23" s="118">
        <v>1</v>
      </c>
      <c r="AM23" s="118">
        <v>1</v>
      </c>
      <c r="AN23" s="118">
        <v>0</v>
      </c>
      <c r="AO23" s="118">
        <v>0</v>
      </c>
      <c r="AP23" s="118">
        <v>0</v>
      </c>
      <c r="AQ23" s="118">
        <v>0</v>
      </c>
      <c r="AR23" s="118">
        <v>0</v>
      </c>
      <c r="AS23" s="118">
        <v>0</v>
      </c>
      <c r="AT23" s="118">
        <v>0</v>
      </c>
      <c r="AU23" s="118">
        <f t="shared" si="2"/>
        <v>0</v>
      </c>
      <c r="AX23" s="114" t="s">
        <v>53</v>
      </c>
      <c r="AZ23" s="115" t="s">
        <v>108</v>
      </c>
      <c r="BA23" s="151" t="s">
        <v>1248</v>
      </c>
      <c r="BB23" s="151">
        <f>SUMIFS(AR$2:AR$995,N$2:N$995,"TU")</f>
        <v>9</v>
      </c>
      <c r="BC23" s="153">
        <f>(BB23*100)/BB2</f>
        <v>2</v>
      </c>
      <c r="BD23" s="151">
        <f>SUMIFS(AR$2:AR$995,N$2:N$995,"NHGRI")</f>
        <v>34</v>
      </c>
      <c r="BE23" s="153">
        <f>(BD23*100)/BD2</f>
        <v>6.7864271457085827</v>
      </c>
      <c r="BF23" s="151">
        <f>SUMIFS(AR$2:AR$995,N$2:N$995,"AB")</f>
        <v>14</v>
      </c>
      <c r="BG23" s="153">
        <f>(BF23*100)/BF2</f>
        <v>2.904564315352697</v>
      </c>
      <c r="BH23" s="150">
        <f t="shared" si="3"/>
        <v>57</v>
      </c>
      <c r="BI23" s="152">
        <v>57</v>
      </c>
    </row>
    <row r="24" spans="1:61">
      <c r="A24" s="114">
        <v>3</v>
      </c>
      <c r="B24" s="116">
        <v>45917</v>
      </c>
      <c r="C24" s="116"/>
      <c r="D24" s="116" t="s">
        <v>109</v>
      </c>
      <c r="E24" s="116" t="s">
        <v>110</v>
      </c>
      <c r="F24" s="116"/>
      <c r="G24" s="115" t="s">
        <v>106</v>
      </c>
      <c r="H24" s="115">
        <v>1</v>
      </c>
      <c r="I24" s="117" t="str">
        <f t="shared" si="5"/>
        <v>AB_1</v>
      </c>
      <c r="J24" s="125" t="s">
        <v>771</v>
      </c>
      <c r="K24" s="118">
        <v>2</v>
      </c>
      <c r="L24" s="117" t="str">
        <f t="shared" ref="L24:L87" si="6">_xlfn.CONCAT(J24 &amp; "_" &amp; K24)</f>
        <v>AB_1_2</v>
      </c>
      <c r="M24" s="117" t="s">
        <v>824</v>
      </c>
      <c r="N24" s="115" t="s">
        <v>88</v>
      </c>
      <c r="O24" s="115" t="s">
        <v>107</v>
      </c>
      <c r="P24" s="115">
        <v>100</v>
      </c>
      <c r="Q24" s="115">
        <v>500</v>
      </c>
      <c r="S24" s="115">
        <v>2</v>
      </c>
      <c r="T24" s="115">
        <v>5</v>
      </c>
      <c r="U24" s="115">
        <v>10.16</v>
      </c>
      <c r="V24" s="115">
        <v>10.34</v>
      </c>
      <c r="W24" s="118">
        <v>5</v>
      </c>
      <c r="X24" s="118">
        <v>10.49</v>
      </c>
      <c r="Y24" s="118">
        <v>2</v>
      </c>
      <c r="Z24" s="118">
        <v>2</v>
      </c>
      <c r="AA24" s="118">
        <v>2</v>
      </c>
      <c r="AB24" s="118">
        <v>2</v>
      </c>
      <c r="AC24" s="118">
        <v>2</v>
      </c>
      <c r="AD24" s="118">
        <v>2</v>
      </c>
      <c r="AE24" s="118">
        <v>2</v>
      </c>
      <c r="AF24" s="118">
        <v>2</v>
      </c>
      <c r="AG24" s="118">
        <v>0</v>
      </c>
      <c r="AH24" s="118">
        <v>0</v>
      </c>
      <c r="AI24" s="118">
        <v>0</v>
      </c>
      <c r="AJ24" s="118">
        <v>0</v>
      </c>
      <c r="AK24" s="118">
        <v>0</v>
      </c>
      <c r="AL24" s="118">
        <v>0</v>
      </c>
      <c r="AM24" s="118">
        <v>0</v>
      </c>
      <c r="AN24" s="118">
        <v>0</v>
      </c>
      <c r="AO24" s="118">
        <v>0</v>
      </c>
      <c r="AP24" s="118">
        <v>0</v>
      </c>
      <c r="AQ24" s="118">
        <v>0</v>
      </c>
      <c r="AR24" s="118">
        <v>0</v>
      </c>
      <c r="AS24" s="118">
        <v>0</v>
      </c>
      <c r="AT24" s="118">
        <v>0</v>
      </c>
      <c r="AU24" s="118">
        <f t="shared" si="2"/>
        <v>0</v>
      </c>
      <c r="AZ24" s="115" t="s">
        <v>111</v>
      </c>
      <c r="BA24" s="154" t="s">
        <v>21</v>
      </c>
      <c r="BB24" s="151">
        <f>SUMIFS(AS$2:AS$995,N$2:N$995,"TU")</f>
        <v>8</v>
      </c>
      <c r="BC24" s="153">
        <f>(BB24*100)/BB2</f>
        <v>1.7777777777777777</v>
      </c>
      <c r="BD24" s="151">
        <f>SUMIFS(AS$2:AS$995,N$2:N$995,"NHGRI")</f>
        <v>27</v>
      </c>
      <c r="BE24" s="153">
        <f>(BD24*100)/BD2</f>
        <v>5.3892215568862278</v>
      </c>
      <c r="BF24" s="151">
        <f>SUMIFS(AS$2:AS$995,N$2:N$995,"AB")</f>
        <v>11</v>
      </c>
      <c r="BG24" s="153">
        <f>(BF24*100)/BF2</f>
        <v>2.2821576763485476</v>
      </c>
      <c r="BH24" s="150">
        <f t="shared" si="3"/>
        <v>46</v>
      </c>
      <c r="BI24" s="152">
        <v>46</v>
      </c>
    </row>
    <row r="25" spans="1:61">
      <c r="A25" s="114">
        <v>3</v>
      </c>
      <c r="B25" s="116">
        <v>45917</v>
      </c>
      <c r="C25" s="116"/>
      <c r="D25" s="116"/>
      <c r="E25" s="116" t="s">
        <v>112</v>
      </c>
      <c r="F25" s="116"/>
      <c r="G25" s="115" t="s">
        <v>106</v>
      </c>
      <c r="H25" s="115">
        <v>1</v>
      </c>
      <c r="I25" s="117" t="str">
        <f t="shared" si="5"/>
        <v>AB_1</v>
      </c>
      <c r="J25" s="125" t="s">
        <v>771</v>
      </c>
      <c r="K25" s="118">
        <v>3</v>
      </c>
      <c r="L25" s="117" t="str">
        <f t="shared" si="6"/>
        <v>AB_1_3</v>
      </c>
      <c r="M25" s="117" t="s">
        <v>825</v>
      </c>
      <c r="N25" s="115" t="s">
        <v>88</v>
      </c>
      <c r="O25" s="115" t="s">
        <v>107</v>
      </c>
      <c r="P25" s="115">
        <v>100</v>
      </c>
      <c r="Q25" s="115">
        <v>500</v>
      </c>
      <c r="S25" s="115">
        <v>3</v>
      </c>
      <c r="T25" s="115">
        <v>5</v>
      </c>
      <c r="U25" s="115">
        <v>10.49</v>
      </c>
      <c r="V25" s="115">
        <v>11.08</v>
      </c>
      <c r="W25" s="118">
        <v>5</v>
      </c>
      <c r="X25" s="118">
        <v>11.24</v>
      </c>
      <c r="Y25" s="118">
        <v>4</v>
      </c>
      <c r="Z25" s="118">
        <v>4</v>
      </c>
      <c r="AA25" s="118">
        <v>4</v>
      </c>
      <c r="AB25" s="118">
        <v>4</v>
      </c>
      <c r="AC25" s="118">
        <v>4</v>
      </c>
      <c r="AD25" s="118">
        <v>4</v>
      </c>
      <c r="AE25" s="118">
        <v>4</v>
      </c>
      <c r="AF25" s="118">
        <v>4</v>
      </c>
      <c r="AG25" s="118">
        <v>4</v>
      </c>
      <c r="AH25" s="118">
        <v>4</v>
      </c>
      <c r="AI25" s="118">
        <v>4</v>
      </c>
      <c r="AJ25" s="118">
        <v>4</v>
      </c>
      <c r="AK25" s="118">
        <v>4</v>
      </c>
      <c r="AL25" s="118">
        <v>4</v>
      </c>
      <c r="AM25" s="118">
        <v>0</v>
      </c>
      <c r="AN25" s="118">
        <v>0</v>
      </c>
      <c r="AO25" s="118">
        <v>0</v>
      </c>
      <c r="AP25" s="118">
        <v>0</v>
      </c>
      <c r="AQ25" s="118">
        <v>0</v>
      </c>
      <c r="AR25" s="118">
        <v>0</v>
      </c>
      <c r="AS25" s="118">
        <v>0</v>
      </c>
      <c r="AT25" s="118">
        <v>0</v>
      </c>
      <c r="AU25" s="118">
        <f t="shared" si="2"/>
        <v>0</v>
      </c>
      <c r="AZ25" s="115" t="s">
        <v>113</v>
      </c>
      <c r="BA25" s="154" t="s">
        <v>35</v>
      </c>
      <c r="BB25" s="151">
        <f>SUMIFS(AT$2:AT$995,N$2:N$995,"TU")</f>
        <v>8</v>
      </c>
      <c r="BC25" s="153">
        <f>(BB25*100)/BB2</f>
        <v>1.7777777777777777</v>
      </c>
      <c r="BD25" s="151">
        <f>SUMIFS(AT$2:AT$995,N$2:N$995,"NHGRI")</f>
        <v>27</v>
      </c>
      <c r="BE25" s="153">
        <f>(BD25*100)/BD2</f>
        <v>5.3892215568862278</v>
      </c>
      <c r="BF25" s="151">
        <f>SUMIFS(AT$2:AT$995,N$2:N$995,"AB")</f>
        <v>11</v>
      </c>
      <c r="BG25" s="153">
        <f>(BF25*100)/BF2</f>
        <v>2.2821576763485476</v>
      </c>
      <c r="BH25" s="150">
        <f t="shared" si="3"/>
        <v>46</v>
      </c>
      <c r="BI25" s="152">
        <v>46</v>
      </c>
    </row>
    <row r="26" spans="1:61">
      <c r="A26" s="114">
        <v>3</v>
      </c>
      <c r="B26" s="116">
        <v>45917</v>
      </c>
      <c r="C26" s="116"/>
      <c r="D26" s="116"/>
      <c r="E26" s="116" t="s">
        <v>114</v>
      </c>
      <c r="F26" s="116"/>
      <c r="G26" s="115" t="s">
        <v>106</v>
      </c>
      <c r="H26" s="115">
        <v>1</v>
      </c>
      <c r="I26" s="117" t="str">
        <f t="shared" si="5"/>
        <v>AB_1</v>
      </c>
      <c r="J26" s="125" t="s">
        <v>771</v>
      </c>
      <c r="K26" s="118">
        <v>4</v>
      </c>
      <c r="L26" s="117" t="str">
        <f t="shared" si="6"/>
        <v>AB_1_4</v>
      </c>
      <c r="M26" s="117" t="s">
        <v>826</v>
      </c>
      <c r="N26" s="115" t="s">
        <v>88</v>
      </c>
      <c r="O26" s="115" t="s">
        <v>107</v>
      </c>
      <c r="P26" s="115">
        <v>100</v>
      </c>
      <c r="Q26" s="115">
        <v>500</v>
      </c>
      <c r="S26" s="115">
        <v>4</v>
      </c>
      <c r="T26" s="115">
        <v>6</v>
      </c>
      <c r="U26" s="115">
        <v>11.25</v>
      </c>
      <c r="V26" s="115">
        <v>11.53</v>
      </c>
      <c r="W26" s="118">
        <v>6</v>
      </c>
      <c r="X26" s="118">
        <v>12.08</v>
      </c>
      <c r="Y26" s="118">
        <v>3</v>
      </c>
      <c r="Z26" s="118">
        <v>3</v>
      </c>
      <c r="AA26" s="118">
        <v>3</v>
      </c>
      <c r="AB26" s="118">
        <v>3</v>
      </c>
      <c r="AC26" s="118">
        <v>3</v>
      </c>
      <c r="AD26" s="118">
        <v>3</v>
      </c>
      <c r="AE26" s="118">
        <v>3</v>
      </c>
      <c r="AF26" s="118">
        <v>3</v>
      </c>
      <c r="AG26" s="118">
        <v>3</v>
      </c>
      <c r="AH26" s="118">
        <v>3</v>
      </c>
      <c r="AI26" s="118">
        <v>3</v>
      </c>
      <c r="AJ26" s="118">
        <v>3</v>
      </c>
      <c r="AK26" s="118">
        <v>3</v>
      </c>
      <c r="AL26" s="118">
        <v>3</v>
      </c>
      <c r="AM26" s="118">
        <v>0</v>
      </c>
      <c r="AN26" s="118">
        <v>0</v>
      </c>
      <c r="AO26" s="118">
        <v>0</v>
      </c>
      <c r="AP26" s="118">
        <v>0</v>
      </c>
      <c r="AQ26" s="118">
        <v>0</v>
      </c>
      <c r="AR26" s="118">
        <v>0</v>
      </c>
      <c r="AS26" s="118">
        <v>0</v>
      </c>
      <c r="AT26" s="118">
        <v>0</v>
      </c>
      <c r="AU26" s="118">
        <f t="shared" si="2"/>
        <v>0</v>
      </c>
    </row>
    <row r="27" spans="1:61">
      <c r="A27" s="114">
        <v>3</v>
      </c>
      <c r="B27" s="116">
        <v>45917</v>
      </c>
      <c r="C27" s="116"/>
      <c r="D27" s="116"/>
      <c r="E27" s="116"/>
      <c r="F27" s="116"/>
      <c r="G27" s="115" t="s">
        <v>106</v>
      </c>
      <c r="H27" s="115">
        <v>1</v>
      </c>
      <c r="I27" s="117" t="str">
        <f t="shared" si="5"/>
        <v>AB_1</v>
      </c>
      <c r="J27" s="125" t="s">
        <v>771</v>
      </c>
      <c r="K27" s="118">
        <v>5</v>
      </c>
      <c r="L27" s="117" t="str">
        <f t="shared" si="6"/>
        <v>AB_1_5</v>
      </c>
      <c r="M27" s="117" t="s">
        <v>827</v>
      </c>
      <c r="N27" s="115" t="s">
        <v>88</v>
      </c>
      <c r="O27" s="115" t="s">
        <v>107</v>
      </c>
      <c r="P27" s="115">
        <v>100</v>
      </c>
      <c r="Q27" s="115">
        <v>500</v>
      </c>
      <c r="S27" s="115">
        <v>5</v>
      </c>
      <c r="T27" s="115">
        <v>5</v>
      </c>
      <c r="U27" s="115">
        <v>11.57</v>
      </c>
      <c r="V27" s="115">
        <v>12.08</v>
      </c>
      <c r="W27" s="118">
        <v>5</v>
      </c>
      <c r="X27" s="118">
        <v>12.23</v>
      </c>
      <c r="Y27" s="118">
        <v>1</v>
      </c>
      <c r="Z27" s="118">
        <v>1</v>
      </c>
      <c r="AA27" s="118">
        <v>1</v>
      </c>
      <c r="AB27" s="118">
        <v>1</v>
      </c>
      <c r="AC27" s="118">
        <v>1</v>
      </c>
      <c r="AD27" s="118">
        <v>1</v>
      </c>
      <c r="AE27" s="118">
        <v>1</v>
      </c>
      <c r="AF27" s="118">
        <v>1</v>
      </c>
      <c r="AG27" s="118">
        <v>1</v>
      </c>
      <c r="AH27" s="118">
        <v>1</v>
      </c>
      <c r="AI27" s="118">
        <v>1</v>
      </c>
      <c r="AJ27" s="118">
        <v>1</v>
      </c>
      <c r="AK27" s="118">
        <v>1</v>
      </c>
      <c r="AL27" s="118">
        <v>1</v>
      </c>
      <c r="AM27" s="118">
        <v>0</v>
      </c>
      <c r="AN27" s="118">
        <v>0</v>
      </c>
      <c r="AO27" s="118">
        <v>0</v>
      </c>
      <c r="AP27" s="118">
        <v>0</v>
      </c>
      <c r="AQ27" s="118">
        <v>0</v>
      </c>
      <c r="AR27" s="118">
        <v>0</v>
      </c>
      <c r="AS27" s="118">
        <v>0</v>
      </c>
      <c r="AT27" s="118">
        <v>0</v>
      </c>
      <c r="AU27" s="118">
        <f t="shared" si="2"/>
        <v>0</v>
      </c>
    </row>
    <row r="28" spans="1:61">
      <c r="A28" s="114">
        <v>3</v>
      </c>
      <c r="B28" s="116">
        <v>45917</v>
      </c>
      <c r="C28" s="116"/>
      <c r="D28" s="116"/>
      <c r="E28" s="116"/>
      <c r="F28" s="116"/>
      <c r="G28" s="115" t="s">
        <v>106</v>
      </c>
      <c r="H28" s="115">
        <v>1</v>
      </c>
      <c r="I28" s="117" t="str">
        <f t="shared" si="5"/>
        <v>AB_1</v>
      </c>
      <c r="J28" s="125" t="s">
        <v>771</v>
      </c>
      <c r="K28" s="118">
        <v>6</v>
      </c>
      <c r="L28" s="117" t="str">
        <f t="shared" si="6"/>
        <v>AB_1_6</v>
      </c>
      <c r="M28" s="117" t="s">
        <v>828</v>
      </c>
      <c r="N28" s="115" t="s">
        <v>88</v>
      </c>
      <c r="O28" s="115" t="s">
        <v>107</v>
      </c>
      <c r="P28" s="115">
        <v>100</v>
      </c>
      <c r="Q28" s="115">
        <v>500</v>
      </c>
      <c r="S28" s="115" t="s">
        <v>118</v>
      </c>
      <c r="T28" s="115">
        <v>4</v>
      </c>
      <c r="U28" s="115" t="s">
        <v>117</v>
      </c>
      <c r="V28" s="115" t="s">
        <v>117</v>
      </c>
      <c r="W28" s="118">
        <v>4</v>
      </c>
      <c r="X28" s="118">
        <v>11.15</v>
      </c>
      <c r="Y28" s="118">
        <v>2</v>
      </c>
      <c r="Z28" s="118">
        <v>2</v>
      </c>
      <c r="AA28" s="118">
        <v>2</v>
      </c>
      <c r="AB28" s="118">
        <v>2</v>
      </c>
      <c r="AC28" s="118">
        <v>2</v>
      </c>
      <c r="AD28" s="118">
        <v>2</v>
      </c>
      <c r="AE28" s="118">
        <v>2</v>
      </c>
      <c r="AF28" s="118">
        <v>2</v>
      </c>
      <c r="AG28" s="118">
        <v>2</v>
      </c>
      <c r="AH28" s="118">
        <v>2</v>
      </c>
      <c r="AI28" s="118">
        <v>2</v>
      </c>
      <c r="AJ28" s="118">
        <v>2</v>
      </c>
      <c r="AK28" s="118">
        <v>2</v>
      </c>
      <c r="AL28" s="118">
        <v>0</v>
      </c>
      <c r="AM28" s="118">
        <v>0</v>
      </c>
      <c r="AN28" s="118">
        <v>0</v>
      </c>
      <c r="AO28" s="118">
        <v>0</v>
      </c>
      <c r="AP28" s="118">
        <v>0</v>
      </c>
      <c r="AQ28" s="118">
        <v>0</v>
      </c>
      <c r="AR28" s="118">
        <v>0</v>
      </c>
      <c r="AS28" s="118">
        <v>0</v>
      </c>
      <c r="AT28" s="118">
        <v>0</v>
      </c>
      <c r="AU28" s="118">
        <f t="shared" si="2"/>
        <v>0</v>
      </c>
    </row>
    <row r="29" spans="1:61">
      <c r="A29" s="114">
        <v>3</v>
      </c>
      <c r="B29" s="116">
        <v>45917</v>
      </c>
      <c r="C29" s="116"/>
      <c r="D29" s="116"/>
      <c r="E29" s="116"/>
      <c r="F29" s="116"/>
      <c r="G29" s="115" t="s">
        <v>106</v>
      </c>
      <c r="H29" s="115">
        <v>1</v>
      </c>
      <c r="I29" s="117" t="str">
        <f t="shared" si="5"/>
        <v>AB_1</v>
      </c>
      <c r="J29" s="125" t="s">
        <v>771</v>
      </c>
      <c r="K29" s="118">
        <v>7</v>
      </c>
      <c r="L29" s="117" t="str">
        <f t="shared" si="6"/>
        <v>AB_1_7</v>
      </c>
      <c r="M29" s="117" t="s">
        <v>829</v>
      </c>
      <c r="N29" s="115" t="s">
        <v>88</v>
      </c>
      <c r="O29" s="115" t="s">
        <v>107</v>
      </c>
      <c r="P29" s="115">
        <v>100</v>
      </c>
      <c r="Q29" s="115">
        <v>500</v>
      </c>
      <c r="S29" s="115" t="s">
        <v>119</v>
      </c>
      <c r="T29" s="115">
        <v>3</v>
      </c>
      <c r="U29" s="115" t="s">
        <v>117</v>
      </c>
      <c r="V29" s="115" t="s">
        <v>117</v>
      </c>
      <c r="W29" s="118">
        <v>3</v>
      </c>
      <c r="X29" s="118">
        <v>11.29</v>
      </c>
      <c r="Y29" s="118">
        <v>3</v>
      </c>
      <c r="Z29" s="118">
        <v>3</v>
      </c>
      <c r="AA29" s="118">
        <v>0</v>
      </c>
      <c r="AB29" s="118">
        <v>0</v>
      </c>
      <c r="AC29" s="118">
        <v>0</v>
      </c>
      <c r="AD29" s="118">
        <v>0</v>
      </c>
      <c r="AE29" s="118">
        <v>0</v>
      </c>
      <c r="AF29" s="118">
        <v>0</v>
      </c>
      <c r="AG29" s="118">
        <v>0</v>
      </c>
      <c r="AH29" s="118">
        <v>0</v>
      </c>
      <c r="AI29" s="118">
        <v>0</v>
      </c>
      <c r="AJ29" s="118">
        <v>0</v>
      </c>
      <c r="AK29" s="118">
        <v>0</v>
      </c>
      <c r="AL29" s="118">
        <v>0</v>
      </c>
      <c r="AM29" s="118">
        <v>0</v>
      </c>
      <c r="AN29" s="118">
        <v>0</v>
      </c>
      <c r="AO29" s="118">
        <v>0</v>
      </c>
      <c r="AP29" s="118">
        <v>0</v>
      </c>
      <c r="AQ29" s="118">
        <v>0</v>
      </c>
      <c r="AR29" s="118">
        <v>0</v>
      </c>
      <c r="AS29" s="118">
        <v>0</v>
      </c>
      <c r="AT29" s="118">
        <v>0</v>
      </c>
      <c r="AU29" s="118">
        <f t="shared" si="2"/>
        <v>0</v>
      </c>
    </row>
    <row r="30" spans="1:61">
      <c r="A30" s="114">
        <v>3</v>
      </c>
      <c r="B30" s="116">
        <v>45917</v>
      </c>
      <c r="C30" s="116"/>
      <c r="D30" s="116"/>
      <c r="E30" s="116"/>
      <c r="F30" s="116"/>
      <c r="G30" s="115" t="s">
        <v>106</v>
      </c>
      <c r="H30" s="115">
        <v>1</v>
      </c>
      <c r="I30" s="117" t="str">
        <f t="shared" si="5"/>
        <v>AB_1</v>
      </c>
      <c r="J30" s="125" t="s">
        <v>771</v>
      </c>
      <c r="K30" s="118">
        <v>8</v>
      </c>
      <c r="L30" s="117" t="str">
        <f t="shared" si="6"/>
        <v>AB_1_8</v>
      </c>
      <c r="M30" s="117" t="s">
        <v>830</v>
      </c>
      <c r="N30" s="115" t="s">
        <v>88</v>
      </c>
      <c r="O30" s="115" t="s">
        <v>107</v>
      </c>
      <c r="P30" s="115">
        <v>100</v>
      </c>
      <c r="Q30" s="115">
        <v>500</v>
      </c>
      <c r="S30" s="115" t="s">
        <v>120</v>
      </c>
      <c r="T30" s="115">
        <v>5</v>
      </c>
      <c r="U30" s="115" t="s">
        <v>117</v>
      </c>
      <c r="V30" s="115" t="s">
        <v>117</v>
      </c>
      <c r="W30" s="118">
        <v>5</v>
      </c>
      <c r="X30" s="118">
        <v>11.45</v>
      </c>
      <c r="Y30" s="118">
        <v>4</v>
      </c>
      <c r="Z30" s="118">
        <v>4</v>
      </c>
      <c r="AA30" s="118">
        <v>4</v>
      </c>
      <c r="AB30" s="118">
        <v>4</v>
      </c>
      <c r="AC30" s="118">
        <v>2</v>
      </c>
      <c r="AD30" s="118">
        <v>1</v>
      </c>
      <c r="AE30" s="118">
        <v>1</v>
      </c>
      <c r="AF30" s="118">
        <v>1</v>
      </c>
      <c r="AG30" s="118">
        <v>1</v>
      </c>
      <c r="AH30" s="118">
        <v>1</v>
      </c>
      <c r="AI30" s="118">
        <v>1</v>
      </c>
      <c r="AJ30" s="118">
        <v>1</v>
      </c>
      <c r="AK30" s="118">
        <v>1</v>
      </c>
      <c r="AL30" s="118">
        <v>1</v>
      </c>
      <c r="AM30" s="118">
        <v>0</v>
      </c>
      <c r="AN30" s="118">
        <v>0</v>
      </c>
      <c r="AO30" s="118">
        <v>0</v>
      </c>
      <c r="AP30" s="118">
        <v>0</v>
      </c>
      <c r="AQ30" s="118">
        <v>0</v>
      </c>
      <c r="AR30" s="118">
        <v>0</v>
      </c>
      <c r="AS30" s="118">
        <v>0</v>
      </c>
      <c r="AT30" s="118">
        <v>0</v>
      </c>
      <c r="AU30" s="118">
        <f t="shared" si="2"/>
        <v>0</v>
      </c>
    </row>
    <row r="31" spans="1:61">
      <c r="A31" s="114">
        <v>3</v>
      </c>
      <c r="B31" s="116">
        <v>45917</v>
      </c>
      <c r="C31" s="116"/>
      <c r="D31" s="116"/>
      <c r="E31" s="116"/>
      <c r="F31" s="116"/>
      <c r="G31" s="115" t="s">
        <v>106</v>
      </c>
      <c r="H31" s="115">
        <v>1</v>
      </c>
      <c r="I31" s="117" t="str">
        <f t="shared" si="5"/>
        <v>AB_1</v>
      </c>
      <c r="J31" s="125" t="s">
        <v>771</v>
      </c>
      <c r="K31" s="118">
        <v>9</v>
      </c>
      <c r="L31" s="117" t="str">
        <f t="shared" si="6"/>
        <v>AB_1_9</v>
      </c>
      <c r="M31" s="117" t="s">
        <v>831</v>
      </c>
      <c r="N31" s="115" t="s">
        <v>88</v>
      </c>
      <c r="O31" s="115" t="s">
        <v>107</v>
      </c>
      <c r="P31" s="115">
        <v>100</v>
      </c>
      <c r="Q31" s="115">
        <v>500</v>
      </c>
      <c r="S31" s="115" t="s">
        <v>121</v>
      </c>
      <c r="T31" s="115">
        <v>5</v>
      </c>
      <c r="U31" s="115" t="s">
        <v>117</v>
      </c>
      <c r="V31" s="115" t="s">
        <v>117</v>
      </c>
      <c r="W31" s="118">
        <v>5</v>
      </c>
      <c r="X31" s="118">
        <v>12.15</v>
      </c>
      <c r="Y31" s="118">
        <v>4</v>
      </c>
      <c r="Z31" s="118">
        <v>4</v>
      </c>
      <c r="AA31" s="118">
        <v>4</v>
      </c>
      <c r="AB31" s="118">
        <v>2</v>
      </c>
      <c r="AC31" s="118">
        <v>2</v>
      </c>
      <c r="AD31" s="118">
        <v>2</v>
      </c>
      <c r="AE31" s="118">
        <v>2</v>
      </c>
      <c r="AF31" s="118">
        <v>2</v>
      </c>
      <c r="AG31" s="118">
        <v>2</v>
      </c>
      <c r="AH31" s="118">
        <v>2</v>
      </c>
      <c r="AI31" s="118">
        <v>2</v>
      </c>
      <c r="AJ31" s="118">
        <v>2</v>
      </c>
      <c r="AK31" s="118">
        <v>1</v>
      </c>
      <c r="AL31" s="118">
        <v>1</v>
      </c>
      <c r="AM31" s="118">
        <v>0</v>
      </c>
      <c r="AN31" s="118">
        <v>0</v>
      </c>
      <c r="AO31" s="118">
        <v>0</v>
      </c>
      <c r="AP31" s="118">
        <v>0</v>
      </c>
      <c r="AQ31" s="118">
        <v>0</v>
      </c>
      <c r="AR31" s="118">
        <v>0</v>
      </c>
      <c r="AS31" s="118">
        <v>0</v>
      </c>
      <c r="AT31" s="118">
        <v>0</v>
      </c>
      <c r="AU31" s="118">
        <f t="shared" si="2"/>
        <v>0</v>
      </c>
    </row>
    <row r="32" spans="1:61">
      <c r="A32" s="114">
        <v>3</v>
      </c>
      <c r="B32" s="116">
        <v>45917</v>
      </c>
      <c r="C32" s="116"/>
      <c r="D32" s="116"/>
      <c r="E32" s="116"/>
      <c r="F32" s="116"/>
      <c r="G32" s="115" t="s">
        <v>106</v>
      </c>
      <c r="H32" s="115">
        <v>1</v>
      </c>
      <c r="I32" s="117" t="str">
        <f t="shared" si="5"/>
        <v>AB_1</v>
      </c>
      <c r="J32" s="125" t="s">
        <v>771</v>
      </c>
      <c r="K32" s="118">
        <v>10</v>
      </c>
      <c r="L32" s="117" t="str">
        <f t="shared" si="6"/>
        <v>AB_1_10</v>
      </c>
      <c r="M32" s="117" t="s">
        <v>832</v>
      </c>
      <c r="N32" s="115" t="s">
        <v>88</v>
      </c>
      <c r="O32" s="115" t="s">
        <v>107</v>
      </c>
      <c r="P32" s="115" t="s">
        <v>122</v>
      </c>
      <c r="Q32" s="115" t="s">
        <v>122</v>
      </c>
      <c r="R32" s="115">
        <v>86</v>
      </c>
      <c r="S32" s="115">
        <v>1</v>
      </c>
      <c r="T32" s="115">
        <v>4</v>
      </c>
      <c r="U32" s="115">
        <v>9.31</v>
      </c>
      <c r="V32" s="115">
        <v>9.42</v>
      </c>
      <c r="W32" s="118">
        <v>4</v>
      </c>
      <c r="X32" s="118">
        <v>9.59</v>
      </c>
      <c r="Y32" s="118">
        <v>3</v>
      </c>
      <c r="Z32" s="118">
        <v>3</v>
      </c>
      <c r="AA32" s="118">
        <v>3</v>
      </c>
      <c r="AB32" s="118">
        <v>3</v>
      </c>
      <c r="AC32" s="118">
        <v>3</v>
      </c>
      <c r="AD32" s="118">
        <v>3</v>
      </c>
      <c r="AE32" s="118">
        <v>3</v>
      </c>
      <c r="AF32" s="118">
        <v>3</v>
      </c>
      <c r="AG32" s="118">
        <v>3</v>
      </c>
      <c r="AH32" s="118">
        <v>3</v>
      </c>
      <c r="AI32" s="118">
        <v>3</v>
      </c>
      <c r="AJ32" s="118">
        <v>2</v>
      </c>
      <c r="AK32" s="118">
        <v>2</v>
      </c>
      <c r="AL32" s="118">
        <v>2</v>
      </c>
      <c r="AM32" s="118">
        <v>2</v>
      </c>
      <c r="AN32" s="118">
        <v>2</v>
      </c>
      <c r="AO32" s="118">
        <v>2</v>
      </c>
      <c r="AP32" s="118">
        <v>1</v>
      </c>
      <c r="AQ32" s="118">
        <v>1</v>
      </c>
      <c r="AR32" s="118">
        <v>0</v>
      </c>
      <c r="AS32" s="118">
        <v>0</v>
      </c>
      <c r="AT32" s="118">
        <v>0</v>
      </c>
      <c r="AU32" s="118">
        <f t="shared" si="2"/>
        <v>0</v>
      </c>
      <c r="AW32" s="115" t="s">
        <v>123</v>
      </c>
      <c r="AX32" s="114" t="s">
        <v>67</v>
      </c>
    </row>
    <row r="33" spans="1:58">
      <c r="A33" s="114">
        <v>3</v>
      </c>
      <c r="B33" s="116">
        <v>45917</v>
      </c>
      <c r="C33" s="116"/>
      <c r="D33" s="116"/>
      <c r="E33" s="116"/>
      <c r="F33" s="116"/>
      <c r="G33" s="115" t="s">
        <v>106</v>
      </c>
      <c r="H33" s="115">
        <v>1</v>
      </c>
      <c r="I33" s="117" t="str">
        <f t="shared" si="5"/>
        <v>AB_1</v>
      </c>
      <c r="J33" s="125" t="s">
        <v>771</v>
      </c>
      <c r="K33" s="118">
        <v>11</v>
      </c>
      <c r="L33" s="117" t="str">
        <f t="shared" si="6"/>
        <v>AB_1_11</v>
      </c>
      <c r="M33" s="117" t="s">
        <v>833</v>
      </c>
      <c r="N33" s="115" t="s">
        <v>88</v>
      </c>
      <c r="O33" s="115" t="s">
        <v>107</v>
      </c>
      <c r="P33" s="115">
        <v>100</v>
      </c>
      <c r="Q33" s="115">
        <v>500</v>
      </c>
      <c r="S33" s="115">
        <v>2</v>
      </c>
      <c r="T33" s="115">
        <v>5</v>
      </c>
      <c r="U33" s="115">
        <v>9.5</v>
      </c>
      <c r="V33" s="115">
        <v>10.09</v>
      </c>
      <c r="W33" s="118">
        <v>5</v>
      </c>
      <c r="X33" s="118">
        <v>10.3</v>
      </c>
      <c r="Y33" s="118">
        <v>4</v>
      </c>
      <c r="Z33" s="118">
        <v>4</v>
      </c>
      <c r="AA33" s="118">
        <v>4</v>
      </c>
      <c r="AB33" s="118">
        <v>4</v>
      </c>
      <c r="AC33" s="118">
        <v>4</v>
      </c>
      <c r="AD33" s="118">
        <v>4</v>
      </c>
      <c r="AE33" s="118">
        <v>4</v>
      </c>
      <c r="AF33" s="118">
        <v>4</v>
      </c>
      <c r="AG33" s="118">
        <v>4</v>
      </c>
      <c r="AH33" s="118">
        <v>4</v>
      </c>
      <c r="AI33" s="118">
        <v>4</v>
      </c>
      <c r="AJ33" s="118">
        <v>4</v>
      </c>
      <c r="AK33" s="118">
        <v>3</v>
      </c>
      <c r="AL33" s="118">
        <v>3</v>
      </c>
      <c r="AM33" s="118">
        <v>3</v>
      </c>
      <c r="AN33" s="118">
        <v>2</v>
      </c>
      <c r="AO33" s="118">
        <v>2</v>
      </c>
      <c r="AP33" s="118">
        <v>2</v>
      </c>
      <c r="AQ33" s="118">
        <v>2</v>
      </c>
      <c r="AR33" s="118">
        <v>0</v>
      </c>
      <c r="AS33" s="118">
        <v>0</v>
      </c>
      <c r="AT33" s="118">
        <v>0</v>
      </c>
      <c r="AU33" s="118">
        <f t="shared" si="2"/>
        <v>0</v>
      </c>
      <c r="AW33" s="115" t="s">
        <v>124</v>
      </c>
    </row>
    <row r="34" spans="1:58">
      <c r="A34" s="114">
        <v>3</v>
      </c>
      <c r="B34" s="116">
        <v>45917</v>
      </c>
      <c r="C34" s="116"/>
      <c r="D34" s="116"/>
      <c r="E34" s="116"/>
      <c r="F34" s="116"/>
      <c r="G34" s="115" t="s">
        <v>106</v>
      </c>
      <c r="H34" s="115">
        <v>1</v>
      </c>
      <c r="I34" s="117" t="str">
        <f t="shared" si="5"/>
        <v>AB_1</v>
      </c>
      <c r="J34" s="125" t="s">
        <v>771</v>
      </c>
      <c r="K34" s="118">
        <v>12</v>
      </c>
      <c r="L34" s="117" t="str">
        <f t="shared" si="6"/>
        <v>AB_1_12</v>
      </c>
      <c r="M34" s="117" t="s">
        <v>834</v>
      </c>
      <c r="N34" s="115" t="s">
        <v>88</v>
      </c>
      <c r="O34" s="115" t="s">
        <v>107</v>
      </c>
      <c r="P34" s="115">
        <v>100</v>
      </c>
      <c r="Q34" s="115">
        <v>500</v>
      </c>
      <c r="S34" s="115">
        <v>3</v>
      </c>
      <c r="T34" s="115">
        <v>6</v>
      </c>
      <c r="U34" s="115">
        <v>10.14</v>
      </c>
      <c r="V34" s="115">
        <v>10.38</v>
      </c>
      <c r="W34" s="118">
        <v>6</v>
      </c>
      <c r="X34" s="118">
        <v>10.54</v>
      </c>
      <c r="Y34" s="118">
        <v>3</v>
      </c>
      <c r="Z34" s="118">
        <v>3</v>
      </c>
      <c r="AA34" s="118">
        <v>3</v>
      </c>
      <c r="AB34" s="118">
        <v>3</v>
      </c>
      <c r="AC34" s="118">
        <v>3</v>
      </c>
      <c r="AD34" s="118">
        <v>3</v>
      </c>
      <c r="AE34" s="118">
        <v>3</v>
      </c>
      <c r="AF34" s="118">
        <v>3</v>
      </c>
      <c r="AG34" s="118">
        <v>3</v>
      </c>
      <c r="AH34" s="118">
        <v>2</v>
      </c>
      <c r="AI34" s="118">
        <v>2</v>
      </c>
      <c r="AJ34" s="118">
        <v>1</v>
      </c>
      <c r="AK34" s="118">
        <v>1</v>
      </c>
      <c r="AL34" s="118">
        <v>0</v>
      </c>
      <c r="AM34" s="118">
        <v>0</v>
      </c>
      <c r="AN34" s="118">
        <v>0</v>
      </c>
      <c r="AO34" s="118">
        <v>0</v>
      </c>
      <c r="AP34" s="118">
        <v>0</v>
      </c>
      <c r="AQ34" s="118">
        <v>0</v>
      </c>
      <c r="AR34" s="118">
        <v>0</v>
      </c>
      <c r="AS34" s="118">
        <v>0</v>
      </c>
      <c r="AT34" s="118">
        <v>0</v>
      </c>
      <c r="AU34" s="118">
        <f t="shared" si="2"/>
        <v>0</v>
      </c>
      <c r="AW34" s="115" t="s">
        <v>125</v>
      </c>
    </row>
    <row r="35" spans="1:58">
      <c r="A35" s="114">
        <v>3</v>
      </c>
      <c r="B35" s="116">
        <v>45917</v>
      </c>
      <c r="C35" s="116"/>
      <c r="D35" s="116"/>
      <c r="E35" s="116"/>
      <c r="F35" s="116"/>
      <c r="G35" s="115" t="s">
        <v>106</v>
      </c>
      <c r="H35" s="115">
        <v>1</v>
      </c>
      <c r="I35" s="117" t="str">
        <f t="shared" si="5"/>
        <v>AB_1</v>
      </c>
      <c r="J35" s="125" t="s">
        <v>771</v>
      </c>
      <c r="K35" s="118">
        <v>13</v>
      </c>
      <c r="L35" s="117" t="str">
        <f t="shared" si="6"/>
        <v>AB_1_13</v>
      </c>
      <c r="M35" s="117" t="s">
        <v>835</v>
      </c>
      <c r="N35" s="115" t="s">
        <v>88</v>
      </c>
      <c r="O35" s="115" t="s">
        <v>107</v>
      </c>
      <c r="P35" s="115">
        <v>100</v>
      </c>
      <c r="Q35" s="115">
        <v>500</v>
      </c>
      <c r="S35" s="115">
        <v>4</v>
      </c>
      <c r="T35" s="115">
        <v>3</v>
      </c>
      <c r="U35" s="115">
        <v>10.49</v>
      </c>
      <c r="V35" s="115">
        <v>11.09</v>
      </c>
      <c r="W35" s="118">
        <v>3</v>
      </c>
      <c r="X35" s="118">
        <v>11.25</v>
      </c>
      <c r="Y35" s="118">
        <v>2</v>
      </c>
      <c r="Z35" s="118">
        <v>2</v>
      </c>
      <c r="AA35" s="118">
        <v>2</v>
      </c>
      <c r="AB35" s="118">
        <v>2</v>
      </c>
      <c r="AC35" s="118">
        <v>2</v>
      </c>
      <c r="AD35" s="118">
        <v>2</v>
      </c>
      <c r="AE35" s="118">
        <v>2</v>
      </c>
      <c r="AF35" s="118">
        <v>2</v>
      </c>
      <c r="AG35" s="118">
        <v>2</v>
      </c>
      <c r="AH35" s="118">
        <v>2</v>
      </c>
      <c r="AI35" s="118">
        <v>2</v>
      </c>
      <c r="AJ35" s="118">
        <v>2</v>
      </c>
      <c r="AK35" s="118">
        <v>2</v>
      </c>
      <c r="AL35" s="118">
        <v>2</v>
      </c>
      <c r="AM35" s="118">
        <v>2</v>
      </c>
      <c r="AN35" s="118">
        <v>2</v>
      </c>
      <c r="AO35" s="118">
        <v>2</v>
      </c>
      <c r="AP35" s="118">
        <v>2</v>
      </c>
      <c r="AQ35" s="118">
        <v>1</v>
      </c>
      <c r="AR35" s="118">
        <v>0</v>
      </c>
      <c r="AS35" s="118">
        <v>0</v>
      </c>
      <c r="AT35" s="118">
        <v>0</v>
      </c>
      <c r="AU35" s="118">
        <f t="shared" si="2"/>
        <v>0</v>
      </c>
      <c r="AW35" s="115" t="s">
        <v>126</v>
      </c>
    </row>
    <row r="36" spans="1:58">
      <c r="A36" s="114">
        <v>3</v>
      </c>
      <c r="B36" s="116">
        <v>45917</v>
      </c>
      <c r="C36" s="116"/>
      <c r="D36" s="116"/>
      <c r="E36" s="116"/>
      <c r="F36" s="116"/>
      <c r="G36" s="115" t="s">
        <v>106</v>
      </c>
      <c r="H36" s="115">
        <v>1</v>
      </c>
      <c r="I36" s="117" t="str">
        <f t="shared" si="5"/>
        <v>AB_1</v>
      </c>
      <c r="J36" s="125" t="s">
        <v>771</v>
      </c>
      <c r="K36" s="118">
        <v>14</v>
      </c>
      <c r="L36" s="117" t="str">
        <f t="shared" si="6"/>
        <v>AB_1_14</v>
      </c>
      <c r="M36" s="117" t="s">
        <v>836</v>
      </c>
      <c r="N36" s="115" t="s">
        <v>88</v>
      </c>
      <c r="O36" s="115" t="s">
        <v>107</v>
      </c>
      <c r="P36" s="115">
        <v>100</v>
      </c>
      <c r="Q36" s="115">
        <v>500</v>
      </c>
      <c r="S36" s="115">
        <v>5</v>
      </c>
      <c r="T36" s="115">
        <v>4</v>
      </c>
      <c r="U36" s="115">
        <v>11.12</v>
      </c>
      <c r="V36" s="115">
        <v>11.4</v>
      </c>
      <c r="W36" s="118">
        <v>4</v>
      </c>
      <c r="X36" s="118">
        <v>11.55</v>
      </c>
      <c r="Y36" s="118">
        <v>1</v>
      </c>
      <c r="Z36" s="118">
        <v>1</v>
      </c>
      <c r="AA36" s="118">
        <v>1</v>
      </c>
      <c r="AB36" s="118">
        <v>1</v>
      </c>
      <c r="AC36" s="118">
        <v>1</v>
      </c>
      <c r="AD36" s="118">
        <v>1</v>
      </c>
      <c r="AE36" s="118">
        <v>1</v>
      </c>
      <c r="AF36" s="118">
        <v>1</v>
      </c>
      <c r="AG36" s="118">
        <v>1</v>
      </c>
      <c r="AH36" s="118">
        <v>1</v>
      </c>
      <c r="AI36" s="118">
        <v>1</v>
      </c>
      <c r="AJ36" s="118">
        <v>1</v>
      </c>
      <c r="AK36" s="118">
        <v>1</v>
      </c>
      <c r="AL36" s="118">
        <v>0</v>
      </c>
      <c r="AM36" s="118">
        <v>0</v>
      </c>
      <c r="AN36" s="118">
        <v>0</v>
      </c>
      <c r="AO36" s="118">
        <v>0</v>
      </c>
      <c r="AP36" s="118">
        <v>0</v>
      </c>
      <c r="AQ36" s="118">
        <v>0</v>
      </c>
      <c r="AR36" s="118">
        <v>0</v>
      </c>
      <c r="AS36" s="118">
        <v>0</v>
      </c>
      <c r="AT36" s="118">
        <v>0</v>
      </c>
      <c r="AU36" s="118">
        <f t="shared" si="2"/>
        <v>0</v>
      </c>
      <c r="AW36" s="115" t="s">
        <v>127</v>
      </c>
    </row>
    <row r="37" spans="1:58">
      <c r="A37" s="114">
        <v>3</v>
      </c>
      <c r="B37" s="116">
        <v>45917</v>
      </c>
      <c r="C37" s="116"/>
      <c r="D37" s="116"/>
      <c r="E37" s="116"/>
      <c r="F37" s="116"/>
      <c r="G37" s="115" t="s">
        <v>106</v>
      </c>
      <c r="H37" s="115">
        <v>1</v>
      </c>
      <c r="I37" s="117" t="str">
        <f t="shared" si="5"/>
        <v>AB_1</v>
      </c>
      <c r="J37" s="125" t="s">
        <v>771</v>
      </c>
      <c r="K37" s="118">
        <v>15</v>
      </c>
      <c r="L37" s="117" t="str">
        <f t="shared" si="6"/>
        <v>AB_1_15</v>
      </c>
      <c r="M37" s="117" t="s">
        <v>837</v>
      </c>
      <c r="N37" s="115" t="s">
        <v>88</v>
      </c>
      <c r="O37" s="115" t="s">
        <v>107</v>
      </c>
      <c r="P37" s="115">
        <v>100</v>
      </c>
      <c r="Q37" s="115">
        <v>500</v>
      </c>
      <c r="S37" s="115">
        <v>6</v>
      </c>
      <c r="T37" s="115">
        <v>5</v>
      </c>
      <c r="U37" s="115">
        <v>11.52</v>
      </c>
      <c r="V37" s="115">
        <v>12.1</v>
      </c>
      <c r="W37" s="118">
        <v>5</v>
      </c>
      <c r="X37" s="118">
        <v>12.23</v>
      </c>
      <c r="Y37" s="118">
        <v>0</v>
      </c>
      <c r="Z37" s="118">
        <v>0</v>
      </c>
      <c r="AA37" s="118">
        <v>0</v>
      </c>
      <c r="AB37" s="118">
        <v>0</v>
      </c>
      <c r="AC37" s="118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0</v>
      </c>
      <c r="AJ37" s="118">
        <v>0</v>
      </c>
      <c r="AK37" s="118">
        <v>0</v>
      </c>
      <c r="AL37" s="118">
        <v>0</v>
      </c>
      <c r="AM37" s="118">
        <v>0</v>
      </c>
      <c r="AN37" s="118">
        <v>0</v>
      </c>
      <c r="AO37" s="118">
        <v>0</v>
      </c>
      <c r="AP37" s="118">
        <v>0</v>
      </c>
      <c r="AQ37" s="118">
        <v>0</v>
      </c>
      <c r="AR37" s="118">
        <v>0</v>
      </c>
      <c r="AS37" s="118">
        <v>0</v>
      </c>
      <c r="AT37" s="118">
        <v>0</v>
      </c>
      <c r="AU37" s="118">
        <f t="shared" si="2"/>
        <v>0</v>
      </c>
      <c r="AW37" s="115" t="s">
        <v>127</v>
      </c>
    </row>
    <row r="38" spans="1:58">
      <c r="A38" s="114">
        <v>4</v>
      </c>
      <c r="B38" s="116">
        <v>45918</v>
      </c>
      <c r="C38" s="116" t="s">
        <v>102</v>
      </c>
      <c r="D38" s="116" t="s">
        <v>128</v>
      </c>
      <c r="E38" s="116" t="s">
        <v>129</v>
      </c>
      <c r="F38" s="116" t="s">
        <v>48</v>
      </c>
      <c r="G38" s="115" t="s">
        <v>130</v>
      </c>
      <c r="H38" s="115">
        <v>2</v>
      </c>
      <c r="I38" s="117" t="str">
        <f t="shared" ref="I38:I51" si="7">_xlfn.CONCAT(N38 &amp; "_" &amp; H38)</f>
        <v>TU_2</v>
      </c>
      <c r="J38" s="117" t="s">
        <v>792</v>
      </c>
      <c r="K38" s="118">
        <v>1</v>
      </c>
      <c r="L38" s="117" t="str">
        <f t="shared" si="6"/>
        <v>TU_2_1</v>
      </c>
      <c r="M38" s="117" t="s">
        <v>838</v>
      </c>
      <c r="N38" s="115" t="s">
        <v>50</v>
      </c>
      <c r="O38" s="115" t="s">
        <v>131</v>
      </c>
      <c r="P38" s="115">
        <v>100</v>
      </c>
      <c r="Q38" s="115">
        <v>500</v>
      </c>
      <c r="R38" s="115">
        <v>60</v>
      </c>
      <c r="S38" s="115">
        <v>1</v>
      </c>
      <c r="T38" s="115">
        <v>4</v>
      </c>
      <c r="U38" s="115" t="s">
        <v>117</v>
      </c>
      <c r="V38" s="115">
        <v>10.050000000000001</v>
      </c>
      <c r="W38" s="118">
        <v>4</v>
      </c>
      <c r="X38" s="118">
        <v>10.210000000000001</v>
      </c>
      <c r="Y38" s="118">
        <v>0</v>
      </c>
      <c r="Z38" s="118">
        <v>0</v>
      </c>
      <c r="AA38" s="118">
        <v>0</v>
      </c>
      <c r="AB38" s="118">
        <v>0</v>
      </c>
      <c r="AC38" s="118">
        <v>0</v>
      </c>
      <c r="AD38" s="118">
        <v>0</v>
      </c>
      <c r="AE38" s="118">
        <v>0</v>
      </c>
      <c r="AF38" s="118">
        <v>0</v>
      </c>
      <c r="AG38" s="118">
        <v>0</v>
      </c>
      <c r="AH38" s="118">
        <v>0</v>
      </c>
      <c r="AI38" s="118">
        <v>0</v>
      </c>
      <c r="AJ38" s="118">
        <v>0</v>
      </c>
      <c r="AK38" s="118">
        <v>0</v>
      </c>
      <c r="AL38" s="118">
        <v>0</v>
      </c>
      <c r="AM38" s="118">
        <v>0</v>
      </c>
      <c r="AN38" s="118">
        <v>0</v>
      </c>
      <c r="AO38" s="118">
        <v>0</v>
      </c>
      <c r="AP38" s="118">
        <v>0</v>
      </c>
      <c r="AQ38" s="118">
        <v>0</v>
      </c>
      <c r="AR38" s="118">
        <v>0</v>
      </c>
      <c r="AS38" s="118">
        <v>0</v>
      </c>
      <c r="AT38" s="118">
        <v>0</v>
      </c>
      <c r="AU38" s="118">
        <f t="shared" si="2"/>
        <v>0</v>
      </c>
      <c r="AX38" s="114" t="s">
        <v>53</v>
      </c>
    </row>
    <row r="39" spans="1:58">
      <c r="A39" s="114">
        <v>4</v>
      </c>
      <c r="B39" s="116">
        <v>45918</v>
      </c>
      <c r="D39" s="115" t="s">
        <v>132</v>
      </c>
      <c r="E39" s="115" t="s">
        <v>133</v>
      </c>
      <c r="G39" s="115" t="s">
        <v>130</v>
      </c>
      <c r="H39" s="115">
        <v>2</v>
      </c>
      <c r="I39" s="117" t="str">
        <f t="shared" si="7"/>
        <v>TU_2</v>
      </c>
      <c r="J39" s="117" t="s">
        <v>792</v>
      </c>
      <c r="K39" s="118">
        <v>2</v>
      </c>
      <c r="L39" s="117" t="str">
        <f t="shared" si="6"/>
        <v>TU_2_2</v>
      </c>
      <c r="M39" s="117" t="s">
        <v>839</v>
      </c>
      <c r="N39" s="115" t="s">
        <v>50</v>
      </c>
      <c r="O39" s="115" t="s">
        <v>131</v>
      </c>
      <c r="P39" s="115">
        <v>100</v>
      </c>
      <c r="Q39" s="115">
        <v>500</v>
      </c>
      <c r="S39" s="115">
        <v>2</v>
      </c>
      <c r="T39" s="115">
        <v>4</v>
      </c>
      <c r="U39" s="115">
        <v>10.15</v>
      </c>
      <c r="V39" s="115">
        <v>10.31</v>
      </c>
      <c r="W39" s="118">
        <v>4</v>
      </c>
      <c r="X39" s="118">
        <v>10.46</v>
      </c>
      <c r="Y39" s="118">
        <v>3</v>
      </c>
      <c r="Z39" s="118">
        <v>3</v>
      </c>
      <c r="AA39" s="118">
        <v>3</v>
      </c>
      <c r="AB39" s="118">
        <v>3</v>
      </c>
      <c r="AC39" s="118">
        <v>3</v>
      </c>
      <c r="AD39" s="118">
        <v>3</v>
      </c>
      <c r="AE39" s="118">
        <v>3</v>
      </c>
      <c r="AF39" s="118">
        <v>3</v>
      </c>
      <c r="AG39" s="118">
        <v>3</v>
      </c>
      <c r="AH39" s="118">
        <v>3</v>
      </c>
      <c r="AI39" s="118">
        <v>3</v>
      </c>
      <c r="AJ39" s="118">
        <v>3</v>
      </c>
      <c r="AK39" s="118">
        <v>3</v>
      </c>
      <c r="AL39" s="118">
        <v>2</v>
      </c>
      <c r="AM39" s="118">
        <v>0</v>
      </c>
      <c r="AN39" s="118">
        <v>0</v>
      </c>
      <c r="AO39" s="118">
        <v>0</v>
      </c>
      <c r="AP39" s="118">
        <v>0</v>
      </c>
      <c r="AQ39" s="118">
        <v>0</v>
      </c>
      <c r="AR39" s="118">
        <v>0</v>
      </c>
      <c r="AS39" s="118">
        <v>0</v>
      </c>
      <c r="AT39" s="118">
        <v>0</v>
      </c>
      <c r="AU39" s="118">
        <f t="shared" si="2"/>
        <v>0</v>
      </c>
    </row>
    <row r="40" spans="1:58">
      <c r="A40" s="114">
        <v>4</v>
      </c>
      <c r="B40" s="116">
        <v>45918</v>
      </c>
      <c r="D40" s="115" t="s">
        <v>134</v>
      </c>
      <c r="E40" s="115" t="s">
        <v>135</v>
      </c>
      <c r="G40" s="115" t="s">
        <v>130</v>
      </c>
      <c r="H40" s="115">
        <v>2</v>
      </c>
      <c r="I40" s="117" t="str">
        <f t="shared" si="7"/>
        <v>TU_2</v>
      </c>
      <c r="J40" s="117" t="s">
        <v>792</v>
      </c>
      <c r="K40" s="118">
        <v>3</v>
      </c>
      <c r="L40" s="117" t="str">
        <f t="shared" si="6"/>
        <v>TU_2_3</v>
      </c>
      <c r="M40" s="117" t="s">
        <v>840</v>
      </c>
      <c r="N40" s="115" t="s">
        <v>50</v>
      </c>
      <c r="O40" s="115" t="s">
        <v>131</v>
      </c>
      <c r="P40" s="115">
        <v>100</v>
      </c>
      <c r="Q40" s="115">
        <v>500</v>
      </c>
      <c r="S40" s="115">
        <v>3</v>
      </c>
      <c r="T40" s="115">
        <v>3</v>
      </c>
      <c r="U40" s="115">
        <v>10.32</v>
      </c>
      <c r="V40" s="115">
        <v>10.44</v>
      </c>
      <c r="W40" s="118">
        <v>3</v>
      </c>
      <c r="X40" s="118">
        <v>11</v>
      </c>
      <c r="Y40" s="118">
        <v>2</v>
      </c>
      <c r="Z40" s="118">
        <v>2</v>
      </c>
      <c r="AA40" s="118">
        <v>1</v>
      </c>
      <c r="AB40" s="118">
        <v>1</v>
      </c>
      <c r="AC40" s="118">
        <v>1</v>
      </c>
      <c r="AD40" s="118">
        <v>1</v>
      </c>
      <c r="AE40" s="118">
        <v>1</v>
      </c>
      <c r="AF40" s="118">
        <v>1</v>
      </c>
      <c r="AG40" s="118">
        <v>1</v>
      </c>
      <c r="AH40" s="118">
        <v>1</v>
      </c>
      <c r="AI40" s="118">
        <v>1</v>
      </c>
      <c r="AJ40" s="118">
        <v>1</v>
      </c>
      <c r="AK40" s="118">
        <v>1</v>
      </c>
      <c r="AL40" s="118">
        <v>0</v>
      </c>
      <c r="AM40" s="118">
        <v>0</v>
      </c>
      <c r="AN40" s="118">
        <v>0</v>
      </c>
      <c r="AO40" s="118">
        <v>0</v>
      </c>
      <c r="AP40" s="118">
        <v>0</v>
      </c>
      <c r="AQ40" s="118">
        <v>0</v>
      </c>
      <c r="AR40" s="118">
        <v>0</v>
      </c>
      <c r="AS40" s="118">
        <v>0</v>
      </c>
      <c r="AT40" s="118">
        <v>0</v>
      </c>
      <c r="AU40" s="118">
        <f t="shared" si="2"/>
        <v>0</v>
      </c>
    </row>
    <row r="41" spans="1:58">
      <c r="A41" s="114">
        <v>4</v>
      </c>
      <c r="B41" s="116">
        <v>45918</v>
      </c>
      <c r="D41" s="115" t="s">
        <v>136</v>
      </c>
      <c r="E41" s="115" t="s">
        <v>133</v>
      </c>
      <c r="G41" s="115" t="s">
        <v>130</v>
      </c>
      <c r="H41" s="115">
        <v>2</v>
      </c>
      <c r="I41" s="117" t="str">
        <f t="shared" si="7"/>
        <v>TU_2</v>
      </c>
      <c r="J41" s="117" t="s">
        <v>792</v>
      </c>
      <c r="K41" s="118">
        <v>4</v>
      </c>
      <c r="L41" s="117" t="str">
        <f t="shared" si="6"/>
        <v>TU_2_4</v>
      </c>
      <c r="M41" s="117" t="s">
        <v>841</v>
      </c>
      <c r="N41" s="115" t="s">
        <v>50</v>
      </c>
      <c r="O41" s="115" t="s">
        <v>131</v>
      </c>
      <c r="P41" s="115">
        <v>100</v>
      </c>
      <c r="Q41" s="115">
        <v>500</v>
      </c>
      <c r="S41" s="115">
        <v>4</v>
      </c>
      <c r="T41" s="115">
        <v>3</v>
      </c>
      <c r="U41" s="115">
        <v>10.46</v>
      </c>
      <c r="V41" s="115">
        <v>11.03</v>
      </c>
      <c r="W41" s="118">
        <v>3</v>
      </c>
      <c r="X41" s="118">
        <v>11.2</v>
      </c>
      <c r="Y41" s="118">
        <v>2</v>
      </c>
      <c r="Z41" s="118">
        <v>2</v>
      </c>
      <c r="AA41" s="118">
        <v>2</v>
      </c>
      <c r="AB41" s="118">
        <v>2</v>
      </c>
      <c r="AC41" s="118">
        <v>2</v>
      </c>
      <c r="AD41" s="118">
        <v>2</v>
      </c>
      <c r="AE41" s="118">
        <v>2</v>
      </c>
      <c r="AF41" s="118">
        <v>2</v>
      </c>
      <c r="AG41" s="118">
        <v>2</v>
      </c>
      <c r="AH41" s="118">
        <v>2</v>
      </c>
      <c r="AI41" s="118">
        <v>2</v>
      </c>
      <c r="AJ41" s="118">
        <v>2</v>
      </c>
      <c r="AK41" s="118">
        <v>1</v>
      </c>
      <c r="AL41" s="118">
        <v>0</v>
      </c>
      <c r="AM41" s="118">
        <v>0</v>
      </c>
      <c r="AN41" s="118">
        <v>0</v>
      </c>
      <c r="AO41" s="118">
        <v>0</v>
      </c>
      <c r="AP41" s="118">
        <v>0</v>
      </c>
      <c r="AQ41" s="118">
        <v>0</v>
      </c>
      <c r="AR41" s="118">
        <v>0</v>
      </c>
      <c r="AS41" s="118">
        <v>0</v>
      </c>
      <c r="AT41" s="118">
        <v>0</v>
      </c>
      <c r="AU41" s="118">
        <f t="shared" si="2"/>
        <v>0</v>
      </c>
    </row>
    <row r="42" spans="1:58">
      <c r="A42" s="114">
        <v>4</v>
      </c>
      <c r="B42" s="116">
        <v>45918</v>
      </c>
      <c r="E42" s="115" t="s">
        <v>137</v>
      </c>
      <c r="G42" s="115" t="s">
        <v>130</v>
      </c>
      <c r="H42" s="115">
        <v>2</v>
      </c>
      <c r="I42" s="117" t="str">
        <f t="shared" si="7"/>
        <v>TU_2</v>
      </c>
      <c r="J42" s="117" t="s">
        <v>792</v>
      </c>
      <c r="K42" s="118">
        <v>5</v>
      </c>
      <c r="L42" s="117" t="str">
        <f t="shared" si="6"/>
        <v>TU_2_5</v>
      </c>
      <c r="M42" s="117" t="s">
        <v>842</v>
      </c>
      <c r="N42" s="115" t="s">
        <v>50</v>
      </c>
      <c r="O42" s="115" t="s">
        <v>131</v>
      </c>
      <c r="P42" s="115">
        <v>100</v>
      </c>
      <c r="Q42" s="115">
        <v>500</v>
      </c>
      <c r="S42" s="115">
        <v>5</v>
      </c>
      <c r="T42" s="115">
        <v>5</v>
      </c>
      <c r="U42" s="115">
        <v>11.03</v>
      </c>
      <c r="V42" s="115">
        <v>11.23</v>
      </c>
      <c r="W42" s="118">
        <v>5</v>
      </c>
      <c r="X42" s="118">
        <v>11.37</v>
      </c>
      <c r="Y42" s="118">
        <v>4</v>
      </c>
      <c r="Z42" s="118">
        <v>4</v>
      </c>
      <c r="AA42" s="118">
        <v>4</v>
      </c>
      <c r="AB42" s="118">
        <v>4</v>
      </c>
      <c r="AC42" s="118">
        <v>4</v>
      </c>
      <c r="AD42" s="118">
        <v>4</v>
      </c>
      <c r="AE42" s="118">
        <v>4</v>
      </c>
      <c r="AF42" s="118">
        <v>4</v>
      </c>
      <c r="AG42" s="118">
        <v>4</v>
      </c>
      <c r="AH42" s="118">
        <v>4</v>
      </c>
      <c r="AI42" s="118">
        <v>4</v>
      </c>
      <c r="AJ42" s="118">
        <v>4</v>
      </c>
      <c r="AK42" s="118">
        <v>4</v>
      </c>
      <c r="AL42" s="118">
        <v>4</v>
      </c>
      <c r="AM42" s="118">
        <v>0</v>
      </c>
      <c r="AN42" s="118">
        <v>0</v>
      </c>
      <c r="AO42" s="118">
        <v>0</v>
      </c>
      <c r="AP42" s="118">
        <v>0</v>
      </c>
      <c r="AQ42" s="118">
        <v>0</v>
      </c>
      <c r="AR42" s="118">
        <v>0</v>
      </c>
      <c r="AS42" s="118">
        <v>0</v>
      </c>
      <c r="AT42" s="118">
        <v>0</v>
      </c>
      <c r="AU42" s="118">
        <f t="shared" si="2"/>
        <v>0</v>
      </c>
      <c r="BF42" s="120"/>
    </row>
    <row r="43" spans="1:58">
      <c r="A43" s="114">
        <v>4</v>
      </c>
      <c r="B43" s="116">
        <v>45918</v>
      </c>
      <c r="E43" s="115" t="s">
        <v>133</v>
      </c>
      <c r="G43" s="115" t="s">
        <v>130</v>
      </c>
      <c r="H43" s="115">
        <v>2</v>
      </c>
      <c r="I43" s="117" t="str">
        <f t="shared" si="7"/>
        <v>TU_2</v>
      </c>
      <c r="J43" s="117" t="s">
        <v>792</v>
      </c>
      <c r="K43" s="118">
        <v>6</v>
      </c>
      <c r="L43" s="117" t="str">
        <f t="shared" si="6"/>
        <v>TU_2_6</v>
      </c>
      <c r="M43" s="117" t="s">
        <v>843</v>
      </c>
      <c r="N43" s="115" t="s">
        <v>50</v>
      </c>
      <c r="O43" s="115" t="s">
        <v>131</v>
      </c>
      <c r="P43" s="115">
        <v>100</v>
      </c>
      <c r="Q43" s="115">
        <v>500</v>
      </c>
      <c r="S43" s="115">
        <v>6</v>
      </c>
      <c r="T43" s="115">
        <v>3</v>
      </c>
      <c r="U43" s="115">
        <v>11.23</v>
      </c>
      <c r="V43" s="115">
        <v>11.45</v>
      </c>
      <c r="W43" s="118">
        <v>3</v>
      </c>
      <c r="X43" s="118">
        <v>12.02</v>
      </c>
      <c r="Y43" s="118">
        <v>4</v>
      </c>
      <c r="Z43" s="118">
        <v>4</v>
      </c>
      <c r="AA43" s="118">
        <v>3</v>
      </c>
      <c r="AB43" s="118">
        <v>3</v>
      </c>
      <c r="AC43" s="118">
        <v>3</v>
      </c>
      <c r="AD43" s="118">
        <v>3</v>
      </c>
      <c r="AE43" s="118">
        <v>3</v>
      </c>
      <c r="AF43" s="118">
        <v>3</v>
      </c>
      <c r="AG43" s="118">
        <v>3</v>
      </c>
      <c r="AH43" s="118">
        <v>3</v>
      </c>
      <c r="AI43" s="118">
        <v>3</v>
      </c>
      <c r="AJ43" s="118">
        <v>3</v>
      </c>
      <c r="AK43" s="118">
        <v>3</v>
      </c>
      <c r="AL43" s="118">
        <v>1</v>
      </c>
      <c r="AM43" s="118">
        <v>1</v>
      </c>
      <c r="AN43" s="118">
        <v>1</v>
      </c>
      <c r="AO43" s="118">
        <v>1</v>
      </c>
      <c r="AP43" s="118">
        <v>1</v>
      </c>
      <c r="AQ43" s="118">
        <v>1</v>
      </c>
      <c r="AR43" s="118">
        <v>1</v>
      </c>
      <c r="AS43" s="118">
        <v>1</v>
      </c>
      <c r="AT43" s="118">
        <v>1</v>
      </c>
      <c r="AU43" s="115">
        <v>1</v>
      </c>
      <c r="AV43" s="115">
        <v>0</v>
      </c>
      <c r="AW43" s="115" t="s">
        <v>138</v>
      </c>
    </row>
    <row r="44" spans="1:58">
      <c r="A44" s="114">
        <v>4</v>
      </c>
      <c r="B44" s="116">
        <v>45918</v>
      </c>
      <c r="E44" s="115" t="s">
        <v>139</v>
      </c>
      <c r="G44" s="115" t="s">
        <v>130</v>
      </c>
      <c r="H44" s="115">
        <v>2</v>
      </c>
      <c r="I44" s="117" t="str">
        <f t="shared" si="7"/>
        <v>TU_2</v>
      </c>
      <c r="J44" s="117" t="s">
        <v>792</v>
      </c>
      <c r="K44" s="118">
        <v>7</v>
      </c>
      <c r="L44" s="117" t="str">
        <f t="shared" si="6"/>
        <v>TU_2_7</v>
      </c>
      <c r="M44" s="117" t="s">
        <v>844</v>
      </c>
      <c r="N44" s="115" t="s">
        <v>50</v>
      </c>
      <c r="O44" s="115" t="s">
        <v>131</v>
      </c>
      <c r="P44" s="115">
        <v>100</v>
      </c>
      <c r="Q44" s="115">
        <v>500</v>
      </c>
      <c r="S44" s="115">
        <v>7</v>
      </c>
      <c r="T44" s="115">
        <v>6</v>
      </c>
      <c r="U44" s="115">
        <v>11.46</v>
      </c>
      <c r="V44" s="115">
        <v>12.13</v>
      </c>
      <c r="W44" s="118">
        <v>6</v>
      </c>
      <c r="X44" s="118">
        <v>12.29</v>
      </c>
      <c r="Y44" s="118">
        <v>4</v>
      </c>
      <c r="Z44" s="118">
        <v>4</v>
      </c>
      <c r="AA44" s="118">
        <v>3</v>
      </c>
      <c r="AB44" s="118">
        <v>3</v>
      </c>
      <c r="AC44" s="118">
        <v>3</v>
      </c>
      <c r="AD44" s="118">
        <v>3</v>
      </c>
      <c r="AE44" s="118">
        <v>3</v>
      </c>
      <c r="AF44" s="118">
        <v>3</v>
      </c>
      <c r="AG44" s="118">
        <v>3</v>
      </c>
      <c r="AH44" s="118">
        <v>3</v>
      </c>
      <c r="AI44" s="118">
        <v>3</v>
      </c>
      <c r="AJ44" s="118">
        <v>3</v>
      </c>
      <c r="AK44" s="118">
        <v>3</v>
      </c>
      <c r="AL44" s="118">
        <v>1</v>
      </c>
      <c r="AM44" s="118">
        <v>1</v>
      </c>
      <c r="AN44" s="118">
        <v>1</v>
      </c>
      <c r="AO44" s="118">
        <v>0</v>
      </c>
      <c r="AP44" s="118">
        <v>0</v>
      </c>
      <c r="AQ44" s="118">
        <v>0</v>
      </c>
      <c r="AR44" s="118">
        <v>0</v>
      </c>
      <c r="AS44" s="118">
        <v>0</v>
      </c>
      <c r="AT44" s="118">
        <v>0</v>
      </c>
      <c r="AU44" s="118">
        <f t="shared" si="2"/>
        <v>0</v>
      </c>
    </row>
    <row r="45" spans="1:58">
      <c r="A45" s="114">
        <v>4</v>
      </c>
      <c r="B45" s="116">
        <v>45918</v>
      </c>
      <c r="E45" s="115" t="s">
        <v>133</v>
      </c>
      <c r="G45" s="115" t="s">
        <v>130</v>
      </c>
      <c r="H45" s="115">
        <v>2</v>
      </c>
      <c r="I45" s="117" t="str">
        <f t="shared" si="7"/>
        <v>TU_2</v>
      </c>
      <c r="J45" s="117" t="s">
        <v>792</v>
      </c>
      <c r="K45" s="118">
        <v>8</v>
      </c>
      <c r="L45" s="117" t="str">
        <f t="shared" si="6"/>
        <v>TU_2_8</v>
      </c>
      <c r="M45" s="117" t="s">
        <v>845</v>
      </c>
      <c r="N45" s="115" t="s">
        <v>50</v>
      </c>
      <c r="O45" s="115" t="s">
        <v>131</v>
      </c>
      <c r="P45" s="115">
        <v>100</v>
      </c>
      <c r="Q45" s="115">
        <v>500</v>
      </c>
      <c r="R45" s="115">
        <v>86</v>
      </c>
      <c r="S45" s="115">
        <v>1</v>
      </c>
      <c r="T45" s="115">
        <v>2</v>
      </c>
      <c r="U45" s="115">
        <v>9.4499999999999993</v>
      </c>
      <c r="V45" s="115">
        <v>10.039999999999999</v>
      </c>
      <c r="W45" s="118">
        <v>2</v>
      </c>
      <c r="X45" s="118">
        <v>10.220000000000001</v>
      </c>
      <c r="Y45" s="118">
        <v>1</v>
      </c>
      <c r="Z45" s="118">
        <v>1</v>
      </c>
      <c r="AA45" s="118">
        <v>1</v>
      </c>
      <c r="AB45" s="118">
        <v>1</v>
      </c>
      <c r="AC45" s="118">
        <v>1</v>
      </c>
      <c r="AD45" s="118">
        <v>1</v>
      </c>
      <c r="AE45" s="118">
        <v>1</v>
      </c>
      <c r="AF45" s="118">
        <v>1</v>
      </c>
      <c r="AG45" s="118">
        <v>1</v>
      </c>
      <c r="AH45" s="118">
        <v>1</v>
      </c>
      <c r="AI45" s="118">
        <v>1</v>
      </c>
      <c r="AJ45" s="118">
        <v>1</v>
      </c>
      <c r="AK45" s="118">
        <v>1</v>
      </c>
      <c r="AL45" s="118">
        <v>0</v>
      </c>
      <c r="AM45" s="118">
        <v>0</v>
      </c>
      <c r="AN45" s="118">
        <v>0</v>
      </c>
      <c r="AO45" s="118">
        <v>0</v>
      </c>
      <c r="AP45" s="118">
        <v>0</v>
      </c>
      <c r="AQ45" s="118">
        <v>0</v>
      </c>
      <c r="AR45" s="118">
        <v>0</v>
      </c>
      <c r="AS45" s="118">
        <v>0</v>
      </c>
      <c r="AT45" s="118">
        <v>0</v>
      </c>
      <c r="AU45" s="118">
        <f t="shared" si="2"/>
        <v>0</v>
      </c>
      <c r="AW45" s="119" t="s">
        <v>140</v>
      </c>
      <c r="AX45" s="114" t="s">
        <v>67</v>
      </c>
    </row>
    <row r="46" spans="1:58">
      <c r="A46" s="114">
        <v>4</v>
      </c>
      <c r="B46" s="116">
        <v>45918</v>
      </c>
      <c r="G46" s="115" t="s">
        <v>141</v>
      </c>
      <c r="H46" s="115">
        <v>2</v>
      </c>
      <c r="I46" s="117" t="str">
        <f t="shared" si="7"/>
        <v>TU_2</v>
      </c>
      <c r="J46" s="117" t="s">
        <v>792</v>
      </c>
      <c r="K46" s="118">
        <v>9</v>
      </c>
      <c r="L46" s="117" t="str">
        <f t="shared" si="6"/>
        <v>TU_2_9</v>
      </c>
      <c r="M46" s="117" t="s">
        <v>846</v>
      </c>
      <c r="N46" s="115" t="s">
        <v>50</v>
      </c>
      <c r="O46" s="115" t="s">
        <v>131</v>
      </c>
      <c r="P46" s="115">
        <v>100</v>
      </c>
      <c r="Q46" s="115">
        <v>500</v>
      </c>
      <c r="S46" s="115">
        <v>2</v>
      </c>
      <c r="T46" s="115">
        <v>2</v>
      </c>
      <c r="U46" s="115">
        <v>10.199999999999999</v>
      </c>
      <c r="V46" s="115">
        <v>10.31</v>
      </c>
      <c r="W46" s="118">
        <v>2</v>
      </c>
      <c r="X46" s="118">
        <v>10.48</v>
      </c>
      <c r="Y46" s="118">
        <v>1</v>
      </c>
      <c r="Z46" s="118">
        <v>1</v>
      </c>
      <c r="AA46" s="118">
        <v>1</v>
      </c>
      <c r="AB46" s="118">
        <v>1</v>
      </c>
      <c r="AC46" s="118">
        <v>1</v>
      </c>
      <c r="AD46" s="118">
        <v>1</v>
      </c>
      <c r="AE46" s="118">
        <v>1</v>
      </c>
      <c r="AF46" s="118">
        <v>1</v>
      </c>
      <c r="AG46" s="118">
        <v>1</v>
      </c>
      <c r="AH46" s="118">
        <v>1</v>
      </c>
      <c r="AI46" s="118">
        <v>1</v>
      </c>
      <c r="AJ46" s="118">
        <v>1</v>
      </c>
      <c r="AK46" s="118">
        <v>1</v>
      </c>
      <c r="AL46" s="118">
        <v>1</v>
      </c>
      <c r="AM46" s="118">
        <v>1</v>
      </c>
      <c r="AN46" s="118">
        <v>1</v>
      </c>
      <c r="AO46" s="118">
        <v>1</v>
      </c>
      <c r="AP46" s="118">
        <v>1</v>
      </c>
      <c r="AQ46" s="118">
        <v>0</v>
      </c>
      <c r="AR46" s="118">
        <v>0</v>
      </c>
      <c r="AS46" s="118">
        <v>0</v>
      </c>
      <c r="AT46" s="118">
        <v>0</v>
      </c>
      <c r="AU46" s="118">
        <f t="shared" si="2"/>
        <v>0</v>
      </c>
      <c r="AW46" s="119" t="s">
        <v>140</v>
      </c>
    </row>
    <row r="47" spans="1:58">
      <c r="A47" s="114">
        <v>4</v>
      </c>
      <c r="B47" s="116">
        <v>45918</v>
      </c>
      <c r="G47" s="115" t="s">
        <v>141</v>
      </c>
      <c r="H47" s="115">
        <v>2</v>
      </c>
      <c r="I47" s="117" t="str">
        <f t="shared" si="7"/>
        <v>TU_2</v>
      </c>
      <c r="J47" s="117" t="s">
        <v>792</v>
      </c>
      <c r="K47" s="118">
        <v>10</v>
      </c>
      <c r="L47" s="117" t="str">
        <f t="shared" si="6"/>
        <v>TU_2_10</v>
      </c>
      <c r="M47" s="117" t="s">
        <v>847</v>
      </c>
      <c r="N47" s="115" t="s">
        <v>50</v>
      </c>
      <c r="O47" s="115" t="s">
        <v>131</v>
      </c>
      <c r="P47" s="115">
        <v>100</v>
      </c>
      <c r="Q47" s="115">
        <v>500</v>
      </c>
      <c r="S47" s="115">
        <v>3</v>
      </c>
      <c r="T47" s="115">
        <v>3</v>
      </c>
      <c r="U47" s="115">
        <v>10.33</v>
      </c>
      <c r="V47" s="115">
        <v>10.45</v>
      </c>
      <c r="W47" s="118">
        <v>3</v>
      </c>
      <c r="X47" s="118">
        <v>11.05</v>
      </c>
      <c r="Y47" s="118">
        <v>0</v>
      </c>
      <c r="Z47" s="118">
        <v>0</v>
      </c>
      <c r="AA47" s="118">
        <v>0</v>
      </c>
      <c r="AB47" s="118">
        <v>0</v>
      </c>
      <c r="AC47" s="118">
        <v>0</v>
      </c>
      <c r="AD47" s="118">
        <v>0</v>
      </c>
      <c r="AE47" s="118">
        <v>0</v>
      </c>
      <c r="AF47" s="118">
        <v>0</v>
      </c>
      <c r="AG47" s="118">
        <v>0</v>
      </c>
      <c r="AH47" s="118">
        <v>0</v>
      </c>
      <c r="AI47" s="118">
        <v>0</v>
      </c>
      <c r="AJ47" s="118">
        <v>0</v>
      </c>
      <c r="AK47" s="118">
        <v>0</v>
      </c>
      <c r="AL47" s="118">
        <v>0</v>
      </c>
      <c r="AM47" s="118">
        <v>0</v>
      </c>
      <c r="AN47" s="118">
        <v>0</v>
      </c>
      <c r="AO47" s="118">
        <v>0</v>
      </c>
      <c r="AP47" s="118">
        <v>0</v>
      </c>
      <c r="AQ47" s="118">
        <v>0</v>
      </c>
      <c r="AR47" s="118">
        <v>0</v>
      </c>
      <c r="AS47" s="118">
        <v>0</v>
      </c>
      <c r="AT47" s="118">
        <v>0</v>
      </c>
      <c r="AU47" s="118">
        <f t="shared" si="2"/>
        <v>0</v>
      </c>
      <c r="AW47" s="119" t="s">
        <v>140</v>
      </c>
    </row>
    <row r="48" spans="1:58">
      <c r="A48" s="114">
        <v>4</v>
      </c>
      <c r="B48" s="116">
        <v>45918</v>
      </c>
      <c r="G48" s="115" t="s">
        <v>130</v>
      </c>
      <c r="H48" s="115">
        <v>2</v>
      </c>
      <c r="I48" s="117" t="str">
        <f t="shared" si="7"/>
        <v>TU_2</v>
      </c>
      <c r="J48" s="117" t="s">
        <v>792</v>
      </c>
      <c r="K48" s="118">
        <v>11</v>
      </c>
      <c r="L48" s="117" t="str">
        <f t="shared" si="6"/>
        <v>TU_2_11</v>
      </c>
      <c r="M48" s="117" t="s">
        <v>848</v>
      </c>
      <c r="N48" s="115" t="s">
        <v>50</v>
      </c>
      <c r="O48" s="115" t="s">
        <v>131</v>
      </c>
      <c r="P48" s="115">
        <v>100</v>
      </c>
      <c r="Q48" s="115">
        <v>500</v>
      </c>
      <c r="S48" s="115">
        <v>4</v>
      </c>
      <c r="T48" s="115">
        <v>5</v>
      </c>
      <c r="U48" s="115">
        <v>10.49</v>
      </c>
      <c r="V48" s="115">
        <v>10.56</v>
      </c>
      <c r="W48" s="118">
        <v>5</v>
      </c>
      <c r="X48" s="118">
        <v>11.09</v>
      </c>
      <c r="Y48" s="118">
        <v>1</v>
      </c>
      <c r="Z48" s="118">
        <v>1</v>
      </c>
      <c r="AA48" s="118">
        <v>0</v>
      </c>
      <c r="AB48" s="118">
        <v>0</v>
      </c>
      <c r="AC48" s="118">
        <v>0</v>
      </c>
      <c r="AD48" s="118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118">
        <v>0</v>
      </c>
      <c r="AL48" s="118">
        <v>0</v>
      </c>
      <c r="AM48" s="118">
        <v>0</v>
      </c>
      <c r="AN48" s="118">
        <v>0</v>
      </c>
      <c r="AO48" s="118">
        <v>0</v>
      </c>
      <c r="AP48" s="118">
        <v>0</v>
      </c>
      <c r="AQ48" s="118">
        <v>0</v>
      </c>
      <c r="AR48" s="118">
        <v>0</v>
      </c>
      <c r="AS48" s="118">
        <v>0</v>
      </c>
      <c r="AT48" s="118">
        <v>0</v>
      </c>
      <c r="AU48" s="118">
        <f t="shared" si="2"/>
        <v>0</v>
      </c>
      <c r="AW48" s="119" t="s">
        <v>140</v>
      </c>
    </row>
    <row r="49" spans="1:50">
      <c r="A49" s="114">
        <v>4</v>
      </c>
      <c r="B49" s="116">
        <v>45918</v>
      </c>
      <c r="G49" s="115" t="s">
        <v>130</v>
      </c>
      <c r="H49" s="115">
        <v>2</v>
      </c>
      <c r="I49" s="117" t="str">
        <f t="shared" si="7"/>
        <v>TU_2</v>
      </c>
      <c r="J49" s="117" t="s">
        <v>792</v>
      </c>
      <c r="K49" s="118">
        <v>12</v>
      </c>
      <c r="L49" s="117" t="str">
        <f t="shared" si="6"/>
        <v>TU_2_12</v>
      </c>
      <c r="M49" s="117" t="s">
        <v>849</v>
      </c>
      <c r="N49" s="115" t="s">
        <v>50</v>
      </c>
      <c r="O49" s="115" t="s">
        <v>131</v>
      </c>
      <c r="P49" s="115">
        <v>100</v>
      </c>
      <c r="Q49" s="115">
        <v>500</v>
      </c>
      <c r="S49" s="115">
        <v>5</v>
      </c>
      <c r="T49" s="115">
        <v>6</v>
      </c>
      <c r="U49" s="115">
        <v>11.02</v>
      </c>
      <c r="V49" s="115">
        <v>11.19</v>
      </c>
      <c r="W49" s="118">
        <v>6</v>
      </c>
      <c r="X49" s="118">
        <v>11.39</v>
      </c>
      <c r="Y49" s="118">
        <v>2</v>
      </c>
      <c r="Z49" s="118">
        <v>2</v>
      </c>
      <c r="AA49" s="118">
        <v>1</v>
      </c>
      <c r="AB49" s="118">
        <v>1</v>
      </c>
      <c r="AC49" s="118">
        <v>1</v>
      </c>
      <c r="AD49" s="118">
        <v>1</v>
      </c>
      <c r="AE49" s="118">
        <v>1</v>
      </c>
      <c r="AF49" s="118">
        <v>1</v>
      </c>
      <c r="AG49" s="118">
        <v>1</v>
      </c>
      <c r="AH49" s="118">
        <v>1</v>
      </c>
      <c r="AI49" s="118">
        <v>1</v>
      </c>
      <c r="AJ49" s="118">
        <v>1</v>
      </c>
      <c r="AK49" s="118">
        <v>1</v>
      </c>
      <c r="AL49" s="118">
        <v>1</v>
      </c>
      <c r="AM49" s="118">
        <v>1</v>
      </c>
      <c r="AN49" s="118">
        <v>1</v>
      </c>
      <c r="AO49" s="118">
        <v>1</v>
      </c>
      <c r="AP49" s="118">
        <v>1</v>
      </c>
      <c r="AQ49" s="118">
        <v>0</v>
      </c>
      <c r="AR49" s="118">
        <v>0</v>
      </c>
      <c r="AS49" s="118">
        <v>0</v>
      </c>
      <c r="AT49" s="118">
        <v>0</v>
      </c>
      <c r="AU49" s="118">
        <f t="shared" si="2"/>
        <v>0</v>
      </c>
      <c r="AW49" s="119" t="s">
        <v>140</v>
      </c>
    </row>
    <row r="50" spans="1:50">
      <c r="A50" s="114">
        <v>4</v>
      </c>
      <c r="B50" s="116">
        <v>45918</v>
      </c>
      <c r="G50" s="115" t="s">
        <v>130</v>
      </c>
      <c r="H50" s="115">
        <v>2</v>
      </c>
      <c r="I50" s="117" t="str">
        <f t="shared" si="7"/>
        <v>TU_2</v>
      </c>
      <c r="J50" s="117" t="s">
        <v>792</v>
      </c>
      <c r="K50" s="118">
        <v>13</v>
      </c>
      <c r="L50" s="117" t="str">
        <f t="shared" si="6"/>
        <v>TU_2_13</v>
      </c>
      <c r="M50" s="117" t="s">
        <v>850</v>
      </c>
      <c r="N50" s="115" t="s">
        <v>50</v>
      </c>
      <c r="O50" s="115" t="s">
        <v>131</v>
      </c>
      <c r="P50" s="115">
        <v>100</v>
      </c>
      <c r="Q50" s="115">
        <v>500</v>
      </c>
      <c r="S50" s="115">
        <v>6</v>
      </c>
      <c r="T50" s="115">
        <v>3</v>
      </c>
      <c r="U50" s="115">
        <v>11.21</v>
      </c>
      <c r="V50" s="115">
        <v>11.48</v>
      </c>
      <c r="W50" s="118">
        <v>3</v>
      </c>
      <c r="X50" s="118">
        <v>12.05</v>
      </c>
      <c r="Y50" s="118">
        <v>2</v>
      </c>
      <c r="Z50" s="118">
        <v>2</v>
      </c>
      <c r="AA50" s="118">
        <v>2</v>
      </c>
      <c r="AB50" s="118">
        <v>1</v>
      </c>
      <c r="AC50" s="118">
        <v>1</v>
      </c>
      <c r="AD50" s="118">
        <v>1</v>
      </c>
      <c r="AE50" s="118">
        <v>1</v>
      </c>
      <c r="AF50" s="118">
        <v>1</v>
      </c>
      <c r="AG50" s="118">
        <v>1</v>
      </c>
      <c r="AH50" s="118">
        <v>1</v>
      </c>
      <c r="AI50" s="118">
        <v>1</v>
      </c>
      <c r="AJ50" s="118">
        <v>1</v>
      </c>
      <c r="AK50" s="118">
        <v>0</v>
      </c>
      <c r="AL50" s="118">
        <v>0</v>
      </c>
      <c r="AM50" s="118">
        <v>0</v>
      </c>
      <c r="AN50" s="118">
        <v>0</v>
      </c>
      <c r="AO50" s="118">
        <v>0</v>
      </c>
      <c r="AP50" s="118">
        <v>0</v>
      </c>
      <c r="AQ50" s="118">
        <v>0</v>
      </c>
      <c r="AR50" s="118">
        <v>0</v>
      </c>
      <c r="AS50" s="118">
        <v>0</v>
      </c>
      <c r="AT50" s="118">
        <v>0</v>
      </c>
      <c r="AU50" s="118">
        <f t="shared" si="2"/>
        <v>0</v>
      </c>
      <c r="AW50" s="119" t="s">
        <v>140</v>
      </c>
    </row>
    <row r="51" spans="1:50">
      <c r="A51" s="114">
        <v>4</v>
      </c>
      <c r="B51" s="116">
        <v>45918</v>
      </c>
      <c r="G51" s="115" t="s">
        <v>130</v>
      </c>
      <c r="H51" s="115">
        <v>2</v>
      </c>
      <c r="I51" s="117" t="str">
        <f t="shared" si="7"/>
        <v>TU_2</v>
      </c>
      <c r="J51" s="117" t="s">
        <v>792</v>
      </c>
      <c r="K51" s="118">
        <v>14</v>
      </c>
      <c r="L51" s="117" t="str">
        <f t="shared" si="6"/>
        <v>TU_2_14</v>
      </c>
      <c r="M51" s="117" t="s">
        <v>851</v>
      </c>
      <c r="N51" s="115" t="s">
        <v>50</v>
      </c>
      <c r="O51" s="115" t="s">
        <v>131</v>
      </c>
      <c r="P51" s="115">
        <v>100</v>
      </c>
      <c r="Q51" s="115">
        <v>500</v>
      </c>
      <c r="S51" s="115">
        <v>7</v>
      </c>
      <c r="T51" s="115">
        <v>7</v>
      </c>
      <c r="U51" s="115">
        <v>11.51</v>
      </c>
      <c r="V51" s="115">
        <v>12.19</v>
      </c>
      <c r="W51" s="118">
        <v>7</v>
      </c>
      <c r="X51" s="118">
        <v>12.35</v>
      </c>
      <c r="Y51" s="118">
        <v>2</v>
      </c>
      <c r="Z51" s="118">
        <v>2</v>
      </c>
      <c r="AA51" s="118">
        <v>1</v>
      </c>
      <c r="AB51" s="118">
        <v>1</v>
      </c>
      <c r="AC51" s="118">
        <v>1</v>
      </c>
      <c r="AD51" s="118">
        <v>1</v>
      </c>
      <c r="AE51" s="118">
        <v>1</v>
      </c>
      <c r="AF51" s="118">
        <v>1</v>
      </c>
      <c r="AG51" s="118">
        <v>1</v>
      </c>
      <c r="AH51" s="118">
        <v>1</v>
      </c>
      <c r="AI51" s="118">
        <v>1</v>
      </c>
      <c r="AJ51" s="118">
        <v>1</v>
      </c>
      <c r="AK51" s="118">
        <v>1</v>
      </c>
      <c r="AL51" s="118">
        <v>1</v>
      </c>
      <c r="AM51" s="118">
        <v>0</v>
      </c>
      <c r="AN51" s="118">
        <v>0</v>
      </c>
      <c r="AO51" s="118">
        <v>0</v>
      </c>
      <c r="AP51" s="118">
        <v>0</v>
      </c>
      <c r="AQ51" s="118">
        <v>0</v>
      </c>
      <c r="AR51" s="118">
        <v>0</v>
      </c>
      <c r="AS51" s="118">
        <v>0</v>
      </c>
      <c r="AT51" s="118">
        <v>0</v>
      </c>
      <c r="AU51" s="118">
        <f t="shared" si="2"/>
        <v>0</v>
      </c>
      <c r="AW51" s="119" t="s">
        <v>140</v>
      </c>
    </row>
    <row r="52" spans="1:50">
      <c r="A52" s="114">
        <v>5</v>
      </c>
      <c r="B52" s="116">
        <v>45923</v>
      </c>
      <c r="C52" s="116" t="s">
        <v>102</v>
      </c>
      <c r="D52" s="116" t="s">
        <v>142</v>
      </c>
      <c r="E52" s="116" t="s">
        <v>143</v>
      </c>
      <c r="F52" s="116" t="s">
        <v>144</v>
      </c>
      <c r="G52" s="115" t="s">
        <v>145</v>
      </c>
      <c r="H52" s="115">
        <v>2</v>
      </c>
      <c r="I52" s="117" t="str">
        <f t="shared" ref="I52:I80" si="8">_xlfn.CONCAT(N52 &amp; "_" &amp; H52)</f>
        <v>NHGRI_2</v>
      </c>
      <c r="J52" s="117" t="s">
        <v>781</v>
      </c>
      <c r="K52" s="118">
        <v>1</v>
      </c>
      <c r="L52" s="117" t="str">
        <f t="shared" si="6"/>
        <v>NHGRI_2_1</v>
      </c>
      <c r="M52" s="117" t="s">
        <v>852</v>
      </c>
      <c r="N52" s="115" t="s">
        <v>86</v>
      </c>
      <c r="O52" s="115" t="s">
        <v>146</v>
      </c>
      <c r="P52" s="115">
        <v>100</v>
      </c>
      <c r="Q52" s="115">
        <v>500</v>
      </c>
      <c r="R52" s="115">
        <v>60</v>
      </c>
      <c r="S52" s="115">
        <v>1</v>
      </c>
      <c r="T52" s="115">
        <v>4</v>
      </c>
      <c r="U52" s="115">
        <v>10.050000000000001</v>
      </c>
      <c r="V52" s="115">
        <v>10.220000000000001</v>
      </c>
      <c r="W52" s="115">
        <v>4</v>
      </c>
      <c r="X52" s="118">
        <v>10.39</v>
      </c>
      <c r="Y52" s="118">
        <v>4</v>
      </c>
      <c r="Z52" s="118">
        <v>4</v>
      </c>
      <c r="AA52" s="118">
        <v>4</v>
      </c>
      <c r="AB52" s="118">
        <v>4</v>
      </c>
      <c r="AC52" s="118">
        <v>4</v>
      </c>
      <c r="AD52" s="118">
        <v>4</v>
      </c>
      <c r="AE52" s="118">
        <v>4</v>
      </c>
      <c r="AF52" s="118">
        <v>4</v>
      </c>
      <c r="AG52" s="118">
        <v>4</v>
      </c>
      <c r="AH52" s="118">
        <v>4</v>
      </c>
      <c r="AI52" s="118">
        <v>4</v>
      </c>
      <c r="AJ52" s="118">
        <v>2</v>
      </c>
      <c r="AK52" s="118">
        <v>0</v>
      </c>
      <c r="AL52" s="118">
        <v>0</v>
      </c>
      <c r="AM52" s="118">
        <v>0</v>
      </c>
      <c r="AN52" s="118">
        <v>0</v>
      </c>
      <c r="AO52" s="118">
        <v>0</v>
      </c>
      <c r="AP52" s="118">
        <v>0</v>
      </c>
      <c r="AQ52" s="118">
        <v>0</v>
      </c>
      <c r="AR52" s="118">
        <v>0</v>
      </c>
      <c r="AS52" s="118">
        <v>0</v>
      </c>
      <c r="AT52" s="118">
        <v>0</v>
      </c>
      <c r="AU52" s="118">
        <f t="shared" si="2"/>
        <v>0</v>
      </c>
      <c r="AX52" s="114" t="s">
        <v>53</v>
      </c>
    </row>
    <row r="53" spans="1:50">
      <c r="A53" s="114">
        <v>5</v>
      </c>
      <c r="B53" s="116">
        <v>45923</v>
      </c>
      <c r="D53" s="115" t="s">
        <v>147</v>
      </c>
      <c r="E53" s="115" t="s">
        <v>133</v>
      </c>
      <c r="G53" s="115" t="s">
        <v>145</v>
      </c>
      <c r="H53" s="115">
        <v>2</v>
      </c>
      <c r="I53" s="117" t="str">
        <f t="shared" si="8"/>
        <v>NHGRI_2</v>
      </c>
      <c r="J53" s="123" t="s">
        <v>781</v>
      </c>
      <c r="K53" s="124">
        <v>2</v>
      </c>
      <c r="L53" s="123" t="str">
        <f t="shared" si="6"/>
        <v>NHGRI_2_2</v>
      </c>
      <c r="M53" s="123" t="s">
        <v>853</v>
      </c>
      <c r="N53" s="115" t="s">
        <v>86</v>
      </c>
      <c r="O53" s="115" t="s">
        <v>146</v>
      </c>
      <c r="P53" s="115">
        <v>100</v>
      </c>
      <c r="Q53" s="115">
        <v>500</v>
      </c>
      <c r="S53" s="115">
        <v>2</v>
      </c>
      <c r="T53" s="115">
        <v>3</v>
      </c>
      <c r="U53" s="115">
        <v>10.24</v>
      </c>
      <c r="V53" s="115">
        <v>10.38</v>
      </c>
      <c r="W53" s="115">
        <v>3</v>
      </c>
      <c r="X53" s="118">
        <v>10.57</v>
      </c>
      <c r="Y53" s="118">
        <v>2</v>
      </c>
      <c r="Z53" s="118">
        <v>2</v>
      </c>
      <c r="AA53" s="118">
        <v>2</v>
      </c>
      <c r="AB53" s="118">
        <v>2</v>
      </c>
      <c r="AC53" s="118">
        <v>2</v>
      </c>
      <c r="AD53" s="118">
        <v>2</v>
      </c>
      <c r="AE53" s="118">
        <v>2</v>
      </c>
      <c r="AF53" s="118">
        <v>2</v>
      </c>
      <c r="AG53" s="118">
        <v>2</v>
      </c>
      <c r="AH53" s="118">
        <v>2</v>
      </c>
      <c r="AI53" s="118">
        <v>2</v>
      </c>
      <c r="AJ53" s="118">
        <v>2</v>
      </c>
      <c r="AK53" s="118">
        <v>1</v>
      </c>
      <c r="AL53" s="118">
        <v>0</v>
      </c>
      <c r="AM53" s="118">
        <v>0</v>
      </c>
      <c r="AN53" s="118">
        <v>0</v>
      </c>
      <c r="AO53" s="118">
        <v>0</v>
      </c>
      <c r="AP53" s="118">
        <v>0</v>
      </c>
      <c r="AQ53" s="118">
        <v>0</v>
      </c>
      <c r="AR53" s="118">
        <v>0</v>
      </c>
      <c r="AS53" s="118">
        <v>0</v>
      </c>
      <c r="AT53" s="118">
        <v>0</v>
      </c>
      <c r="AU53" s="118">
        <f t="shared" si="2"/>
        <v>0</v>
      </c>
    </row>
    <row r="54" spans="1:50">
      <c r="A54" s="114">
        <v>5</v>
      </c>
      <c r="B54" s="116">
        <v>45923</v>
      </c>
      <c r="E54" s="115" t="s">
        <v>148</v>
      </c>
      <c r="G54" s="115" t="s">
        <v>145</v>
      </c>
      <c r="H54" s="115">
        <v>2</v>
      </c>
      <c r="I54" s="117" t="str">
        <f t="shared" si="8"/>
        <v>NHGRI_2</v>
      </c>
      <c r="J54" s="123" t="s">
        <v>781</v>
      </c>
      <c r="K54" s="124">
        <v>3</v>
      </c>
      <c r="L54" s="123" t="str">
        <f t="shared" si="6"/>
        <v>NHGRI_2_3</v>
      </c>
      <c r="M54" s="123" t="s">
        <v>854</v>
      </c>
      <c r="N54" s="115" t="s">
        <v>86</v>
      </c>
      <c r="O54" s="115" t="s">
        <v>146</v>
      </c>
      <c r="P54" s="115">
        <v>100</v>
      </c>
      <c r="Q54" s="115">
        <v>500</v>
      </c>
      <c r="S54" s="115">
        <v>3</v>
      </c>
      <c r="T54" s="115">
        <v>2</v>
      </c>
      <c r="U54" s="115">
        <v>10.45</v>
      </c>
      <c r="V54" s="115">
        <v>10.58</v>
      </c>
      <c r="W54" s="115">
        <v>2</v>
      </c>
      <c r="X54" s="118">
        <v>11.14</v>
      </c>
      <c r="Y54" s="118">
        <v>2</v>
      </c>
      <c r="Z54" s="118">
        <v>2</v>
      </c>
      <c r="AA54" s="118">
        <v>2</v>
      </c>
      <c r="AB54" s="118">
        <v>2</v>
      </c>
      <c r="AC54" s="118">
        <v>2</v>
      </c>
      <c r="AD54" s="118">
        <v>2</v>
      </c>
      <c r="AE54" s="118">
        <v>2</v>
      </c>
      <c r="AF54" s="118">
        <v>2</v>
      </c>
      <c r="AG54" s="118">
        <v>2</v>
      </c>
      <c r="AH54" s="118">
        <v>2</v>
      </c>
      <c r="AI54" s="118">
        <v>2</v>
      </c>
      <c r="AJ54" s="118">
        <v>1</v>
      </c>
      <c r="AK54" s="118">
        <v>1</v>
      </c>
      <c r="AL54" s="118">
        <v>0</v>
      </c>
      <c r="AM54" s="118">
        <v>0</v>
      </c>
      <c r="AN54" s="118">
        <v>0</v>
      </c>
      <c r="AO54" s="118">
        <v>0</v>
      </c>
      <c r="AP54" s="118">
        <v>0</v>
      </c>
      <c r="AQ54" s="118">
        <v>0</v>
      </c>
      <c r="AR54" s="118">
        <v>0</v>
      </c>
      <c r="AS54" s="118">
        <v>0</v>
      </c>
      <c r="AT54" s="118">
        <v>0</v>
      </c>
      <c r="AU54" s="118">
        <f t="shared" si="2"/>
        <v>0</v>
      </c>
    </row>
    <row r="55" spans="1:50">
      <c r="A55" s="114">
        <v>5</v>
      </c>
      <c r="B55" s="116">
        <v>45923</v>
      </c>
      <c r="E55" s="115" t="s">
        <v>133</v>
      </c>
      <c r="G55" s="115" t="s">
        <v>145</v>
      </c>
      <c r="H55" s="115">
        <v>2</v>
      </c>
      <c r="I55" s="117" t="str">
        <f t="shared" si="8"/>
        <v>NHGRI_2</v>
      </c>
      <c r="J55" s="123" t="s">
        <v>781</v>
      </c>
      <c r="K55" s="118">
        <v>4</v>
      </c>
      <c r="L55" s="123" t="str">
        <f t="shared" si="6"/>
        <v>NHGRI_2_4</v>
      </c>
      <c r="M55" s="123" t="s">
        <v>855</v>
      </c>
      <c r="N55" s="115" t="s">
        <v>86</v>
      </c>
      <c r="O55" s="115" t="s">
        <v>146</v>
      </c>
      <c r="P55" s="115">
        <v>100</v>
      </c>
      <c r="Q55" s="115">
        <v>500</v>
      </c>
      <c r="S55" s="115">
        <v>4</v>
      </c>
      <c r="T55" s="115">
        <v>2</v>
      </c>
      <c r="U55" s="117">
        <v>11</v>
      </c>
      <c r="V55" s="115">
        <v>11.17</v>
      </c>
      <c r="W55" s="115">
        <v>2</v>
      </c>
      <c r="X55" s="118">
        <v>11.33</v>
      </c>
      <c r="Y55" s="118">
        <v>2</v>
      </c>
      <c r="Z55" s="118">
        <v>1</v>
      </c>
      <c r="AA55" s="118">
        <v>1</v>
      </c>
      <c r="AB55" s="118">
        <v>1</v>
      </c>
      <c r="AC55" s="118">
        <v>1</v>
      </c>
      <c r="AD55" s="118">
        <v>1</v>
      </c>
      <c r="AE55" s="118">
        <v>1</v>
      </c>
      <c r="AF55" s="118">
        <v>1</v>
      </c>
      <c r="AG55" s="118">
        <v>1</v>
      </c>
      <c r="AH55" s="118">
        <v>1</v>
      </c>
      <c r="AI55" s="118">
        <v>1</v>
      </c>
      <c r="AJ55" s="118">
        <v>1</v>
      </c>
      <c r="AK55" s="118">
        <v>1</v>
      </c>
      <c r="AL55" s="118">
        <v>0</v>
      </c>
      <c r="AM55" s="118">
        <v>0</v>
      </c>
      <c r="AN55" s="118">
        <v>0</v>
      </c>
      <c r="AO55" s="118">
        <v>0</v>
      </c>
      <c r="AP55" s="118">
        <v>0</v>
      </c>
      <c r="AQ55" s="118">
        <v>0</v>
      </c>
      <c r="AR55" s="118">
        <v>0</v>
      </c>
      <c r="AS55" s="118">
        <v>0</v>
      </c>
      <c r="AT55" s="118">
        <v>0</v>
      </c>
      <c r="AU55" s="118">
        <f t="shared" si="2"/>
        <v>0</v>
      </c>
    </row>
    <row r="56" spans="1:50">
      <c r="A56" s="114">
        <v>5</v>
      </c>
      <c r="B56" s="116">
        <v>45923</v>
      </c>
      <c r="G56" s="115" t="s">
        <v>145</v>
      </c>
      <c r="H56" s="115">
        <v>2</v>
      </c>
      <c r="I56" s="117" t="str">
        <f t="shared" si="8"/>
        <v>NHGRI_2</v>
      </c>
      <c r="J56" s="123" t="s">
        <v>781</v>
      </c>
      <c r="K56" s="124">
        <v>5</v>
      </c>
      <c r="L56" s="123" t="str">
        <f t="shared" si="6"/>
        <v>NHGRI_2_5</v>
      </c>
      <c r="M56" s="123" t="s">
        <v>856</v>
      </c>
      <c r="N56" s="115" t="s">
        <v>86</v>
      </c>
      <c r="O56" s="115" t="s">
        <v>146</v>
      </c>
      <c r="P56" s="115">
        <v>100</v>
      </c>
      <c r="Q56" s="115">
        <v>500</v>
      </c>
      <c r="S56" s="115">
        <v>5</v>
      </c>
      <c r="T56" s="115">
        <v>2</v>
      </c>
      <c r="U56" s="115" t="s">
        <v>117</v>
      </c>
      <c r="V56" s="117">
        <v>11.4</v>
      </c>
      <c r="W56" s="115">
        <v>2</v>
      </c>
      <c r="X56" s="118">
        <v>11.58</v>
      </c>
      <c r="Y56" s="118">
        <v>2</v>
      </c>
      <c r="Z56" s="118">
        <v>2</v>
      </c>
      <c r="AA56" s="118">
        <v>2</v>
      </c>
      <c r="AB56" s="118">
        <v>2</v>
      </c>
      <c r="AC56" s="118">
        <v>2</v>
      </c>
      <c r="AD56" s="118">
        <v>2</v>
      </c>
      <c r="AE56" s="118">
        <v>2</v>
      </c>
      <c r="AF56" s="118">
        <v>2</v>
      </c>
      <c r="AG56" s="118">
        <v>2</v>
      </c>
      <c r="AH56" s="118">
        <v>2</v>
      </c>
      <c r="AI56" s="118">
        <v>2</v>
      </c>
      <c r="AJ56" s="118">
        <v>2</v>
      </c>
      <c r="AK56" s="118">
        <v>0</v>
      </c>
      <c r="AL56" s="118">
        <v>0</v>
      </c>
      <c r="AM56" s="118">
        <v>0</v>
      </c>
      <c r="AN56" s="118">
        <v>0</v>
      </c>
      <c r="AO56" s="118">
        <v>0</v>
      </c>
      <c r="AP56" s="118">
        <v>0</v>
      </c>
      <c r="AQ56" s="118">
        <v>0</v>
      </c>
      <c r="AR56" s="118">
        <v>0</v>
      </c>
      <c r="AS56" s="118">
        <v>0</v>
      </c>
      <c r="AT56" s="118">
        <v>0</v>
      </c>
      <c r="AU56" s="118">
        <f t="shared" si="2"/>
        <v>0</v>
      </c>
    </row>
    <row r="57" spans="1:50">
      <c r="A57" s="114">
        <v>5</v>
      </c>
      <c r="B57" s="116">
        <v>45923</v>
      </c>
      <c r="G57" s="115" t="s">
        <v>145</v>
      </c>
      <c r="H57" s="115">
        <v>2</v>
      </c>
      <c r="I57" s="117" t="str">
        <f t="shared" si="8"/>
        <v>NHGRI_2</v>
      </c>
      <c r="J57" s="123" t="s">
        <v>781</v>
      </c>
      <c r="K57" s="124">
        <v>6</v>
      </c>
      <c r="L57" s="123" t="str">
        <f t="shared" si="6"/>
        <v>NHGRI_2_6</v>
      </c>
      <c r="M57" s="123" t="s">
        <v>857</v>
      </c>
      <c r="N57" s="115" t="s">
        <v>86</v>
      </c>
      <c r="O57" s="115" t="s">
        <v>146</v>
      </c>
      <c r="P57" s="115">
        <v>100</v>
      </c>
      <c r="Q57" s="115">
        <v>500</v>
      </c>
      <c r="S57" s="115">
        <v>6</v>
      </c>
      <c r="T57" s="115">
        <v>1</v>
      </c>
      <c r="U57" s="115">
        <v>11.41</v>
      </c>
      <c r="V57" s="115">
        <v>11.52</v>
      </c>
      <c r="W57" s="115">
        <v>1</v>
      </c>
      <c r="X57" s="118">
        <v>12.06</v>
      </c>
      <c r="Y57" s="118">
        <v>1</v>
      </c>
      <c r="Z57" s="118">
        <v>1</v>
      </c>
      <c r="AA57" s="118">
        <v>1</v>
      </c>
      <c r="AB57" s="118">
        <v>1</v>
      </c>
      <c r="AC57" s="118">
        <v>1</v>
      </c>
      <c r="AD57" s="118">
        <v>1</v>
      </c>
      <c r="AE57" s="118">
        <v>1</v>
      </c>
      <c r="AF57" s="118">
        <v>1</v>
      </c>
      <c r="AG57" s="118">
        <v>1</v>
      </c>
      <c r="AH57" s="118">
        <v>1</v>
      </c>
      <c r="AI57" s="118">
        <v>1</v>
      </c>
      <c r="AJ57" s="118">
        <v>1</v>
      </c>
      <c r="AK57" s="118">
        <v>1</v>
      </c>
      <c r="AL57" s="118">
        <v>0</v>
      </c>
      <c r="AM57" s="118">
        <v>0</v>
      </c>
      <c r="AN57" s="118">
        <v>0</v>
      </c>
      <c r="AO57" s="118">
        <v>0</v>
      </c>
      <c r="AP57" s="118">
        <v>0</v>
      </c>
      <c r="AQ57" s="118">
        <v>0</v>
      </c>
      <c r="AR57" s="118">
        <v>0</v>
      </c>
      <c r="AS57" s="118">
        <v>0</v>
      </c>
      <c r="AT57" s="118">
        <v>0</v>
      </c>
      <c r="AU57" s="118">
        <f t="shared" si="2"/>
        <v>0</v>
      </c>
    </row>
    <row r="58" spans="1:50">
      <c r="A58" s="114">
        <v>5</v>
      </c>
      <c r="B58" s="116">
        <v>45923</v>
      </c>
      <c r="G58" s="115" t="s">
        <v>145</v>
      </c>
      <c r="H58" s="115">
        <v>2</v>
      </c>
      <c r="I58" s="117" t="str">
        <f t="shared" si="8"/>
        <v>NHGRI_2</v>
      </c>
      <c r="J58" s="123" t="s">
        <v>781</v>
      </c>
      <c r="K58" s="118">
        <v>7</v>
      </c>
      <c r="L58" s="123" t="str">
        <f t="shared" si="6"/>
        <v>NHGRI_2_7</v>
      </c>
      <c r="M58" s="123" t="s">
        <v>858</v>
      </c>
      <c r="N58" s="115" t="s">
        <v>86</v>
      </c>
      <c r="O58" s="115" t="s">
        <v>146</v>
      </c>
      <c r="P58" s="115">
        <v>100</v>
      </c>
      <c r="Q58" s="115">
        <v>500</v>
      </c>
      <c r="S58" s="115">
        <v>7</v>
      </c>
      <c r="T58" s="115">
        <v>3</v>
      </c>
      <c r="U58" s="115">
        <v>12.04</v>
      </c>
      <c r="V58" s="115">
        <v>12.21</v>
      </c>
      <c r="W58" s="115">
        <v>3</v>
      </c>
      <c r="X58" s="118">
        <v>12.35</v>
      </c>
      <c r="Y58" s="118">
        <v>3</v>
      </c>
      <c r="Z58" s="118">
        <v>2</v>
      </c>
      <c r="AA58" s="118">
        <v>2</v>
      </c>
      <c r="AB58" s="118">
        <v>0</v>
      </c>
      <c r="AC58" s="118">
        <v>0</v>
      </c>
      <c r="AD58" s="118">
        <v>0</v>
      </c>
      <c r="AE58" s="118">
        <v>0</v>
      </c>
      <c r="AF58" s="118">
        <v>0</v>
      </c>
      <c r="AG58" s="118">
        <v>0</v>
      </c>
      <c r="AH58" s="118">
        <v>0</v>
      </c>
      <c r="AI58" s="118">
        <v>0</v>
      </c>
      <c r="AJ58" s="118">
        <v>0</v>
      </c>
      <c r="AK58" s="118">
        <v>0</v>
      </c>
      <c r="AL58" s="118">
        <v>0</v>
      </c>
      <c r="AM58" s="118">
        <v>0</v>
      </c>
      <c r="AN58" s="118">
        <v>0</v>
      </c>
      <c r="AO58" s="118">
        <v>0</v>
      </c>
      <c r="AP58" s="118">
        <v>0</v>
      </c>
      <c r="AQ58" s="118">
        <v>0</v>
      </c>
      <c r="AR58" s="118">
        <v>0</v>
      </c>
      <c r="AS58" s="118">
        <v>0</v>
      </c>
      <c r="AT58" s="118">
        <v>0</v>
      </c>
      <c r="AU58" s="118">
        <f t="shared" si="2"/>
        <v>0</v>
      </c>
    </row>
    <row r="59" spans="1:50">
      <c r="A59" s="114">
        <v>5</v>
      </c>
      <c r="B59" s="116">
        <v>45923</v>
      </c>
      <c r="G59" s="115" t="s">
        <v>145</v>
      </c>
      <c r="H59" s="115">
        <v>2</v>
      </c>
      <c r="I59" s="117" t="str">
        <f t="shared" si="8"/>
        <v>NHGRI_2</v>
      </c>
      <c r="J59" s="123" t="s">
        <v>781</v>
      </c>
      <c r="K59" s="124">
        <v>8</v>
      </c>
      <c r="L59" s="123" t="str">
        <f t="shared" si="6"/>
        <v>NHGRI_2_8</v>
      </c>
      <c r="M59" s="123" t="s">
        <v>859</v>
      </c>
      <c r="N59" s="115" t="s">
        <v>86</v>
      </c>
      <c r="O59" s="115" t="s">
        <v>146</v>
      </c>
      <c r="P59" s="115">
        <v>100</v>
      </c>
      <c r="Q59" s="115">
        <v>500</v>
      </c>
      <c r="S59" s="115" t="s">
        <v>115</v>
      </c>
      <c r="T59" s="115">
        <v>3</v>
      </c>
      <c r="U59" s="115" t="s">
        <v>117</v>
      </c>
      <c r="V59" s="115" t="s">
        <v>117</v>
      </c>
      <c r="W59" s="118">
        <v>3</v>
      </c>
      <c r="X59" s="118">
        <v>10.55</v>
      </c>
      <c r="Y59" s="118">
        <v>2</v>
      </c>
      <c r="Z59" s="118">
        <v>2</v>
      </c>
      <c r="AA59" s="118">
        <v>2</v>
      </c>
      <c r="AB59" s="118">
        <v>2</v>
      </c>
      <c r="AC59" s="118">
        <v>2</v>
      </c>
      <c r="AD59" s="118">
        <v>2</v>
      </c>
      <c r="AE59" s="118">
        <v>2</v>
      </c>
      <c r="AF59" s="118">
        <v>2</v>
      </c>
      <c r="AG59" s="118">
        <v>2</v>
      </c>
      <c r="AH59" s="118">
        <v>1</v>
      </c>
      <c r="AI59" s="118">
        <v>1</v>
      </c>
      <c r="AJ59" s="118">
        <v>1</v>
      </c>
      <c r="AK59" s="118">
        <v>1</v>
      </c>
      <c r="AL59" s="118">
        <v>0</v>
      </c>
      <c r="AM59" s="118">
        <v>0</v>
      </c>
      <c r="AN59" s="118">
        <v>0</v>
      </c>
      <c r="AO59" s="118">
        <v>0</v>
      </c>
      <c r="AP59" s="118">
        <v>0</v>
      </c>
      <c r="AQ59" s="118">
        <v>0</v>
      </c>
      <c r="AR59" s="118">
        <v>0</v>
      </c>
      <c r="AS59" s="118">
        <v>0</v>
      </c>
      <c r="AT59" s="118">
        <v>0</v>
      </c>
      <c r="AU59" s="118">
        <f t="shared" si="2"/>
        <v>0</v>
      </c>
    </row>
    <row r="60" spans="1:50">
      <c r="A60" s="114">
        <v>5</v>
      </c>
      <c r="B60" s="116">
        <v>45923</v>
      </c>
      <c r="G60" s="115" t="s">
        <v>145</v>
      </c>
      <c r="H60" s="115">
        <v>2</v>
      </c>
      <c r="I60" s="117" t="str">
        <f t="shared" si="8"/>
        <v>NHGRI_2</v>
      </c>
      <c r="J60" s="123" t="s">
        <v>781</v>
      </c>
      <c r="K60" s="124">
        <v>9</v>
      </c>
      <c r="L60" s="123" t="str">
        <f t="shared" si="6"/>
        <v>NHGRI_2_9</v>
      </c>
      <c r="M60" s="123" t="s">
        <v>860</v>
      </c>
      <c r="N60" s="115" t="s">
        <v>86</v>
      </c>
      <c r="O60" s="115" t="s">
        <v>146</v>
      </c>
      <c r="P60" s="115">
        <v>100</v>
      </c>
      <c r="Q60" s="115">
        <v>500</v>
      </c>
      <c r="S60" s="115" t="s">
        <v>118</v>
      </c>
      <c r="T60" s="115">
        <v>2</v>
      </c>
      <c r="U60" s="115" t="s">
        <v>117</v>
      </c>
      <c r="V60" s="115" t="s">
        <v>117</v>
      </c>
      <c r="W60" s="118">
        <v>2</v>
      </c>
      <c r="X60" s="118">
        <v>11.11</v>
      </c>
      <c r="Y60" s="118">
        <v>2</v>
      </c>
      <c r="Z60" s="118">
        <v>2</v>
      </c>
      <c r="AA60" s="118">
        <v>2</v>
      </c>
      <c r="AB60" s="118">
        <v>2</v>
      </c>
      <c r="AC60" s="118">
        <v>2</v>
      </c>
      <c r="AD60" s="118">
        <v>2</v>
      </c>
      <c r="AE60" s="118">
        <v>2</v>
      </c>
      <c r="AF60" s="118">
        <v>2</v>
      </c>
      <c r="AG60" s="118">
        <v>2</v>
      </c>
      <c r="AH60" s="118">
        <v>2</v>
      </c>
      <c r="AI60" s="118">
        <v>2</v>
      </c>
      <c r="AJ60" s="118">
        <v>2</v>
      </c>
      <c r="AK60" s="118">
        <v>2</v>
      </c>
      <c r="AL60" s="118">
        <v>1</v>
      </c>
      <c r="AM60" s="118">
        <v>1</v>
      </c>
      <c r="AN60" s="118">
        <v>1</v>
      </c>
      <c r="AO60" s="118">
        <v>1</v>
      </c>
      <c r="AP60" s="118">
        <v>1</v>
      </c>
      <c r="AQ60" s="118">
        <v>1</v>
      </c>
      <c r="AR60" s="118">
        <v>1</v>
      </c>
      <c r="AS60" s="118">
        <v>1</v>
      </c>
      <c r="AT60" s="118">
        <v>1</v>
      </c>
      <c r="AU60" s="115">
        <v>1</v>
      </c>
      <c r="AV60" s="115">
        <v>0</v>
      </c>
      <c r="AW60" s="115" t="s">
        <v>149</v>
      </c>
    </row>
    <row r="61" spans="1:50">
      <c r="A61" s="114">
        <v>5</v>
      </c>
      <c r="B61" s="116">
        <v>45923</v>
      </c>
      <c r="G61" s="115" t="s">
        <v>145</v>
      </c>
      <c r="H61" s="115">
        <v>2</v>
      </c>
      <c r="I61" s="117" t="str">
        <f t="shared" si="8"/>
        <v>NHGRI_2</v>
      </c>
      <c r="J61" s="123" t="s">
        <v>781</v>
      </c>
      <c r="K61" s="118">
        <v>10</v>
      </c>
      <c r="L61" s="123" t="str">
        <f t="shared" si="6"/>
        <v>NHGRI_2_10</v>
      </c>
      <c r="M61" s="123" t="s">
        <v>861</v>
      </c>
      <c r="N61" s="115" t="s">
        <v>86</v>
      </c>
      <c r="O61" s="115" t="s">
        <v>146</v>
      </c>
      <c r="P61" s="115">
        <v>100</v>
      </c>
      <c r="Q61" s="115">
        <v>500</v>
      </c>
      <c r="S61" s="115" t="s">
        <v>119</v>
      </c>
      <c r="T61" s="115">
        <v>3</v>
      </c>
      <c r="U61" s="115" t="s">
        <v>117</v>
      </c>
      <c r="V61" s="115" t="s">
        <v>117</v>
      </c>
      <c r="W61" s="118">
        <v>3</v>
      </c>
      <c r="X61" s="118">
        <v>11.36</v>
      </c>
      <c r="Y61" s="118">
        <v>3</v>
      </c>
      <c r="Z61" s="118">
        <v>1</v>
      </c>
      <c r="AA61" s="118">
        <v>1</v>
      </c>
      <c r="AB61" s="118">
        <v>1</v>
      </c>
      <c r="AC61" s="118">
        <v>1</v>
      </c>
      <c r="AD61" s="118">
        <v>1</v>
      </c>
      <c r="AE61" s="118">
        <v>1</v>
      </c>
      <c r="AF61" s="118">
        <v>1</v>
      </c>
      <c r="AG61" s="118">
        <v>1</v>
      </c>
      <c r="AH61" s="118">
        <v>0</v>
      </c>
      <c r="AI61" s="118">
        <v>0</v>
      </c>
      <c r="AJ61" s="118">
        <v>0</v>
      </c>
      <c r="AK61" s="118">
        <v>0</v>
      </c>
      <c r="AL61" s="118">
        <v>0</v>
      </c>
      <c r="AM61" s="118">
        <v>0</v>
      </c>
      <c r="AN61" s="118">
        <v>0</v>
      </c>
      <c r="AO61" s="118">
        <v>0</v>
      </c>
      <c r="AP61" s="118">
        <v>0</v>
      </c>
      <c r="AQ61" s="118">
        <v>0</v>
      </c>
      <c r="AR61" s="118">
        <v>0</v>
      </c>
      <c r="AS61" s="118">
        <v>0</v>
      </c>
      <c r="AT61" s="118">
        <v>0</v>
      </c>
      <c r="AU61" s="118">
        <f t="shared" si="2"/>
        <v>0</v>
      </c>
    </row>
    <row r="62" spans="1:50">
      <c r="A62" s="114">
        <v>5</v>
      </c>
      <c r="B62" s="116">
        <v>45923</v>
      </c>
      <c r="G62" s="115" t="s">
        <v>145</v>
      </c>
      <c r="H62" s="115">
        <v>2</v>
      </c>
      <c r="I62" s="117" t="str">
        <f t="shared" si="8"/>
        <v>NHGRI_2</v>
      </c>
      <c r="J62" s="123" t="s">
        <v>781</v>
      </c>
      <c r="K62" s="124">
        <v>11</v>
      </c>
      <c r="L62" s="123" t="str">
        <f t="shared" si="6"/>
        <v>NHGRI_2_11</v>
      </c>
      <c r="M62" s="123" t="s">
        <v>862</v>
      </c>
      <c r="N62" s="115" t="s">
        <v>86</v>
      </c>
      <c r="O62" s="115" t="s">
        <v>146</v>
      </c>
      <c r="P62" s="115">
        <v>100</v>
      </c>
      <c r="Q62" s="115">
        <v>500</v>
      </c>
      <c r="S62" s="115" t="s">
        <v>120</v>
      </c>
      <c r="T62" s="115">
        <v>3</v>
      </c>
      <c r="U62" s="115" t="s">
        <v>117</v>
      </c>
      <c r="V62" s="115" t="s">
        <v>117</v>
      </c>
      <c r="W62" s="118">
        <v>3</v>
      </c>
      <c r="X62" s="118">
        <v>12.1</v>
      </c>
      <c r="Y62" s="118">
        <v>2</v>
      </c>
      <c r="Z62" s="118">
        <v>2</v>
      </c>
      <c r="AA62" s="118">
        <v>2</v>
      </c>
      <c r="AB62" s="118">
        <v>2</v>
      </c>
      <c r="AC62" s="118">
        <v>2</v>
      </c>
      <c r="AD62" s="118">
        <v>2</v>
      </c>
      <c r="AE62" s="118">
        <v>2</v>
      </c>
      <c r="AF62" s="118">
        <v>2</v>
      </c>
      <c r="AG62" s="118">
        <v>2</v>
      </c>
      <c r="AH62" s="118">
        <v>2</v>
      </c>
      <c r="AI62" s="118">
        <v>2</v>
      </c>
      <c r="AJ62" s="118">
        <v>1</v>
      </c>
      <c r="AK62" s="118">
        <v>0</v>
      </c>
      <c r="AL62" s="118">
        <v>0</v>
      </c>
      <c r="AM62" s="118">
        <v>0</v>
      </c>
      <c r="AN62" s="118">
        <v>0</v>
      </c>
      <c r="AO62" s="118">
        <v>0</v>
      </c>
      <c r="AP62" s="118">
        <v>0</v>
      </c>
      <c r="AQ62" s="118">
        <v>0</v>
      </c>
      <c r="AR62" s="118">
        <v>0</v>
      </c>
      <c r="AS62" s="118">
        <v>0</v>
      </c>
      <c r="AT62" s="118">
        <v>0</v>
      </c>
      <c r="AU62" s="118">
        <f t="shared" si="2"/>
        <v>0</v>
      </c>
    </row>
    <row r="63" spans="1:50">
      <c r="A63" s="114">
        <v>5</v>
      </c>
      <c r="B63" s="116">
        <v>45923</v>
      </c>
      <c r="G63" s="115" t="s">
        <v>145</v>
      </c>
      <c r="H63" s="115">
        <v>2</v>
      </c>
      <c r="I63" s="117" t="str">
        <f t="shared" si="8"/>
        <v>NHGRI_2</v>
      </c>
      <c r="J63" s="123" t="s">
        <v>781</v>
      </c>
      <c r="K63" s="124">
        <v>12</v>
      </c>
      <c r="L63" s="123" t="str">
        <f t="shared" si="6"/>
        <v>NHGRI_2_12</v>
      </c>
      <c r="M63" s="123" t="s">
        <v>863</v>
      </c>
      <c r="N63" s="115" t="s">
        <v>86</v>
      </c>
      <c r="O63" s="115" t="s">
        <v>146</v>
      </c>
      <c r="P63" s="115">
        <v>100</v>
      </c>
      <c r="Q63" s="115">
        <v>500</v>
      </c>
      <c r="S63" s="115" t="s">
        <v>121</v>
      </c>
      <c r="T63" s="115">
        <v>3</v>
      </c>
      <c r="U63" s="115" t="s">
        <v>117</v>
      </c>
      <c r="V63" s="115" t="s">
        <v>117</v>
      </c>
      <c r="W63" s="118">
        <v>3</v>
      </c>
      <c r="X63" s="118">
        <v>12.28</v>
      </c>
      <c r="Y63" s="118">
        <v>2</v>
      </c>
      <c r="Z63" s="118">
        <v>2</v>
      </c>
      <c r="AA63" s="118">
        <v>2</v>
      </c>
      <c r="AB63" s="118">
        <v>2</v>
      </c>
      <c r="AC63" s="118">
        <v>2</v>
      </c>
      <c r="AD63" s="118">
        <v>2</v>
      </c>
      <c r="AE63" s="118">
        <v>2</v>
      </c>
      <c r="AF63" s="118">
        <v>2</v>
      </c>
      <c r="AG63" s="118">
        <v>2</v>
      </c>
      <c r="AH63" s="118">
        <v>2</v>
      </c>
      <c r="AI63" s="118">
        <v>2</v>
      </c>
      <c r="AJ63" s="118">
        <v>2</v>
      </c>
      <c r="AK63" s="118">
        <v>2</v>
      </c>
      <c r="AL63" s="118">
        <v>0</v>
      </c>
      <c r="AM63" s="118">
        <v>0</v>
      </c>
      <c r="AN63" s="118">
        <v>0</v>
      </c>
      <c r="AO63" s="118">
        <v>0</v>
      </c>
      <c r="AP63" s="118">
        <v>0</v>
      </c>
      <c r="AQ63" s="118">
        <v>0</v>
      </c>
      <c r="AR63" s="118">
        <v>0</v>
      </c>
      <c r="AS63" s="118">
        <v>0</v>
      </c>
      <c r="AT63" s="118">
        <v>0</v>
      </c>
      <c r="AU63" s="118">
        <f t="shared" si="2"/>
        <v>0</v>
      </c>
    </row>
    <row r="64" spans="1:50">
      <c r="A64" s="114">
        <v>5</v>
      </c>
      <c r="B64" s="116">
        <v>45923</v>
      </c>
      <c r="G64" s="115" t="s">
        <v>145</v>
      </c>
      <c r="H64" s="115">
        <v>2</v>
      </c>
      <c r="I64" s="117" t="str">
        <f t="shared" si="8"/>
        <v>NHGRI_2</v>
      </c>
      <c r="J64" s="123" t="s">
        <v>781</v>
      </c>
      <c r="K64" s="118">
        <v>13</v>
      </c>
      <c r="L64" s="123" t="str">
        <f t="shared" si="6"/>
        <v>NHGRI_2_13</v>
      </c>
      <c r="M64" s="123" t="s">
        <v>864</v>
      </c>
      <c r="N64" s="115" t="s">
        <v>86</v>
      </c>
      <c r="O64" s="115" t="s">
        <v>146</v>
      </c>
      <c r="P64" s="115">
        <v>100</v>
      </c>
      <c r="Q64" s="115">
        <v>500</v>
      </c>
      <c r="R64" s="115">
        <v>91</v>
      </c>
      <c r="S64" s="115">
        <v>1</v>
      </c>
      <c r="T64" s="115">
        <v>3</v>
      </c>
      <c r="U64" s="115">
        <v>10.02</v>
      </c>
      <c r="V64" s="115">
        <v>10.16</v>
      </c>
      <c r="W64" s="118">
        <v>3</v>
      </c>
      <c r="X64" s="118">
        <v>10.33</v>
      </c>
      <c r="Y64" s="118">
        <v>0</v>
      </c>
      <c r="Z64" s="118">
        <v>0</v>
      </c>
      <c r="AA64" s="118">
        <v>0</v>
      </c>
      <c r="AB64" s="118">
        <v>0</v>
      </c>
      <c r="AC64" s="118">
        <v>0</v>
      </c>
      <c r="AD64" s="118">
        <v>0</v>
      </c>
      <c r="AE64" s="118">
        <v>0</v>
      </c>
      <c r="AF64" s="118">
        <v>0</v>
      </c>
      <c r="AG64" s="118">
        <v>0</v>
      </c>
      <c r="AH64" s="118">
        <v>0</v>
      </c>
      <c r="AI64" s="118">
        <v>0</v>
      </c>
      <c r="AJ64" s="118">
        <v>0</v>
      </c>
      <c r="AK64" s="118">
        <v>0</v>
      </c>
      <c r="AL64" s="118">
        <v>0</v>
      </c>
      <c r="AM64" s="118">
        <v>0</v>
      </c>
      <c r="AN64" s="118">
        <v>0</v>
      </c>
      <c r="AO64" s="118">
        <v>0</v>
      </c>
      <c r="AP64" s="118">
        <v>0</v>
      </c>
      <c r="AQ64" s="118">
        <v>0</v>
      </c>
      <c r="AR64" s="118">
        <v>0</v>
      </c>
      <c r="AS64" s="118">
        <v>0</v>
      </c>
      <c r="AT64" s="118">
        <v>0</v>
      </c>
      <c r="AU64" s="118">
        <f t="shared" si="2"/>
        <v>0</v>
      </c>
      <c r="AX64" s="114" t="s">
        <v>67</v>
      </c>
    </row>
    <row r="65" spans="1:50">
      <c r="A65" s="114">
        <v>5</v>
      </c>
      <c r="B65" s="116">
        <v>45923</v>
      </c>
      <c r="G65" s="115" t="s">
        <v>145</v>
      </c>
      <c r="H65" s="115">
        <v>2</v>
      </c>
      <c r="I65" s="117" t="str">
        <f t="shared" si="8"/>
        <v>NHGRI_2</v>
      </c>
      <c r="J65" s="123" t="s">
        <v>781</v>
      </c>
      <c r="K65" s="124">
        <v>14</v>
      </c>
      <c r="L65" s="123" t="str">
        <f t="shared" si="6"/>
        <v>NHGRI_2_14</v>
      </c>
      <c r="M65" s="123" t="s">
        <v>865</v>
      </c>
      <c r="N65" s="115" t="s">
        <v>86</v>
      </c>
      <c r="O65" s="115" t="s">
        <v>146</v>
      </c>
      <c r="P65" s="115">
        <v>100</v>
      </c>
      <c r="Q65" s="115">
        <v>500</v>
      </c>
      <c r="S65" s="115">
        <v>2</v>
      </c>
      <c r="T65" s="115">
        <v>3</v>
      </c>
      <c r="U65" s="115">
        <v>10.27</v>
      </c>
      <c r="V65" s="115">
        <v>10.37</v>
      </c>
      <c r="W65" s="118">
        <v>3</v>
      </c>
      <c r="X65" s="118">
        <v>10.56</v>
      </c>
      <c r="Y65" s="118">
        <v>2</v>
      </c>
      <c r="Z65" s="118">
        <v>2</v>
      </c>
      <c r="AA65" s="118">
        <v>2</v>
      </c>
      <c r="AB65" s="118">
        <v>2</v>
      </c>
      <c r="AC65" s="118">
        <v>2</v>
      </c>
      <c r="AD65" s="118">
        <v>2</v>
      </c>
      <c r="AE65" s="118">
        <v>2</v>
      </c>
      <c r="AF65" s="118">
        <v>2</v>
      </c>
      <c r="AG65" s="118">
        <v>2</v>
      </c>
      <c r="AH65" s="118">
        <v>2</v>
      </c>
      <c r="AI65" s="118">
        <v>2</v>
      </c>
      <c r="AJ65" s="118">
        <v>2</v>
      </c>
      <c r="AK65" s="118">
        <v>2</v>
      </c>
      <c r="AL65" s="118">
        <v>2</v>
      </c>
      <c r="AM65" s="118">
        <v>2</v>
      </c>
      <c r="AN65" s="118">
        <v>2</v>
      </c>
      <c r="AO65" s="118">
        <v>2</v>
      </c>
      <c r="AP65" s="118">
        <v>1</v>
      </c>
      <c r="AQ65" s="118">
        <v>1</v>
      </c>
      <c r="AR65" s="118">
        <v>0</v>
      </c>
      <c r="AS65" s="118">
        <v>0</v>
      </c>
      <c r="AT65" s="118">
        <v>0</v>
      </c>
      <c r="AU65" s="118">
        <f t="shared" si="2"/>
        <v>0</v>
      </c>
    </row>
    <row r="66" spans="1:50">
      <c r="A66" s="114">
        <v>5</v>
      </c>
      <c r="B66" s="116">
        <v>45923</v>
      </c>
      <c r="G66" s="115" t="s">
        <v>145</v>
      </c>
      <c r="H66" s="115">
        <v>2</v>
      </c>
      <c r="I66" s="117" t="str">
        <f t="shared" si="8"/>
        <v>NHGRI_2</v>
      </c>
      <c r="J66" s="117" t="s">
        <v>781</v>
      </c>
      <c r="K66" s="124">
        <v>15</v>
      </c>
      <c r="L66" s="123" t="str">
        <f t="shared" si="6"/>
        <v>NHGRI_2_15</v>
      </c>
      <c r="M66" s="117" t="s">
        <v>866</v>
      </c>
      <c r="N66" s="115" t="s">
        <v>86</v>
      </c>
      <c r="O66" s="115" t="s">
        <v>146</v>
      </c>
      <c r="P66" s="115">
        <v>100</v>
      </c>
      <c r="Q66" s="115">
        <v>500</v>
      </c>
      <c r="S66" s="115">
        <v>3</v>
      </c>
      <c r="T66" s="115">
        <v>4</v>
      </c>
      <c r="U66" s="115">
        <v>10.4</v>
      </c>
      <c r="V66" s="115">
        <v>11.05</v>
      </c>
      <c r="W66" s="118">
        <v>4</v>
      </c>
      <c r="X66" s="118">
        <v>11.21</v>
      </c>
      <c r="Y66" s="118">
        <v>4</v>
      </c>
      <c r="Z66" s="118">
        <v>4</v>
      </c>
      <c r="AA66" s="118">
        <v>4</v>
      </c>
      <c r="AB66" s="118">
        <v>4</v>
      </c>
      <c r="AC66" s="118">
        <v>4</v>
      </c>
      <c r="AD66" s="118">
        <v>4</v>
      </c>
      <c r="AE66" s="118">
        <v>4</v>
      </c>
      <c r="AF66" s="118">
        <v>4</v>
      </c>
      <c r="AG66" s="118">
        <v>4</v>
      </c>
      <c r="AH66" s="118">
        <v>4</v>
      </c>
      <c r="AI66" s="118">
        <v>4</v>
      </c>
      <c r="AJ66" s="118">
        <v>4</v>
      </c>
      <c r="AK66" s="118">
        <v>4</v>
      </c>
      <c r="AL66" s="118">
        <v>4</v>
      </c>
      <c r="AM66" s="118">
        <v>4</v>
      </c>
      <c r="AN66" s="118">
        <v>3</v>
      </c>
      <c r="AO66" s="118">
        <v>3</v>
      </c>
      <c r="AP66" s="118">
        <v>3</v>
      </c>
      <c r="AQ66" s="118">
        <v>2</v>
      </c>
      <c r="AR66" s="118">
        <v>1</v>
      </c>
      <c r="AS66" s="118">
        <v>1</v>
      </c>
      <c r="AT66" s="118">
        <v>1</v>
      </c>
      <c r="AU66" s="115">
        <v>1</v>
      </c>
      <c r="AV66" s="115">
        <v>0</v>
      </c>
      <c r="AW66" s="115" t="s">
        <v>150</v>
      </c>
    </row>
    <row r="67" spans="1:50">
      <c r="A67" s="114">
        <v>5</v>
      </c>
      <c r="B67" s="116">
        <v>45923</v>
      </c>
      <c r="G67" s="115" t="s">
        <v>145</v>
      </c>
      <c r="H67" s="115">
        <v>2</v>
      </c>
      <c r="I67" s="117" t="str">
        <f t="shared" si="8"/>
        <v>NHGRI_2</v>
      </c>
      <c r="J67" s="123" t="s">
        <v>781</v>
      </c>
      <c r="K67" s="118">
        <v>16</v>
      </c>
      <c r="L67" s="123" t="str">
        <f t="shared" si="6"/>
        <v>NHGRI_2_16</v>
      </c>
      <c r="M67" s="123" t="s">
        <v>867</v>
      </c>
      <c r="N67" s="115" t="s">
        <v>86</v>
      </c>
      <c r="O67" s="115" t="s">
        <v>146</v>
      </c>
      <c r="P67" s="115">
        <v>100</v>
      </c>
      <c r="Q67" s="115">
        <v>500</v>
      </c>
      <c r="S67" s="115">
        <v>4</v>
      </c>
      <c r="T67" s="115">
        <v>5</v>
      </c>
      <c r="U67" s="115">
        <v>11.07</v>
      </c>
      <c r="V67" s="115">
        <v>11.29</v>
      </c>
      <c r="W67" s="118">
        <v>5</v>
      </c>
      <c r="X67" s="118">
        <v>11.45</v>
      </c>
      <c r="Y67" s="118">
        <v>5</v>
      </c>
      <c r="Z67" s="118">
        <v>5</v>
      </c>
      <c r="AA67" s="118">
        <v>5</v>
      </c>
      <c r="AB67" s="118">
        <v>3</v>
      </c>
      <c r="AC67" s="118">
        <v>3</v>
      </c>
      <c r="AD67" s="118">
        <v>3</v>
      </c>
      <c r="AE67" s="118">
        <v>3</v>
      </c>
      <c r="AF67" s="118">
        <v>3</v>
      </c>
      <c r="AG67" s="118">
        <v>3</v>
      </c>
      <c r="AH67" s="118">
        <v>3</v>
      </c>
      <c r="AI67" s="118">
        <v>0</v>
      </c>
      <c r="AJ67" s="118">
        <v>0</v>
      </c>
      <c r="AK67" s="118">
        <v>0</v>
      </c>
      <c r="AL67" s="118">
        <v>0</v>
      </c>
      <c r="AM67" s="118">
        <v>0</v>
      </c>
      <c r="AN67" s="118">
        <v>0</v>
      </c>
      <c r="AO67" s="118">
        <v>0</v>
      </c>
      <c r="AP67" s="118">
        <v>0</v>
      </c>
      <c r="AQ67" s="118">
        <v>0</v>
      </c>
      <c r="AR67" s="118">
        <v>0</v>
      </c>
      <c r="AS67" s="118">
        <v>0</v>
      </c>
      <c r="AT67" s="118">
        <v>0</v>
      </c>
      <c r="AU67" s="118">
        <f t="shared" si="2"/>
        <v>0</v>
      </c>
    </row>
    <row r="68" spans="1:50">
      <c r="A68" s="114">
        <v>5</v>
      </c>
      <c r="B68" s="116">
        <v>45923</v>
      </c>
      <c r="G68" s="115" t="s">
        <v>145</v>
      </c>
      <c r="H68" s="115">
        <v>2</v>
      </c>
      <c r="I68" s="117" t="str">
        <f t="shared" si="8"/>
        <v>NHGRI_2</v>
      </c>
      <c r="J68" s="123" t="s">
        <v>781</v>
      </c>
      <c r="K68" s="124">
        <v>17</v>
      </c>
      <c r="L68" s="123" t="str">
        <f t="shared" si="6"/>
        <v>NHGRI_2_17</v>
      </c>
      <c r="M68" s="123" t="s">
        <v>868</v>
      </c>
      <c r="N68" s="115" t="s">
        <v>86</v>
      </c>
      <c r="O68" s="115" t="s">
        <v>146</v>
      </c>
      <c r="P68" s="115">
        <v>100</v>
      </c>
      <c r="Q68" s="115">
        <v>500</v>
      </c>
      <c r="S68" s="115">
        <v>5</v>
      </c>
      <c r="T68" s="115">
        <v>1</v>
      </c>
      <c r="U68" s="115">
        <v>11.49</v>
      </c>
      <c r="V68" s="115">
        <v>11.57</v>
      </c>
      <c r="W68" s="118">
        <v>1</v>
      </c>
      <c r="X68" s="118">
        <v>12.12</v>
      </c>
      <c r="Y68" s="118">
        <v>1</v>
      </c>
      <c r="Z68" s="118">
        <v>1</v>
      </c>
      <c r="AA68" s="118">
        <v>1</v>
      </c>
      <c r="AB68" s="118">
        <v>0</v>
      </c>
      <c r="AC68" s="118">
        <v>0</v>
      </c>
      <c r="AD68" s="118">
        <v>0</v>
      </c>
      <c r="AE68" s="118">
        <v>0</v>
      </c>
      <c r="AF68" s="118">
        <v>0</v>
      </c>
      <c r="AG68" s="118">
        <v>0</v>
      </c>
      <c r="AH68" s="118">
        <v>0</v>
      </c>
      <c r="AI68" s="118">
        <v>0</v>
      </c>
      <c r="AJ68" s="118">
        <v>0</v>
      </c>
      <c r="AK68" s="118">
        <v>0</v>
      </c>
      <c r="AL68" s="118">
        <v>0</v>
      </c>
      <c r="AM68" s="118">
        <v>0</v>
      </c>
      <c r="AN68" s="118">
        <v>0</v>
      </c>
      <c r="AO68" s="118">
        <v>0</v>
      </c>
      <c r="AP68" s="118">
        <v>0</v>
      </c>
      <c r="AQ68" s="118">
        <v>0</v>
      </c>
      <c r="AR68" s="118">
        <v>0</v>
      </c>
      <c r="AS68" s="118">
        <v>0</v>
      </c>
      <c r="AT68" s="118">
        <v>0</v>
      </c>
      <c r="AU68" s="118">
        <f t="shared" si="2"/>
        <v>0</v>
      </c>
    </row>
    <row r="69" spans="1:50">
      <c r="A69" s="114">
        <v>6</v>
      </c>
      <c r="B69" s="116">
        <v>45926</v>
      </c>
      <c r="C69" s="116" t="s">
        <v>102</v>
      </c>
      <c r="D69" s="116" t="s">
        <v>151</v>
      </c>
      <c r="E69" s="116" t="s">
        <v>152</v>
      </c>
      <c r="F69" s="116" t="s">
        <v>144</v>
      </c>
      <c r="G69" s="115" t="s">
        <v>153</v>
      </c>
      <c r="H69" s="115">
        <v>2</v>
      </c>
      <c r="I69" s="117" t="str">
        <f t="shared" si="8"/>
        <v>AB_2</v>
      </c>
      <c r="J69" s="125" t="s">
        <v>772</v>
      </c>
      <c r="K69" s="127">
        <v>1</v>
      </c>
      <c r="L69" s="125" t="str">
        <f t="shared" si="6"/>
        <v>AB_2_1</v>
      </c>
      <c r="M69" s="125" t="s">
        <v>869</v>
      </c>
      <c r="N69" s="115" t="s">
        <v>88</v>
      </c>
      <c r="O69" s="115" t="s">
        <v>154</v>
      </c>
      <c r="P69" s="115">
        <v>100</v>
      </c>
      <c r="Q69" s="115">
        <v>500</v>
      </c>
      <c r="R69" s="115">
        <v>60</v>
      </c>
      <c r="S69" s="115">
        <v>1</v>
      </c>
      <c r="T69" s="115">
        <v>1</v>
      </c>
      <c r="U69" s="115">
        <v>10.08</v>
      </c>
      <c r="V69" s="117">
        <v>10.199999999999999</v>
      </c>
      <c r="W69" s="118">
        <v>1</v>
      </c>
      <c r="X69" s="118">
        <v>10.35</v>
      </c>
      <c r="Y69" s="118">
        <v>0</v>
      </c>
      <c r="Z69" s="118">
        <v>0</v>
      </c>
      <c r="AA69" s="118">
        <v>0</v>
      </c>
      <c r="AB69" s="118">
        <v>0</v>
      </c>
      <c r="AC69" s="118">
        <v>0</v>
      </c>
      <c r="AD69" s="118">
        <v>0</v>
      </c>
      <c r="AE69" s="118">
        <v>0</v>
      </c>
      <c r="AF69" s="118">
        <v>0</v>
      </c>
      <c r="AG69" s="118">
        <v>0</v>
      </c>
      <c r="AH69" s="118">
        <v>0</v>
      </c>
      <c r="AI69" s="118">
        <v>0</v>
      </c>
      <c r="AJ69" s="118">
        <v>0</v>
      </c>
      <c r="AK69" s="118">
        <v>0</v>
      </c>
      <c r="AL69" s="118">
        <v>0</v>
      </c>
      <c r="AM69" s="118">
        <v>0</v>
      </c>
      <c r="AN69" s="118">
        <v>0</v>
      </c>
      <c r="AO69" s="118">
        <v>0</v>
      </c>
      <c r="AP69" s="118">
        <v>0</v>
      </c>
      <c r="AQ69" s="118">
        <v>0</v>
      </c>
      <c r="AR69" s="118">
        <v>0</v>
      </c>
      <c r="AS69" s="118">
        <v>0</v>
      </c>
      <c r="AT69" s="118">
        <v>0</v>
      </c>
      <c r="AU69" s="118">
        <f t="shared" ref="AU69:AU132" si="9">AT69</f>
        <v>0</v>
      </c>
      <c r="AX69" s="114" t="s">
        <v>53</v>
      </c>
    </row>
    <row r="70" spans="1:50">
      <c r="A70" s="114">
        <v>6</v>
      </c>
      <c r="B70" s="116">
        <v>45926</v>
      </c>
      <c r="D70" s="115" t="s">
        <v>155</v>
      </c>
      <c r="E70" s="115" t="s">
        <v>133</v>
      </c>
      <c r="G70" s="115" t="s">
        <v>153</v>
      </c>
      <c r="H70" s="115">
        <v>2</v>
      </c>
      <c r="I70" s="117" t="str">
        <f t="shared" si="8"/>
        <v>AB_2</v>
      </c>
      <c r="J70" s="125" t="s">
        <v>772</v>
      </c>
      <c r="K70" s="127">
        <v>2</v>
      </c>
      <c r="L70" s="125" t="str">
        <f t="shared" si="6"/>
        <v>AB_2_2</v>
      </c>
      <c r="M70" s="125" t="s">
        <v>870</v>
      </c>
      <c r="N70" s="115" t="s">
        <v>88</v>
      </c>
      <c r="O70" s="115" t="s">
        <v>154</v>
      </c>
      <c r="P70" s="115">
        <v>100</v>
      </c>
      <c r="Q70" s="115">
        <v>500</v>
      </c>
      <c r="S70" s="115">
        <v>2</v>
      </c>
      <c r="T70" s="115">
        <v>4</v>
      </c>
      <c r="U70" s="115">
        <v>10.210000000000001</v>
      </c>
      <c r="V70" s="115">
        <v>10.39</v>
      </c>
      <c r="W70" s="118">
        <v>4</v>
      </c>
      <c r="X70" s="118">
        <v>10.54</v>
      </c>
      <c r="Y70" s="118">
        <v>2</v>
      </c>
      <c r="Z70" s="118">
        <v>2</v>
      </c>
      <c r="AA70" s="118">
        <v>2</v>
      </c>
      <c r="AB70" s="118">
        <v>2</v>
      </c>
      <c r="AC70" s="118">
        <v>2</v>
      </c>
      <c r="AD70" s="118">
        <v>2</v>
      </c>
      <c r="AE70" s="118">
        <v>2</v>
      </c>
      <c r="AF70" s="118">
        <v>2</v>
      </c>
      <c r="AG70" s="118">
        <v>2</v>
      </c>
      <c r="AH70" s="118">
        <v>2</v>
      </c>
      <c r="AI70" s="118">
        <v>2</v>
      </c>
      <c r="AJ70" s="118">
        <v>2</v>
      </c>
      <c r="AK70" s="118">
        <v>1</v>
      </c>
      <c r="AL70" s="118">
        <v>0</v>
      </c>
      <c r="AM70" s="118">
        <v>0</v>
      </c>
      <c r="AN70" s="118">
        <v>0</v>
      </c>
      <c r="AO70" s="118">
        <v>0</v>
      </c>
      <c r="AP70" s="118">
        <v>0</v>
      </c>
      <c r="AQ70" s="118">
        <v>0</v>
      </c>
      <c r="AR70" s="118">
        <v>0</v>
      </c>
      <c r="AS70" s="118">
        <v>0</v>
      </c>
      <c r="AT70" s="118">
        <v>0</v>
      </c>
      <c r="AU70" s="118">
        <f t="shared" si="9"/>
        <v>0</v>
      </c>
    </row>
    <row r="71" spans="1:50">
      <c r="A71" s="114">
        <v>6</v>
      </c>
      <c r="B71" s="116">
        <v>45926</v>
      </c>
      <c r="D71" s="115" t="s">
        <v>156</v>
      </c>
      <c r="E71" s="115" t="s">
        <v>157</v>
      </c>
      <c r="G71" s="115" t="s">
        <v>158</v>
      </c>
      <c r="H71" s="115">
        <v>2</v>
      </c>
      <c r="I71" s="117" t="str">
        <f t="shared" si="8"/>
        <v>AB_2</v>
      </c>
      <c r="J71" s="125" t="s">
        <v>772</v>
      </c>
      <c r="K71" s="127">
        <v>3</v>
      </c>
      <c r="L71" s="125" t="str">
        <f t="shared" si="6"/>
        <v>AB_2_3</v>
      </c>
      <c r="M71" s="125" t="s">
        <v>871</v>
      </c>
      <c r="N71" s="115" t="s">
        <v>88</v>
      </c>
      <c r="O71" s="115" t="s">
        <v>154</v>
      </c>
      <c r="P71" s="115">
        <v>100</v>
      </c>
      <c r="Q71" s="115">
        <v>500</v>
      </c>
      <c r="S71" s="115">
        <v>3</v>
      </c>
      <c r="T71" s="115">
        <v>3</v>
      </c>
      <c r="U71" s="115">
        <v>10.47</v>
      </c>
      <c r="V71" s="117">
        <v>11.06</v>
      </c>
      <c r="W71" s="118">
        <v>3</v>
      </c>
      <c r="X71" s="118">
        <v>11.23</v>
      </c>
      <c r="Y71" s="118">
        <v>1</v>
      </c>
      <c r="Z71" s="118">
        <v>1</v>
      </c>
      <c r="AA71" s="118">
        <v>1</v>
      </c>
      <c r="AB71" s="118">
        <v>1</v>
      </c>
      <c r="AC71" s="118">
        <v>1</v>
      </c>
      <c r="AD71" s="118">
        <v>1</v>
      </c>
      <c r="AE71" s="118">
        <v>1</v>
      </c>
      <c r="AF71" s="118">
        <v>1</v>
      </c>
      <c r="AG71" s="118">
        <v>0</v>
      </c>
      <c r="AH71" s="118">
        <v>0</v>
      </c>
      <c r="AI71" s="118">
        <v>0</v>
      </c>
      <c r="AJ71" s="118">
        <v>0</v>
      </c>
      <c r="AK71" s="118">
        <v>0</v>
      </c>
      <c r="AL71" s="118">
        <v>0</v>
      </c>
      <c r="AM71" s="118">
        <v>0</v>
      </c>
      <c r="AN71" s="118">
        <v>0</v>
      </c>
      <c r="AO71" s="118">
        <v>0</v>
      </c>
      <c r="AP71" s="118">
        <v>0</v>
      </c>
      <c r="AQ71" s="118">
        <v>0</v>
      </c>
      <c r="AR71" s="118">
        <v>0</v>
      </c>
      <c r="AS71" s="118">
        <v>0</v>
      </c>
      <c r="AT71" s="118">
        <v>0</v>
      </c>
      <c r="AU71" s="118">
        <f t="shared" si="9"/>
        <v>0</v>
      </c>
    </row>
    <row r="72" spans="1:50">
      <c r="A72" s="114">
        <v>6</v>
      </c>
      <c r="B72" s="116">
        <v>45926</v>
      </c>
      <c r="D72" s="115" t="s">
        <v>159</v>
      </c>
      <c r="E72" s="115" t="s">
        <v>133</v>
      </c>
      <c r="G72" s="115" t="s">
        <v>153</v>
      </c>
      <c r="H72" s="115">
        <v>2</v>
      </c>
      <c r="I72" s="117" t="str">
        <f t="shared" si="8"/>
        <v>AB_2</v>
      </c>
      <c r="J72" s="125" t="s">
        <v>772</v>
      </c>
      <c r="K72" s="127">
        <v>4</v>
      </c>
      <c r="L72" s="125" t="str">
        <f t="shared" si="6"/>
        <v>AB_2_4</v>
      </c>
      <c r="M72" s="125" t="s">
        <v>872</v>
      </c>
      <c r="N72" s="115" t="s">
        <v>88</v>
      </c>
      <c r="O72" s="115" t="s">
        <v>154</v>
      </c>
      <c r="P72" s="115">
        <v>100</v>
      </c>
      <c r="Q72" s="115">
        <v>500</v>
      </c>
      <c r="S72" s="115">
        <v>4</v>
      </c>
      <c r="T72" s="115">
        <v>3</v>
      </c>
      <c r="U72" s="115">
        <v>11.1</v>
      </c>
      <c r="V72" s="115">
        <v>11.35</v>
      </c>
      <c r="W72" s="118">
        <v>3</v>
      </c>
      <c r="X72" s="118">
        <v>11.5</v>
      </c>
      <c r="Y72" s="118">
        <v>2</v>
      </c>
      <c r="Z72" s="118">
        <v>2</v>
      </c>
      <c r="AA72" s="118">
        <v>2</v>
      </c>
      <c r="AB72" s="118">
        <v>2</v>
      </c>
      <c r="AC72" s="118">
        <v>2</v>
      </c>
      <c r="AD72" s="118">
        <v>2</v>
      </c>
      <c r="AE72" s="118">
        <v>2</v>
      </c>
      <c r="AF72" s="118">
        <v>2</v>
      </c>
      <c r="AG72" s="118">
        <v>2</v>
      </c>
      <c r="AH72" s="118">
        <v>2</v>
      </c>
      <c r="AI72" s="118">
        <v>2</v>
      </c>
      <c r="AJ72" s="118">
        <v>1</v>
      </c>
      <c r="AK72" s="118">
        <v>1</v>
      </c>
      <c r="AL72" s="118">
        <v>1</v>
      </c>
      <c r="AM72" s="118">
        <v>0</v>
      </c>
      <c r="AN72" s="118">
        <v>0</v>
      </c>
      <c r="AO72" s="118">
        <v>0</v>
      </c>
      <c r="AP72" s="118">
        <v>0</v>
      </c>
      <c r="AQ72" s="118">
        <v>0</v>
      </c>
      <c r="AR72" s="118">
        <v>0</v>
      </c>
      <c r="AS72" s="118">
        <v>0</v>
      </c>
      <c r="AT72" s="118">
        <v>0</v>
      </c>
      <c r="AU72" s="118">
        <f t="shared" si="9"/>
        <v>0</v>
      </c>
    </row>
    <row r="73" spans="1:50">
      <c r="A73" s="114">
        <v>6</v>
      </c>
      <c r="B73" s="116">
        <v>45926</v>
      </c>
      <c r="E73" s="115" t="s">
        <v>160</v>
      </c>
      <c r="G73" s="115" t="s">
        <v>158</v>
      </c>
      <c r="H73" s="115">
        <v>2</v>
      </c>
      <c r="I73" s="117" t="str">
        <f t="shared" si="8"/>
        <v>AB_2</v>
      </c>
      <c r="J73" s="125" t="s">
        <v>772</v>
      </c>
      <c r="K73" s="127">
        <v>5</v>
      </c>
      <c r="L73" s="125" t="str">
        <f t="shared" si="6"/>
        <v>AB_2_5</v>
      </c>
      <c r="M73" s="125" t="s">
        <v>873</v>
      </c>
      <c r="N73" s="115" t="s">
        <v>88</v>
      </c>
      <c r="O73" s="115" t="s">
        <v>154</v>
      </c>
      <c r="P73" s="115">
        <v>100</v>
      </c>
      <c r="Q73" s="115">
        <v>500</v>
      </c>
      <c r="S73" s="115">
        <v>5</v>
      </c>
      <c r="T73" s="115">
        <v>4</v>
      </c>
      <c r="U73" s="115">
        <v>11.45</v>
      </c>
      <c r="V73" s="115" t="s">
        <v>117</v>
      </c>
      <c r="W73" s="118">
        <v>4</v>
      </c>
      <c r="X73" s="118">
        <v>12.34</v>
      </c>
      <c r="Y73" s="118">
        <v>4</v>
      </c>
      <c r="Z73" s="118">
        <v>4</v>
      </c>
      <c r="AA73" s="118">
        <v>4</v>
      </c>
      <c r="AB73" s="118">
        <v>4</v>
      </c>
      <c r="AC73" s="118">
        <v>4</v>
      </c>
      <c r="AD73" s="118">
        <v>4</v>
      </c>
      <c r="AE73" s="118">
        <v>4</v>
      </c>
      <c r="AF73" s="118">
        <v>4</v>
      </c>
      <c r="AG73" s="118">
        <v>3</v>
      </c>
      <c r="AH73" s="118">
        <v>3</v>
      </c>
      <c r="AI73" s="118">
        <v>3</v>
      </c>
      <c r="AJ73" s="118">
        <v>0</v>
      </c>
      <c r="AK73" s="118">
        <v>0</v>
      </c>
      <c r="AL73" s="118">
        <v>0</v>
      </c>
      <c r="AM73" s="118">
        <v>0</v>
      </c>
      <c r="AN73" s="118">
        <v>0</v>
      </c>
      <c r="AO73" s="118">
        <v>0</v>
      </c>
      <c r="AP73" s="118">
        <v>0</v>
      </c>
      <c r="AQ73" s="118">
        <v>0</v>
      </c>
      <c r="AR73" s="118">
        <v>0</v>
      </c>
      <c r="AS73" s="118">
        <v>0</v>
      </c>
      <c r="AT73" s="118">
        <v>0</v>
      </c>
      <c r="AU73" s="118">
        <f t="shared" si="9"/>
        <v>0</v>
      </c>
    </row>
    <row r="74" spans="1:50">
      <c r="A74" s="114">
        <v>6</v>
      </c>
      <c r="B74" s="116">
        <v>45926</v>
      </c>
      <c r="E74" s="115" t="s">
        <v>133</v>
      </c>
      <c r="G74" s="115" t="s">
        <v>158</v>
      </c>
      <c r="H74" s="115">
        <v>2</v>
      </c>
      <c r="I74" s="117" t="str">
        <f t="shared" si="8"/>
        <v>AB_2</v>
      </c>
      <c r="J74" s="125" t="s">
        <v>772</v>
      </c>
      <c r="K74" s="127">
        <v>6</v>
      </c>
      <c r="L74" s="125" t="str">
        <f t="shared" si="6"/>
        <v>AB_2_6</v>
      </c>
      <c r="M74" s="125" t="s">
        <v>874</v>
      </c>
      <c r="N74" s="115" t="s">
        <v>88</v>
      </c>
      <c r="O74" s="115" t="s">
        <v>154</v>
      </c>
      <c r="P74" s="115">
        <v>100</v>
      </c>
      <c r="Q74" s="115">
        <v>500</v>
      </c>
      <c r="S74" s="115">
        <v>6</v>
      </c>
      <c r="T74" s="115">
        <v>4</v>
      </c>
      <c r="U74" s="115" t="s">
        <v>117</v>
      </c>
      <c r="V74" s="115">
        <v>12.33</v>
      </c>
      <c r="W74" s="118">
        <v>4</v>
      </c>
      <c r="X74" s="118">
        <v>12.48</v>
      </c>
      <c r="Y74" s="118">
        <v>3</v>
      </c>
      <c r="Z74" s="118">
        <v>3</v>
      </c>
      <c r="AA74" s="118">
        <v>3</v>
      </c>
      <c r="AB74" s="118">
        <v>3</v>
      </c>
      <c r="AC74" s="118">
        <v>3</v>
      </c>
      <c r="AD74" s="118">
        <v>3</v>
      </c>
      <c r="AE74" s="118">
        <v>1</v>
      </c>
      <c r="AF74" s="118">
        <v>1</v>
      </c>
      <c r="AG74" s="118">
        <v>1</v>
      </c>
      <c r="AH74" s="118">
        <v>1</v>
      </c>
      <c r="AI74" s="118">
        <v>0</v>
      </c>
      <c r="AJ74" s="118">
        <v>0</v>
      </c>
      <c r="AK74" s="118">
        <v>0</v>
      </c>
      <c r="AL74" s="118">
        <v>0</v>
      </c>
      <c r="AM74" s="118">
        <v>0</v>
      </c>
      <c r="AN74" s="118">
        <v>0</v>
      </c>
      <c r="AO74" s="118">
        <v>0</v>
      </c>
      <c r="AP74" s="118">
        <v>0</v>
      </c>
      <c r="AQ74" s="118">
        <v>0</v>
      </c>
      <c r="AR74" s="118">
        <v>0</v>
      </c>
      <c r="AS74" s="118">
        <v>0</v>
      </c>
      <c r="AT74" s="118">
        <v>0</v>
      </c>
      <c r="AU74" s="118">
        <f t="shared" si="9"/>
        <v>0</v>
      </c>
    </row>
    <row r="75" spans="1:50">
      <c r="A75" s="114">
        <v>6</v>
      </c>
      <c r="B75" s="116">
        <v>45926</v>
      </c>
      <c r="E75" s="115" t="s">
        <v>161</v>
      </c>
      <c r="G75" s="115" t="s">
        <v>153</v>
      </c>
      <c r="H75" s="115">
        <v>2</v>
      </c>
      <c r="I75" s="117" t="str">
        <f t="shared" si="8"/>
        <v>AB_2</v>
      </c>
      <c r="J75" s="125" t="s">
        <v>772</v>
      </c>
      <c r="K75" s="127">
        <v>7</v>
      </c>
      <c r="L75" s="125" t="str">
        <f t="shared" si="6"/>
        <v>AB_2_7</v>
      </c>
      <c r="M75" s="125" t="s">
        <v>875</v>
      </c>
      <c r="N75" s="115" t="s">
        <v>88</v>
      </c>
      <c r="O75" s="115" t="s">
        <v>154</v>
      </c>
      <c r="P75" s="115">
        <v>100</v>
      </c>
      <c r="Q75" s="115">
        <v>500</v>
      </c>
      <c r="R75" s="115">
        <v>76</v>
      </c>
      <c r="S75" s="115">
        <v>1</v>
      </c>
      <c r="T75" s="115">
        <v>2</v>
      </c>
      <c r="U75" s="115">
        <v>10.199999999999999</v>
      </c>
      <c r="V75" s="115">
        <v>10.29</v>
      </c>
      <c r="W75" s="118">
        <v>2</v>
      </c>
      <c r="X75" s="118">
        <v>10.47</v>
      </c>
      <c r="Y75" s="118">
        <v>1</v>
      </c>
      <c r="Z75" s="118">
        <v>1</v>
      </c>
      <c r="AA75" s="118">
        <v>1</v>
      </c>
      <c r="AB75" s="118">
        <v>1</v>
      </c>
      <c r="AC75" s="118">
        <v>1</v>
      </c>
      <c r="AD75" s="118">
        <v>1</v>
      </c>
      <c r="AE75" s="118">
        <v>1</v>
      </c>
      <c r="AF75" s="118">
        <v>1</v>
      </c>
      <c r="AG75" s="118">
        <v>1</v>
      </c>
      <c r="AH75" s="118">
        <v>1</v>
      </c>
      <c r="AI75" s="118">
        <v>1</v>
      </c>
      <c r="AJ75" s="118">
        <v>1</v>
      </c>
      <c r="AK75" s="118">
        <v>1</v>
      </c>
      <c r="AL75" s="118">
        <v>1</v>
      </c>
      <c r="AM75" s="118">
        <v>1</v>
      </c>
      <c r="AN75" s="118">
        <v>1</v>
      </c>
      <c r="AO75" s="118">
        <v>1</v>
      </c>
      <c r="AP75" s="118">
        <v>1</v>
      </c>
      <c r="AQ75" s="118">
        <v>1</v>
      </c>
      <c r="AR75" s="118">
        <v>1</v>
      </c>
      <c r="AS75" s="118">
        <v>1</v>
      </c>
      <c r="AT75" s="118">
        <v>1</v>
      </c>
      <c r="AU75" s="115">
        <v>1</v>
      </c>
      <c r="AV75" s="115">
        <v>0</v>
      </c>
      <c r="AW75" s="115" t="s">
        <v>162</v>
      </c>
      <c r="AX75" s="114" t="s">
        <v>67</v>
      </c>
    </row>
    <row r="76" spans="1:50">
      <c r="A76" s="114">
        <v>6</v>
      </c>
      <c r="B76" s="116">
        <v>45926</v>
      </c>
      <c r="E76" s="115" t="s">
        <v>133</v>
      </c>
      <c r="G76" s="115" t="s">
        <v>153</v>
      </c>
      <c r="H76" s="115">
        <v>2</v>
      </c>
      <c r="I76" s="117" t="str">
        <f t="shared" si="8"/>
        <v>AB_2</v>
      </c>
      <c r="J76" s="125" t="s">
        <v>772</v>
      </c>
      <c r="K76" s="127">
        <v>8</v>
      </c>
      <c r="L76" s="125" t="str">
        <f t="shared" si="6"/>
        <v>AB_2_8</v>
      </c>
      <c r="M76" s="125" t="s">
        <v>876</v>
      </c>
      <c r="N76" s="115" t="s">
        <v>88</v>
      </c>
      <c r="O76" s="115" t="s">
        <v>154</v>
      </c>
      <c r="P76" s="115">
        <v>100</v>
      </c>
      <c r="Q76" s="115">
        <v>500</v>
      </c>
      <c r="S76" s="115">
        <v>2</v>
      </c>
      <c r="T76" s="115">
        <v>2</v>
      </c>
      <c r="U76" s="115">
        <v>10.34</v>
      </c>
      <c r="V76" s="115">
        <v>10.41</v>
      </c>
      <c r="W76" s="118">
        <v>2</v>
      </c>
      <c r="X76" s="118">
        <v>10.59</v>
      </c>
      <c r="Y76" s="118">
        <v>2</v>
      </c>
      <c r="Z76" s="118">
        <v>2</v>
      </c>
      <c r="AA76" s="118">
        <v>2</v>
      </c>
      <c r="AB76" s="118">
        <v>2</v>
      </c>
      <c r="AC76" s="118">
        <v>2</v>
      </c>
      <c r="AD76" s="118">
        <v>2</v>
      </c>
      <c r="AE76" s="118">
        <v>2</v>
      </c>
      <c r="AF76" s="118">
        <v>2</v>
      </c>
      <c r="AG76" s="118">
        <v>2</v>
      </c>
      <c r="AH76" s="118">
        <v>2</v>
      </c>
      <c r="AI76" s="118">
        <v>2</v>
      </c>
      <c r="AJ76" s="118">
        <v>2</v>
      </c>
      <c r="AK76" s="118">
        <v>2</v>
      </c>
      <c r="AL76" s="118">
        <v>0</v>
      </c>
      <c r="AM76" s="118">
        <v>0</v>
      </c>
      <c r="AN76" s="118">
        <v>0</v>
      </c>
      <c r="AO76" s="118">
        <v>0</v>
      </c>
      <c r="AP76" s="118">
        <v>0</v>
      </c>
      <c r="AQ76" s="118">
        <v>0</v>
      </c>
      <c r="AR76" s="118">
        <v>0</v>
      </c>
      <c r="AS76" s="118">
        <v>0</v>
      </c>
      <c r="AT76" s="118">
        <v>0</v>
      </c>
      <c r="AU76" s="118">
        <f t="shared" si="9"/>
        <v>0</v>
      </c>
      <c r="AX76" s="208" t="s">
        <v>163</v>
      </c>
    </row>
    <row r="77" spans="1:50">
      <c r="A77" s="114">
        <v>6</v>
      </c>
      <c r="B77" s="116">
        <v>45926</v>
      </c>
      <c r="G77" s="115" t="s">
        <v>158</v>
      </c>
      <c r="H77" s="115">
        <v>2</v>
      </c>
      <c r="I77" s="117" t="str">
        <f t="shared" si="8"/>
        <v>AB_2</v>
      </c>
      <c r="J77" s="125" t="s">
        <v>772</v>
      </c>
      <c r="K77" s="127">
        <v>9</v>
      </c>
      <c r="L77" s="125" t="str">
        <f t="shared" si="6"/>
        <v>AB_2_9</v>
      </c>
      <c r="M77" s="125" t="s">
        <v>877</v>
      </c>
      <c r="N77" s="115" t="s">
        <v>88</v>
      </c>
      <c r="O77" s="115" t="s">
        <v>154</v>
      </c>
      <c r="P77" s="115">
        <v>100</v>
      </c>
      <c r="Q77" s="115">
        <v>500</v>
      </c>
      <c r="S77" s="115">
        <v>3</v>
      </c>
      <c r="T77" s="115">
        <v>1</v>
      </c>
      <c r="U77" s="115">
        <v>10.49</v>
      </c>
      <c r="V77" s="115">
        <v>10.56</v>
      </c>
      <c r="W77" s="118">
        <v>1</v>
      </c>
      <c r="X77" s="118">
        <v>11.14</v>
      </c>
      <c r="Y77" s="118">
        <v>1</v>
      </c>
      <c r="Z77" s="118">
        <v>1</v>
      </c>
      <c r="AA77" s="118">
        <v>1</v>
      </c>
      <c r="AB77" s="118">
        <v>1</v>
      </c>
      <c r="AC77" s="118">
        <v>1</v>
      </c>
      <c r="AD77" s="118">
        <v>1</v>
      </c>
      <c r="AE77" s="118">
        <v>1</v>
      </c>
      <c r="AF77" s="118">
        <v>1</v>
      </c>
      <c r="AG77" s="118">
        <v>1</v>
      </c>
      <c r="AH77" s="118">
        <v>1</v>
      </c>
      <c r="AI77" s="118">
        <v>1</v>
      </c>
      <c r="AJ77" s="118">
        <v>1</v>
      </c>
      <c r="AK77" s="118">
        <v>1</v>
      </c>
      <c r="AL77" s="118">
        <v>1</v>
      </c>
      <c r="AM77" s="118">
        <v>1</v>
      </c>
      <c r="AN77" s="118">
        <v>1</v>
      </c>
      <c r="AO77" s="118">
        <v>1</v>
      </c>
      <c r="AP77" s="118">
        <v>1</v>
      </c>
      <c r="AQ77" s="118">
        <v>1</v>
      </c>
      <c r="AR77" s="118">
        <v>1</v>
      </c>
      <c r="AS77" s="118">
        <v>1</v>
      </c>
      <c r="AT77" s="118">
        <v>1</v>
      </c>
      <c r="AU77" s="118">
        <f t="shared" si="9"/>
        <v>1</v>
      </c>
      <c r="AV77" s="115">
        <v>1</v>
      </c>
      <c r="AW77" s="115" t="s">
        <v>164</v>
      </c>
      <c r="AX77" s="208"/>
    </row>
    <row r="78" spans="1:50">
      <c r="A78" s="114">
        <v>6</v>
      </c>
      <c r="B78" s="116">
        <v>45926</v>
      </c>
      <c r="G78" s="115" t="s">
        <v>158</v>
      </c>
      <c r="H78" s="115">
        <v>2</v>
      </c>
      <c r="I78" s="117" t="str">
        <f t="shared" si="8"/>
        <v>AB_2</v>
      </c>
      <c r="J78" s="125" t="s">
        <v>772</v>
      </c>
      <c r="K78" s="127">
        <v>10</v>
      </c>
      <c r="L78" s="125" t="str">
        <f t="shared" si="6"/>
        <v>AB_2_10</v>
      </c>
      <c r="M78" s="125" t="s">
        <v>878</v>
      </c>
      <c r="N78" s="115" t="s">
        <v>88</v>
      </c>
      <c r="O78" s="115" t="s">
        <v>154</v>
      </c>
      <c r="P78" s="115">
        <v>100</v>
      </c>
      <c r="Q78" s="115">
        <v>500</v>
      </c>
      <c r="S78" s="115">
        <v>4</v>
      </c>
      <c r="T78" s="115">
        <v>5</v>
      </c>
      <c r="U78" s="115">
        <v>11.02</v>
      </c>
      <c r="V78" s="115">
        <v>11.24</v>
      </c>
      <c r="W78" s="118">
        <v>5</v>
      </c>
      <c r="X78" s="118">
        <v>11.43</v>
      </c>
      <c r="Y78" s="118">
        <v>1</v>
      </c>
      <c r="Z78" s="118">
        <v>1</v>
      </c>
      <c r="AA78" s="118">
        <v>1</v>
      </c>
      <c r="AB78" s="118">
        <v>1</v>
      </c>
      <c r="AC78" s="118">
        <v>1</v>
      </c>
      <c r="AD78" s="118">
        <v>1</v>
      </c>
      <c r="AE78" s="118">
        <v>1</v>
      </c>
      <c r="AF78" s="118">
        <v>1</v>
      </c>
      <c r="AG78" s="118">
        <v>1</v>
      </c>
      <c r="AH78" s="118">
        <v>1</v>
      </c>
      <c r="AI78" s="118">
        <v>1</v>
      </c>
      <c r="AJ78" s="118">
        <v>0</v>
      </c>
      <c r="AK78" s="118">
        <v>0</v>
      </c>
      <c r="AL78" s="118">
        <v>0</v>
      </c>
      <c r="AM78" s="118">
        <v>0</v>
      </c>
      <c r="AN78" s="118">
        <v>0</v>
      </c>
      <c r="AO78" s="118">
        <v>0</v>
      </c>
      <c r="AP78" s="118">
        <v>0</v>
      </c>
      <c r="AQ78" s="118">
        <v>0</v>
      </c>
      <c r="AR78" s="118">
        <v>0</v>
      </c>
      <c r="AS78" s="118">
        <v>0</v>
      </c>
      <c r="AT78" s="118">
        <v>0</v>
      </c>
      <c r="AU78" s="118">
        <f t="shared" si="9"/>
        <v>0</v>
      </c>
      <c r="AX78" s="208"/>
    </row>
    <row r="79" spans="1:50">
      <c r="A79" s="114">
        <v>6</v>
      </c>
      <c r="B79" s="116">
        <v>45926</v>
      </c>
      <c r="G79" s="115" t="s">
        <v>158</v>
      </c>
      <c r="H79" s="115">
        <v>2</v>
      </c>
      <c r="I79" s="117" t="str">
        <f t="shared" si="8"/>
        <v>AB_2</v>
      </c>
      <c r="J79" s="125" t="s">
        <v>772</v>
      </c>
      <c r="K79" s="127">
        <v>11</v>
      </c>
      <c r="L79" s="125" t="str">
        <f t="shared" si="6"/>
        <v>AB_2_11</v>
      </c>
      <c r="M79" s="125" t="s">
        <v>879</v>
      </c>
      <c r="N79" s="115" t="s">
        <v>88</v>
      </c>
      <c r="O79" s="115" t="s">
        <v>154</v>
      </c>
      <c r="P79" s="115">
        <v>100</v>
      </c>
      <c r="Q79" s="115">
        <v>500</v>
      </c>
      <c r="S79" s="115">
        <v>5</v>
      </c>
      <c r="T79" s="115">
        <v>6</v>
      </c>
      <c r="U79" s="115">
        <v>11.45</v>
      </c>
      <c r="V79" s="115">
        <v>12.11</v>
      </c>
      <c r="W79" s="118">
        <v>6</v>
      </c>
      <c r="X79" s="118">
        <v>12.26</v>
      </c>
      <c r="Y79" s="118">
        <v>6</v>
      </c>
      <c r="Z79" s="118">
        <v>2</v>
      </c>
      <c r="AA79" s="118">
        <v>2</v>
      </c>
      <c r="AB79" s="118">
        <v>2</v>
      </c>
      <c r="AC79" s="118">
        <v>2</v>
      </c>
      <c r="AD79" s="118">
        <v>2</v>
      </c>
      <c r="AE79" s="118">
        <v>2</v>
      </c>
      <c r="AF79" s="118">
        <v>2</v>
      </c>
      <c r="AG79" s="118">
        <v>2</v>
      </c>
      <c r="AH79" s="118">
        <v>2</v>
      </c>
      <c r="AI79" s="118">
        <v>2</v>
      </c>
      <c r="AJ79" s="118">
        <v>2</v>
      </c>
      <c r="AK79" s="118">
        <v>2</v>
      </c>
      <c r="AL79" s="118">
        <v>2</v>
      </c>
      <c r="AM79" s="118">
        <v>1</v>
      </c>
      <c r="AN79" s="118">
        <v>1</v>
      </c>
      <c r="AO79" s="118">
        <v>1</v>
      </c>
      <c r="AP79" s="118">
        <v>1</v>
      </c>
      <c r="AQ79" s="118">
        <v>1</v>
      </c>
      <c r="AR79" s="118">
        <v>1</v>
      </c>
      <c r="AS79" s="118">
        <v>1</v>
      </c>
      <c r="AT79" s="118">
        <v>1</v>
      </c>
      <c r="AU79" s="118">
        <f t="shared" si="9"/>
        <v>1</v>
      </c>
      <c r="AV79" s="115">
        <v>0</v>
      </c>
      <c r="AW79" s="115" t="s">
        <v>165</v>
      </c>
      <c r="AX79" s="208"/>
    </row>
    <row r="80" spans="1:50">
      <c r="A80" s="114">
        <v>6</v>
      </c>
      <c r="B80" s="116">
        <v>45926</v>
      </c>
      <c r="G80" s="115" t="s">
        <v>158</v>
      </c>
      <c r="H80" s="115">
        <v>2</v>
      </c>
      <c r="I80" s="117" t="str">
        <f t="shared" si="8"/>
        <v>AB_2</v>
      </c>
      <c r="J80" s="125" t="s">
        <v>772</v>
      </c>
      <c r="K80" s="127">
        <v>12</v>
      </c>
      <c r="L80" s="125" t="str">
        <f t="shared" si="6"/>
        <v>AB_2_12</v>
      </c>
      <c r="M80" s="125" t="s">
        <v>880</v>
      </c>
      <c r="N80" s="115" t="s">
        <v>88</v>
      </c>
      <c r="O80" s="115" t="s">
        <v>154</v>
      </c>
      <c r="P80" s="115">
        <v>100</v>
      </c>
      <c r="Q80" s="115">
        <v>500</v>
      </c>
      <c r="S80" s="115">
        <v>6</v>
      </c>
      <c r="T80" s="115">
        <v>6</v>
      </c>
      <c r="U80" s="115">
        <v>12.13</v>
      </c>
      <c r="V80" s="115">
        <v>12.35</v>
      </c>
      <c r="W80" s="118">
        <v>6</v>
      </c>
      <c r="X80" s="118">
        <v>12.5</v>
      </c>
      <c r="Y80" s="118">
        <v>2</v>
      </c>
      <c r="Z80" s="118">
        <v>1</v>
      </c>
      <c r="AA80" s="118">
        <v>1</v>
      </c>
      <c r="AB80" s="118">
        <v>1</v>
      </c>
      <c r="AC80" s="118">
        <v>1</v>
      </c>
      <c r="AD80" s="118">
        <v>1</v>
      </c>
      <c r="AE80" s="118">
        <v>1</v>
      </c>
      <c r="AF80" s="118">
        <v>1</v>
      </c>
      <c r="AG80" s="118">
        <v>1</v>
      </c>
      <c r="AH80" s="118">
        <v>1</v>
      </c>
      <c r="AI80" s="118">
        <v>1</v>
      </c>
      <c r="AJ80" s="118">
        <v>1</v>
      </c>
      <c r="AK80" s="118">
        <v>1</v>
      </c>
      <c r="AL80" s="118">
        <v>0</v>
      </c>
      <c r="AM80" s="118">
        <v>0</v>
      </c>
      <c r="AN80" s="118">
        <v>0</v>
      </c>
      <c r="AO80" s="118">
        <v>0</v>
      </c>
      <c r="AP80" s="118">
        <v>0</v>
      </c>
      <c r="AQ80" s="118">
        <v>0</v>
      </c>
      <c r="AR80" s="118">
        <v>0</v>
      </c>
      <c r="AS80" s="118">
        <v>0</v>
      </c>
      <c r="AT80" s="118">
        <v>0</v>
      </c>
      <c r="AU80" s="118">
        <f t="shared" si="9"/>
        <v>0</v>
      </c>
      <c r="AX80" s="208"/>
    </row>
    <row r="81" spans="1:50">
      <c r="A81" s="114">
        <v>7</v>
      </c>
      <c r="B81" s="116">
        <v>45930</v>
      </c>
      <c r="C81" s="115" t="s">
        <v>166</v>
      </c>
      <c r="D81" s="115" t="s">
        <v>167</v>
      </c>
      <c r="E81" s="115" t="s">
        <v>168</v>
      </c>
      <c r="F81" s="115" t="s">
        <v>144</v>
      </c>
      <c r="G81" s="115" t="s">
        <v>169</v>
      </c>
      <c r="H81" s="115">
        <v>3</v>
      </c>
      <c r="I81" s="117" t="str">
        <f t="shared" ref="I81:I101" si="10">_xlfn.CONCAT(N81 &amp; "_" &amp; H81)</f>
        <v>TU_3</v>
      </c>
      <c r="J81" s="117" t="s">
        <v>793</v>
      </c>
      <c r="K81" s="118">
        <v>1</v>
      </c>
      <c r="L81" s="117" t="str">
        <f t="shared" si="6"/>
        <v>TU_3_1</v>
      </c>
      <c r="M81" s="117" t="s">
        <v>881</v>
      </c>
      <c r="N81" s="115" t="s">
        <v>50</v>
      </c>
      <c r="O81" s="115" t="s">
        <v>170</v>
      </c>
      <c r="P81" s="115">
        <v>100</v>
      </c>
      <c r="Q81" s="115">
        <v>500</v>
      </c>
      <c r="R81" s="115">
        <v>60</v>
      </c>
      <c r="S81" s="115">
        <v>1</v>
      </c>
      <c r="T81" s="115">
        <v>5</v>
      </c>
      <c r="U81" s="115">
        <v>9.49</v>
      </c>
      <c r="V81" s="115">
        <v>10.14</v>
      </c>
      <c r="W81" s="118">
        <v>5</v>
      </c>
      <c r="X81" s="118">
        <v>10.3</v>
      </c>
      <c r="Y81" s="118">
        <v>3</v>
      </c>
      <c r="Z81" s="118">
        <v>3</v>
      </c>
      <c r="AA81" s="118">
        <v>3</v>
      </c>
      <c r="AB81" s="118">
        <v>3</v>
      </c>
      <c r="AC81" s="118">
        <v>3</v>
      </c>
      <c r="AD81" s="118">
        <v>3</v>
      </c>
      <c r="AE81" s="118">
        <v>3</v>
      </c>
      <c r="AF81" s="118">
        <v>3</v>
      </c>
      <c r="AG81" s="118">
        <v>3</v>
      </c>
      <c r="AH81" s="118">
        <v>3</v>
      </c>
      <c r="AI81" s="118">
        <v>3</v>
      </c>
      <c r="AJ81" s="118">
        <v>3</v>
      </c>
      <c r="AK81" s="118">
        <v>3</v>
      </c>
      <c r="AL81" s="118">
        <v>0</v>
      </c>
      <c r="AM81" s="118">
        <v>0</v>
      </c>
      <c r="AN81" s="118">
        <v>0</v>
      </c>
      <c r="AO81" s="118">
        <v>0</v>
      </c>
      <c r="AP81" s="118">
        <v>0</v>
      </c>
      <c r="AQ81" s="118">
        <v>0</v>
      </c>
      <c r="AR81" s="118">
        <v>0</v>
      </c>
      <c r="AS81" s="118">
        <v>0</v>
      </c>
      <c r="AT81" s="118">
        <v>0</v>
      </c>
      <c r="AU81" s="118">
        <f t="shared" si="9"/>
        <v>0</v>
      </c>
      <c r="AX81" s="114" t="s">
        <v>53</v>
      </c>
    </row>
    <row r="82" spans="1:50">
      <c r="A82" s="114">
        <v>7</v>
      </c>
      <c r="B82" s="116">
        <v>45930</v>
      </c>
      <c r="D82" s="115" t="s">
        <v>171</v>
      </c>
      <c r="E82" s="115" t="s">
        <v>172</v>
      </c>
      <c r="G82" s="115" t="s">
        <v>169</v>
      </c>
      <c r="H82" s="115">
        <v>3</v>
      </c>
      <c r="I82" s="117" t="str">
        <f t="shared" si="10"/>
        <v>TU_3</v>
      </c>
      <c r="J82" s="117" t="s">
        <v>793</v>
      </c>
      <c r="K82" s="118">
        <v>2</v>
      </c>
      <c r="L82" s="117" t="str">
        <f t="shared" si="6"/>
        <v>TU_3_2</v>
      </c>
      <c r="M82" s="117" t="s">
        <v>882</v>
      </c>
      <c r="N82" s="115" t="s">
        <v>50</v>
      </c>
      <c r="O82" s="115" t="s">
        <v>170</v>
      </c>
      <c r="P82" s="115">
        <v>100</v>
      </c>
      <c r="Q82" s="115">
        <v>500</v>
      </c>
      <c r="S82" s="115">
        <v>2</v>
      </c>
      <c r="T82" s="115">
        <v>4</v>
      </c>
      <c r="U82" s="115">
        <v>10.220000000000001</v>
      </c>
      <c r="V82" s="115">
        <v>10.38</v>
      </c>
      <c r="W82" s="118">
        <v>4</v>
      </c>
      <c r="X82" s="118">
        <v>10.54</v>
      </c>
      <c r="Y82" s="118">
        <v>3</v>
      </c>
      <c r="Z82" s="118">
        <v>3</v>
      </c>
      <c r="AA82" s="118">
        <v>3</v>
      </c>
      <c r="AB82" s="118">
        <v>3</v>
      </c>
      <c r="AC82" s="118">
        <v>3</v>
      </c>
      <c r="AD82" s="118">
        <v>3</v>
      </c>
      <c r="AE82" s="118">
        <v>3</v>
      </c>
      <c r="AF82" s="118">
        <v>3</v>
      </c>
      <c r="AG82" s="118">
        <v>2</v>
      </c>
      <c r="AH82" s="118">
        <v>2</v>
      </c>
      <c r="AI82" s="118">
        <v>2</v>
      </c>
      <c r="AJ82" s="118">
        <v>2</v>
      </c>
      <c r="AK82" s="118">
        <v>2</v>
      </c>
      <c r="AL82" s="118">
        <v>0</v>
      </c>
      <c r="AM82" s="118">
        <v>0</v>
      </c>
      <c r="AN82" s="118">
        <v>0</v>
      </c>
      <c r="AO82" s="118">
        <v>0</v>
      </c>
      <c r="AP82" s="118">
        <v>0</v>
      </c>
      <c r="AQ82" s="118">
        <v>0</v>
      </c>
      <c r="AR82" s="118">
        <v>0</v>
      </c>
      <c r="AS82" s="118">
        <v>0</v>
      </c>
      <c r="AT82" s="118">
        <v>0</v>
      </c>
      <c r="AU82" s="118">
        <f t="shared" si="9"/>
        <v>0</v>
      </c>
    </row>
    <row r="83" spans="1:50">
      <c r="A83" s="114">
        <v>7</v>
      </c>
      <c r="B83" s="116">
        <v>45930</v>
      </c>
      <c r="E83" s="115" t="s">
        <v>173</v>
      </c>
      <c r="G83" s="115" t="s">
        <v>169</v>
      </c>
      <c r="H83" s="115">
        <v>3</v>
      </c>
      <c r="I83" s="117" t="str">
        <f t="shared" si="10"/>
        <v>TU_3</v>
      </c>
      <c r="J83" s="117" t="s">
        <v>793</v>
      </c>
      <c r="K83" s="118">
        <v>3</v>
      </c>
      <c r="L83" s="117" t="str">
        <f t="shared" si="6"/>
        <v>TU_3_3</v>
      </c>
      <c r="M83" s="117" t="s">
        <v>883</v>
      </c>
      <c r="N83" s="115" t="s">
        <v>50</v>
      </c>
      <c r="O83" s="115" t="s">
        <v>170</v>
      </c>
      <c r="P83" s="115">
        <v>100</v>
      </c>
      <c r="Q83" s="115">
        <v>500</v>
      </c>
      <c r="S83" s="115">
        <v>3</v>
      </c>
      <c r="T83" s="115">
        <v>5</v>
      </c>
      <c r="U83" s="115">
        <v>10.39</v>
      </c>
      <c r="V83" s="115">
        <v>10.56</v>
      </c>
      <c r="W83" s="118">
        <v>5</v>
      </c>
      <c r="X83" s="118">
        <v>11.12</v>
      </c>
      <c r="Y83" s="118">
        <v>3</v>
      </c>
      <c r="Z83" s="118">
        <v>2</v>
      </c>
      <c r="AA83" s="118">
        <v>2</v>
      </c>
      <c r="AB83" s="118">
        <v>2</v>
      </c>
      <c r="AC83" s="118">
        <v>2</v>
      </c>
      <c r="AD83" s="118">
        <v>2</v>
      </c>
      <c r="AE83" s="118">
        <v>2</v>
      </c>
      <c r="AF83" s="118">
        <v>2</v>
      </c>
      <c r="AG83" s="118">
        <v>2</v>
      </c>
      <c r="AH83" s="118">
        <v>2</v>
      </c>
      <c r="AI83" s="118">
        <v>2</v>
      </c>
      <c r="AJ83" s="118">
        <v>2</v>
      </c>
      <c r="AK83" s="118">
        <v>2</v>
      </c>
      <c r="AL83" s="118">
        <v>0</v>
      </c>
      <c r="AM83" s="118">
        <v>0</v>
      </c>
      <c r="AN83" s="118">
        <v>0</v>
      </c>
      <c r="AO83" s="118">
        <v>0</v>
      </c>
      <c r="AP83" s="118">
        <v>0</v>
      </c>
      <c r="AQ83" s="118">
        <v>0</v>
      </c>
      <c r="AR83" s="118">
        <v>0</v>
      </c>
      <c r="AS83" s="118">
        <v>0</v>
      </c>
      <c r="AT83" s="118">
        <v>0</v>
      </c>
      <c r="AU83" s="118">
        <f t="shared" si="9"/>
        <v>0</v>
      </c>
    </row>
    <row r="84" spans="1:50">
      <c r="A84" s="114">
        <v>7</v>
      </c>
      <c r="B84" s="116">
        <v>45930</v>
      </c>
      <c r="E84" s="115" t="s">
        <v>174</v>
      </c>
      <c r="G84" s="115" t="s">
        <v>169</v>
      </c>
      <c r="H84" s="115">
        <v>3</v>
      </c>
      <c r="I84" s="117" t="str">
        <f t="shared" si="10"/>
        <v>TU_3</v>
      </c>
      <c r="J84" s="117" t="s">
        <v>793</v>
      </c>
      <c r="K84" s="118">
        <v>4</v>
      </c>
      <c r="L84" s="117" t="str">
        <f t="shared" si="6"/>
        <v>TU_3_4</v>
      </c>
      <c r="M84" s="117" t="s">
        <v>884</v>
      </c>
      <c r="N84" s="115" t="s">
        <v>50</v>
      </c>
      <c r="O84" s="115" t="s">
        <v>170</v>
      </c>
      <c r="P84" s="115">
        <v>100</v>
      </c>
      <c r="Q84" s="115">
        <v>500</v>
      </c>
      <c r="S84" s="115">
        <v>4</v>
      </c>
      <c r="T84" s="115">
        <v>3</v>
      </c>
      <c r="U84" s="117">
        <v>11.1</v>
      </c>
      <c r="V84" s="115">
        <v>11.22</v>
      </c>
      <c r="W84" s="118">
        <v>3</v>
      </c>
      <c r="X84" s="118">
        <v>11.38</v>
      </c>
      <c r="Y84" s="118">
        <v>1</v>
      </c>
      <c r="Z84" s="118">
        <v>1</v>
      </c>
      <c r="AA84" s="118">
        <v>1</v>
      </c>
      <c r="AB84" s="118">
        <v>1</v>
      </c>
      <c r="AC84" s="118">
        <v>1</v>
      </c>
      <c r="AD84" s="118">
        <v>1</v>
      </c>
      <c r="AE84" s="118">
        <v>1</v>
      </c>
      <c r="AF84" s="118">
        <v>1</v>
      </c>
      <c r="AG84" s="118">
        <v>1</v>
      </c>
      <c r="AH84" s="118">
        <v>1</v>
      </c>
      <c r="AI84" s="118">
        <v>1</v>
      </c>
      <c r="AJ84" s="118">
        <v>1</v>
      </c>
      <c r="AK84" s="118">
        <v>1</v>
      </c>
      <c r="AL84" s="118">
        <v>1</v>
      </c>
      <c r="AM84" s="118">
        <v>0</v>
      </c>
      <c r="AN84" s="118">
        <v>0</v>
      </c>
      <c r="AO84" s="118">
        <v>0</v>
      </c>
      <c r="AP84" s="118">
        <v>0</v>
      </c>
      <c r="AQ84" s="118">
        <v>0</v>
      </c>
      <c r="AR84" s="118">
        <v>0</v>
      </c>
      <c r="AS84" s="118">
        <v>0</v>
      </c>
      <c r="AT84" s="118">
        <v>0</v>
      </c>
      <c r="AU84" s="118">
        <f t="shared" si="9"/>
        <v>0</v>
      </c>
    </row>
    <row r="85" spans="1:50">
      <c r="A85" s="114">
        <v>7</v>
      </c>
      <c r="B85" s="116">
        <v>45930</v>
      </c>
      <c r="G85" s="115" t="s">
        <v>169</v>
      </c>
      <c r="H85" s="115">
        <v>3</v>
      </c>
      <c r="I85" s="117" t="str">
        <f t="shared" si="10"/>
        <v>TU_3</v>
      </c>
      <c r="J85" s="117" t="s">
        <v>793</v>
      </c>
      <c r="K85" s="118">
        <v>5</v>
      </c>
      <c r="L85" s="117" t="str">
        <f t="shared" si="6"/>
        <v>TU_3_5</v>
      </c>
      <c r="M85" s="117" t="s">
        <v>885</v>
      </c>
      <c r="N85" s="115" t="s">
        <v>50</v>
      </c>
      <c r="O85" s="115" t="s">
        <v>170</v>
      </c>
      <c r="P85" s="115">
        <v>100</v>
      </c>
      <c r="Q85" s="115">
        <v>500</v>
      </c>
      <c r="S85" s="115">
        <v>5</v>
      </c>
      <c r="T85" s="115">
        <v>6</v>
      </c>
      <c r="U85" s="115">
        <v>11.22</v>
      </c>
      <c r="V85" s="117">
        <v>11.4</v>
      </c>
      <c r="W85" s="118">
        <v>6</v>
      </c>
      <c r="X85" s="118">
        <v>12.03</v>
      </c>
      <c r="Y85" s="118">
        <v>3</v>
      </c>
      <c r="Z85" s="118">
        <v>3</v>
      </c>
      <c r="AA85" s="118">
        <v>2</v>
      </c>
      <c r="AB85" s="118">
        <v>2</v>
      </c>
      <c r="AC85" s="118">
        <v>2</v>
      </c>
      <c r="AD85" s="118">
        <v>2</v>
      </c>
      <c r="AE85" s="118">
        <v>2</v>
      </c>
      <c r="AF85" s="118">
        <v>2</v>
      </c>
      <c r="AG85" s="118">
        <v>2</v>
      </c>
      <c r="AH85" s="118">
        <v>2</v>
      </c>
      <c r="AI85" s="118">
        <v>2</v>
      </c>
      <c r="AJ85" s="118">
        <v>2</v>
      </c>
      <c r="AK85" s="118">
        <v>2</v>
      </c>
      <c r="AL85" s="118">
        <v>2</v>
      </c>
      <c r="AM85" s="118">
        <v>1</v>
      </c>
      <c r="AN85" s="118">
        <v>0</v>
      </c>
      <c r="AO85" s="118">
        <v>0</v>
      </c>
      <c r="AP85" s="118">
        <v>0</v>
      </c>
      <c r="AQ85" s="118">
        <v>0</v>
      </c>
      <c r="AR85" s="118">
        <v>0</v>
      </c>
      <c r="AS85" s="118">
        <v>0</v>
      </c>
      <c r="AT85" s="118">
        <v>0</v>
      </c>
      <c r="AU85" s="118">
        <f t="shared" si="9"/>
        <v>0</v>
      </c>
    </row>
    <row r="86" spans="1:50">
      <c r="A86" s="114">
        <v>7</v>
      </c>
      <c r="B86" s="116">
        <v>45930</v>
      </c>
      <c r="G86" s="115" t="s">
        <v>169</v>
      </c>
      <c r="H86" s="115">
        <v>3</v>
      </c>
      <c r="I86" s="117" t="str">
        <f t="shared" si="10"/>
        <v>TU_3</v>
      </c>
      <c r="J86" s="117" t="s">
        <v>793</v>
      </c>
      <c r="K86" s="118">
        <v>6</v>
      </c>
      <c r="L86" s="117" t="str">
        <f t="shared" si="6"/>
        <v>TU_3_6</v>
      </c>
      <c r="M86" s="117" t="s">
        <v>886</v>
      </c>
      <c r="N86" s="115" t="s">
        <v>50</v>
      </c>
      <c r="O86" s="115" t="s">
        <v>170</v>
      </c>
      <c r="P86" s="115">
        <v>100</v>
      </c>
      <c r="Q86" s="115">
        <v>500</v>
      </c>
      <c r="S86" s="115">
        <v>6</v>
      </c>
      <c r="T86" s="115">
        <v>6</v>
      </c>
      <c r="U86" s="115">
        <v>11.48</v>
      </c>
      <c r="V86" s="115">
        <v>12.04</v>
      </c>
      <c r="W86" s="118">
        <v>6</v>
      </c>
      <c r="X86" s="118">
        <v>12.21</v>
      </c>
      <c r="Y86" s="118">
        <v>4</v>
      </c>
      <c r="Z86" s="118">
        <v>4</v>
      </c>
      <c r="AA86" s="118">
        <v>4</v>
      </c>
      <c r="AB86" s="118">
        <v>2</v>
      </c>
      <c r="AC86" s="118">
        <v>2</v>
      </c>
      <c r="AD86" s="118">
        <v>2</v>
      </c>
      <c r="AE86" s="118">
        <v>2</v>
      </c>
      <c r="AF86" s="118">
        <v>2</v>
      </c>
      <c r="AG86" s="118">
        <v>2</v>
      </c>
      <c r="AH86" s="118">
        <v>2</v>
      </c>
      <c r="AI86" s="118">
        <v>2</v>
      </c>
      <c r="AJ86" s="118">
        <v>2</v>
      </c>
      <c r="AK86" s="118">
        <v>2</v>
      </c>
      <c r="AL86" s="118">
        <v>0</v>
      </c>
      <c r="AM86" s="118">
        <v>0</v>
      </c>
      <c r="AN86" s="118">
        <v>0</v>
      </c>
      <c r="AO86" s="118">
        <v>0</v>
      </c>
      <c r="AP86" s="118">
        <v>0</v>
      </c>
      <c r="AQ86" s="118">
        <v>0</v>
      </c>
      <c r="AR86" s="118">
        <v>0</v>
      </c>
      <c r="AS86" s="118">
        <v>0</v>
      </c>
      <c r="AT86" s="118">
        <v>0</v>
      </c>
      <c r="AU86" s="118">
        <f t="shared" si="9"/>
        <v>0</v>
      </c>
    </row>
    <row r="87" spans="1:50">
      <c r="A87" s="114">
        <v>7</v>
      </c>
      <c r="B87" s="116">
        <v>45930</v>
      </c>
      <c r="G87" s="115" t="s">
        <v>169</v>
      </c>
      <c r="H87" s="115">
        <v>3</v>
      </c>
      <c r="I87" s="117" t="str">
        <f t="shared" si="10"/>
        <v>TU_3</v>
      </c>
      <c r="J87" s="117" t="s">
        <v>793</v>
      </c>
      <c r="K87" s="118">
        <v>7</v>
      </c>
      <c r="L87" s="117" t="str">
        <f t="shared" si="6"/>
        <v>TU_3_7</v>
      </c>
      <c r="M87" s="117" t="s">
        <v>887</v>
      </c>
      <c r="N87" s="115" t="s">
        <v>50</v>
      </c>
      <c r="O87" s="115" t="s">
        <v>170</v>
      </c>
      <c r="P87" s="115">
        <v>100</v>
      </c>
      <c r="Q87" s="115">
        <v>500</v>
      </c>
      <c r="S87" s="115">
        <v>7</v>
      </c>
      <c r="T87" s="115">
        <v>5</v>
      </c>
      <c r="U87" s="115">
        <v>12.05</v>
      </c>
      <c r="V87" s="117">
        <v>12.2</v>
      </c>
      <c r="W87" s="118">
        <v>5</v>
      </c>
      <c r="X87" s="118">
        <v>12.37</v>
      </c>
      <c r="Y87" s="118">
        <v>1</v>
      </c>
      <c r="Z87" s="118">
        <v>1</v>
      </c>
      <c r="AA87" s="118">
        <v>1</v>
      </c>
      <c r="AB87" s="118">
        <v>1</v>
      </c>
      <c r="AC87" s="118">
        <v>1</v>
      </c>
      <c r="AD87" s="118">
        <v>1</v>
      </c>
      <c r="AE87" s="118">
        <v>1</v>
      </c>
      <c r="AF87" s="118">
        <v>1</v>
      </c>
      <c r="AG87" s="118">
        <v>1</v>
      </c>
      <c r="AH87" s="118">
        <v>1</v>
      </c>
      <c r="AI87" s="118">
        <v>0</v>
      </c>
      <c r="AJ87" s="118">
        <v>0</v>
      </c>
      <c r="AK87" s="118">
        <v>0</v>
      </c>
      <c r="AL87" s="118">
        <v>0</v>
      </c>
      <c r="AM87" s="118">
        <v>0</v>
      </c>
      <c r="AN87" s="118">
        <v>0</v>
      </c>
      <c r="AO87" s="118">
        <v>0</v>
      </c>
      <c r="AP87" s="118">
        <v>0</v>
      </c>
      <c r="AQ87" s="118">
        <v>0</v>
      </c>
      <c r="AR87" s="118">
        <v>0</v>
      </c>
      <c r="AS87" s="118">
        <v>0</v>
      </c>
      <c r="AT87" s="118">
        <v>0</v>
      </c>
      <c r="AU87" s="118">
        <f t="shared" si="9"/>
        <v>0</v>
      </c>
    </row>
    <row r="88" spans="1:50">
      <c r="A88" s="114">
        <v>7</v>
      </c>
      <c r="B88" s="116">
        <v>45930</v>
      </c>
      <c r="G88" s="115" t="s">
        <v>169</v>
      </c>
      <c r="H88" s="115">
        <v>3</v>
      </c>
      <c r="I88" s="117" t="str">
        <f t="shared" si="10"/>
        <v>TU_3</v>
      </c>
      <c r="J88" s="117" t="s">
        <v>793</v>
      </c>
      <c r="K88" s="118">
        <v>8</v>
      </c>
      <c r="L88" s="117" t="str">
        <f t="shared" ref="L88:L151" si="11">_xlfn.CONCAT(J88 &amp; "_" &amp; K88)</f>
        <v>TU_3_8</v>
      </c>
      <c r="M88" s="117" t="s">
        <v>888</v>
      </c>
      <c r="N88" s="115" t="s">
        <v>50</v>
      </c>
      <c r="O88" s="115" t="s">
        <v>170</v>
      </c>
      <c r="P88" s="115">
        <v>100</v>
      </c>
      <c r="Q88" s="115">
        <v>500</v>
      </c>
      <c r="R88" s="115">
        <v>76</v>
      </c>
      <c r="S88" s="115">
        <v>1</v>
      </c>
      <c r="T88" s="115">
        <v>4</v>
      </c>
      <c r="U88" s="115">
        <v>10.15</v>
      </c>
      <c r="V88" s="115">
        <v>10.34</v>
      </c>
      <c r="W88" s="118">
        <v>4</v>
      </c>
      <c r="X88" s="118">
        <v>10.52</v>
      </c>
      <c r="Y88" s="118">
        <v>1</v>
      </c>
      <c r="Z88" s="118">
        <v>0</v>
      </c>
      <c r="AA88" s="118">
        <v>0</v>
      </c>
      <c r="AB88" s="118">
        <v>0</v>
      </c>
      <c r="AC88" s="118">
        <v>0</v>
      </c>
      <c r="AD88" s="118">
        <v>0</v>
      </c>
      <c r="AE88" s="118">
        <v>0</v>
      </c>
      <c r="AF88" s="118">
        <v>0</v>
      </c>
      <c r="AG88" s="118">
        <v>0</v>
      </c>
      <c r="AH88" s="118">
        <v>0</v>
      </c>
      <c r="AI88" s="118">
        <v>0</v>
      </c>
      <c r="AJ88" s="118">
        <v>0</v>
      </c>
      <c r="AK88" s="118">
        <v>0</v>
      </c>
      <c r="AL88" s="118">
        <v>0</v>
      </c>
      <c r="AM88" s="118">
        <v>0</v>
      </c>
      <c r="AN88" s="118">
        <v>0</v>
      </c>
      <c r="AO88" s="118">
        <v>0</v>
      </c>
      <c r="AP88" s="118">
        <v>0</v>
      </c>
      <c r="AQ88" s="118">
        <v>0</v>
      </c>
      <c r="AR88" s="118">
        <v>0</v>
      </c>
      <c r="AS88" s="118">
        <v>0</v>
      </c>
      <c r="AT88" s="118">
        <v>0</v>
      </c>
      <c r="AU88" s="118">
        <f t="shared" si="9"/>
        <v>0</v>
      </c>
      <c r="AX88" s="114" t="s">
        <v>67</v>
      </c>
    </row>
    <row r="89" spans="1:50">
      <c r="A89" s="114">
        <v>7</v>
      </c>
      <c r="B89" s="116">
        <v>45930</v>
      </c>
      <c r="G89" s="115" t="s">
        <v>169</v>
      </c>
      <c r="H89" s="115">
        <v>3</v>
      </c>
      <c r="I89" s="117" t="str">
        <f t="shared" si="10"/>
        <v>TU_3</v>
      </c>
      <c r="J89" s="117" t="s">
        <v>793</v>
      </c>
      <c r="K89" s="118">
        <v>9</v>
      </c>
      <c r="L89" s="117" t="str">
        <f t="shared" si="11"/>
        <v>TU_3_9</v>
      </c>
      <c r="M89" s="117" t="s">
        <v>889</v>
      </c>
      <c r="N89" s="115" t="s">
        <v>50</v>
      </c>
      <c r="O89" s="115" t="s">
        <v>170</v>
      </c>
      <c r="P89" s="115">
        <v>100</v>
      </c>
      <c r="Q89" s="115">
        <v>500</v>
      </c>
      <c r="S89" s="115">
        <v>2</v>
      </c>
      <c r="T89" s="115">
        <v>3</v>
      </c>
      <c r="U89" s="115">
        <v>10.45</v>
      </c>
      <c r="V89" s="115">
        <v>10.58</v>
      </c>
      <c r="W89" s="118">
        <v>3</v>
      </c>
      <c r="X89" s="118">
        <v>11.14</v>
      </c>
      <c r="Y89" s="118">
        <v>1</v>
      </c>
      <c r="Z89" s="118">
        <v>1</v>
      </c>
      <c r="AA89" s="118">
        <v>1</v>
      </c>
      <c r="AB89" s="118">
        <v>1</v>
      </c>
      <c r="AC89" s="118">
        <v>1</v>
      </c>
      <c r="AD89" s="118">
        <v>1</v>
      </c>
      <c r="AE89" s="118">
        <v>1</v>
      </c>
      <c r="AF89" s="118">
        <v>1</v>
      </c>
      <c r="AG89" s="118">
        <v>1</v>
      </c>
      <c r="AH89" s="118">
        <v>1</v>
      </c>
      <c r="AI89" s="118">
        <v>1</v>
      </c>
      <c r="AJ89" s="118">
        <v>1</v>
      </c>
      <c r="AK89" s="118">
        <v>1</v>
      </c>
      <c r="AL89" s="118">
        <v>1</v>
      </c>
      <c r="AM89" s="118">
        <v>1</v>
      </c>
      <c r="AN89" s="118">
        <v>1</v>
      </c>
      <c r="AO89" s="118">
        <v>0</v>
      </c>
      <c r="AP89" s="118">
        <v>0</v>
      </c>
      <c r="AQ89" s="118">
        <v>0</v>
      </c>
      <c r="AR89" s="118">
        <v>0</v>
      </c>
      <c r="AS89" s="118">
        <v>0</v>
      </c>
      <c r="AT89" s="118">
        <v>0</v>
      </c>
      <c r="AU89" s="118">
        <f t="shared" si="9"/>
        <v>0</v>
      </c>
    </row>
    <row r="90" spans="1:50">
      <c r="A90" s="114">
        <v>7</v>
      </c>
      <c r="B90" s="116">
        <v>45930</v>
      </c>
      <c r="G90" s="115" t="s">
        <v>169</v>
      </c>
      <c r="H90" s="115">
        <v>3</v>
      </c>
      <c r="I90" s="117" t="str">
        <f t="shared" si="10"/>
        <v>TU_3</v>
      </c>
      <c r="J90" s="117" t="s">
        <v>793</v>
      </c>
      <c r="K90" s="118">
        <v>10</v>
      </c>
      <c r="L90" s="117" t="str">
        <f t="shared" si="11"/>
        <v>TU_3_10</v>
      </c>
      <c r="M90" s="117" t="s">
        <v>890</v>
      </c>
      <c r="N90" s="115" t="s">
        <v>50</v>
      </c>
      <c r="O90" s="115" t="s">
        <v>170</v>
      </c>
      <c r="P90" s="115">
        <v>100</v>
      </c>
      <c r="Q90" s="115">
        <v>500</v>
      </c>
      <c r="S90" s="115">
        <v>3</v>
      </c>
      <c r="T90" s="115">
        <v>3</v>
      </c>
      <c r="U90" s="115">
        <v>11</v>
      </c>
      <c r="V90" s="115">
        <v>11.12</v>
      </c>
      <c r="W90" s="118">
        <v>3</v>
      </c>
      <c r="X90" s="118">
        <v>11.28</v>
      </c>
      <c r="Y90" s="118">
        <v>1</v>
      </c>
      <c r="Z90" s="118">
        <v>1</v>
      </c>
      <c r="AA90" s="118">
        <v>1</v>
      </c>
      <c r="AB90" s="118">
        <v>1</v>
      </c>
      <c r="AC90" s="118">
        <v>1</v>
      </c>
      <c r="AD90" s="118">
        <v>1</v>
      </c>
      <c r="AE90" s="118">
        <v>1</v>
      </c>
      <c r="AF90" s="118">
        <v>1</v>
      </c>
      <c r="AG90" s="118">
        <v>1</v>
      </c>
      <c r="AH90" s="118">
        <v>1</v>
      </c>
      <c r="AI90" s="118">
        <v>1</v>
      </c>
      <c r="AJ90" s="118">
        <v>1</v>
      </c>
      <c r="AK90" s="118">
        <v>1</v>
      </c>
      <c r="AL90" s="118">
        <v>1</v>
      </c>
      <c r="AM90" s="118">
        <v>1</v>
      </c>
      <c r="AN90" s="118">
        <v>0</v>
      </c>
      <c r="AO90" s="118">
        <v>0</v>
      </c>
      <c r="AP90" s="118">
        <v>0</v>
      </c>
      <c r="AQ90" s="118">
        <v>0</v>
      </c>
      <c r="AR90" s="118">
        <v>0</v>
      </c>
      <c r="AS90" s="118">
        <v>0</v>
      </c>
      <c r="AT90" s="118">
        <v>0</v>
      </c>
      <c r="AU90" s="118">
        <f t="shared" si="9"/>
        <v>0</v>
      </c>
    </row>
    <row r="91" spans="1:50">
      <c r="A91" s="114">
        <v>7</v>
      </c>
      <c r="B91" s="116">
        <v>45930</v>
      </c>
      <c r="G91" s="115" t="s">
        <v>169</v>
      </c>
      <c r="H91" s="115">
        <v>3</v>
      </c>
      <c r="I91" s="117" t="str">
        <f t="shared" si="10"/>
        <v>TU_3</v>
      </c>
      <c r="J91" s="117" t="s">
        <v>793</v>
      </c>
      <c r="K91" s="118">
        <v>11</v>
      </c>
      <c r="L91" s="117" t="str">
        <f t="shared" si="11"/>
        <v>TU_3_11</v>
      </c>
      <c r="M91" s="117" t="s">
        <v>891</v>
      </c>
      <c r="N91" s="115" t="s">
        <v>50</v>
      </c>
      <c r="O91" s="115" t="s">
        <v>170</v>
      </c>
      <c r="P91" s="115">
        <v>100</v>
      </c>
      <c r="Q91" s="115">
        <v>500</v>
      </c>
      <c r="S91" s="115">
        <v>4</v>
      </c>
      <c r="T91" s="115">
        <v>2</v>
      </c>
      <c r="U91" s="115">
        <v>11.14</v>
      </c>
      <c r="V91" s="115">
        <v>11.23</v>
      </c>
      <c r="W91" s="118">
        <v>2</v>
      </c>
      <c r="X91" s="118">
        <v>11.39</v>
      </c>
      <c r="Y91" s="118">
        <v>2</v>
      </c>
      <c r="Z91" s="118">
        <v>2</v>
      </c>
      <c r="AA91" s="118">
        <v>2</v>
      </c>
      <c r="AB91" s="118">
        <v>2</v>
      </c>
      <c r="AC91" s="118">
        <v>2</v>
      </c>
      <c r="AD91" s="118">
        <v>2</v>
      </c>
      <c r="AE91" s="118">
        <v>2</v>
      </c>
      <c r="AF91" s="118">
        <v>2</v>
      </c>
      <c r="AG91" s="118">
        <v>2</v>
      </c>
      <c r="AH91" s="118">
        <v>2</v>
      </c>
      <c r="AI91" s="118">
        <v>2</v>
      </c>
      <c r="AJ91" s="118">
        <v>2</v>
      </c>
      <c r="AK91" s="118">
        <v>2</v>
      </c>
      <c r="AL91" s="118">
        <v>2</v>
      </c>
      <c r="AM91" s="118">
        <v>1</v>
      </c>
      <c r="AN91" s="118">
        <v>0</v>
      </c>
      <c r="AO91" s="118">
        <v>0</v>
      </c>
      <c r="AP91" s="118">
        <v>0</v>
      </c>
      <c r="AQ91" s="118">
        <v>0</v>
      </c>
      <c r="AR91" s="118">
        <v>0</v>
      </c>
      <c r="AS91" s="118">
        <v>0</v>
      </c>
      <c r="AT91" s="118">
        <v>0</v>
      </c>
      <c r="AU91" s="118">
        <f t="shared" si="9"/>
        <v>0</v>
      </c>
    </row>
    <row r="92" spans="1:50">
      <c r="A92" s="114">
        <v>7</v>
      </c>
      <c r="B92" s="116">
        <v>45930</v>
      </c>
      <c r="G92" s="115" t="s">
        <v>169</v>
      </c>
      <c r="H92" s="115">
        <v>3</v>
      </c>
      <c r="I92" s="117" t="str">
        <f t="shared" si="10"/>
        <v>TU_3</v>
      </c>
      <c r="J92" s="117" t="s">
        <v>793</v>
      </c>
      <c r="K92" s="118">
        <v>12</v>
      </c>
      <c r="L92" s="117" t="str">
        <f t="shared" si="11"/>
        <v>TU_3_12</v>
      </c>
      <c r="M92" s="117" t="s">
        <v>892</v>
      </c>
      <c r="N92" s="115" t="s">
        <v>50</v>
      </c>
      <c r="O92" s="115" t="s">
        <v>170</v>
      </c>
      <c r="P92" s="115">
        <v>100</v>
      </c>
      <c r="Q92" s="115">
        <v>500</v>
      </c>
      <c r="S92" s="115">
        <v>5</v>
      </c>
      <c r="T92" s="115">
        <v>3</v>
      </c>
      <c r="U92" s="115">
        <v>11.32</v>
      </c>
      <c r="V92" s="115">
        <v>11.45</v>
      </c>
      <c r="W92" s="118">
        <v>3</v>
      </c>
      <c r="X92" s="118">
        <v>12.02</v>
      </c>
      <c r="Y92" s="118">
        <v>2</v>
      </c>
      <c r="Z92" s="118">
        <v>2</v>
      </c>
      <c r="AA92" s="118">
        <v>2</v>
      </c>
      <c r="AB92" s="118">
        <v>2</v>
      </c>
      <c r="AC92" s="118">
        <v>2</v>
      </c>
      <c r="AD92" s="118">
        <v>2</v>
      </c>
      <c r="AE92" s="118">
        <v>1</v>
      </c>
      <c r="AF92" s="118">
        <v>1</v>
      </c>
      <c r="AG92" s="118">
        <v>1</v>
      </c>
      <c r="AH92" s="118">
        <v>1</v>
      </c>
      <c r="AI92" s="118">
        <v>1</v>
      </c>
      <c r="AJ92" s="118">
        <v>1</v>
      </c>
      <c r="AK92" s="118">
        <v>1</v>
      </c>
      <c r="AL92" s="118">
        <v>1</v>
      </c>
      <c r="AM92" s="118">
        <v>1</v>
      </c>
      <c r="AN92" s="118">
        <v>0</v>
      </c>
      <c r="AO92" s="118">
        <v>0</v>
      </c>
      <c r="AP92" s="118">
        <v>0</v>
      </c>
      <c r="AQ92" s="118">
        <v>0</v>
      </c>
      <c r="AR92" s="118">
        <v>0</v>
      </c>
      <c r="AS92" s="118">
        <v>0</v>
      </c>
      <c r="AT92" s="118">
        <v>0</v>
      </c>
      <c r="AU92" s="118">
        <f t="shared" si="9"/>
        <v>0</v>
      </c>
    </row>
    <row r="93" spans="1:50">
      <c r="A93" s="114">
        <v>7</v>
      </c>
      <c r="B93" s="116">
        <v>45930</v>
      </c>
      <c r="G93" s="115" t="s">
        <v>169</v>
      </c>
      <c r="H93" s="115">
        <v>3</v>
      </c>
      <c r="I93" s="117" t="str">
        <f t="shared" si="10"/>
        <v>TU_3</v>
      </c>
      <c r="J93" s="117" t="s">
        <v>793</v>
      </c>
      <c r="K93" s="118">
        <v>13</v>
      </c>
      <c r="L93" s="117" t="str">
        <f t="shared" si="11"/>
        <v>TU_3_13</v>
      </c>
      <c r="M93" s="117" t="s">
        <v>893</v>
      </c>
      <c r="N93" s="115" t="s">
        <v>50</v>
      </c>
      <c r="O93" s="115" t="s">
        <v>170</v>
      </c>
      <c r="P93" s="115">
        <v>100</v>
      </c>
      <c r="Q93" s="115">
        <v>500</v>
      </c>
      <c r="S93" s="115">
        <v>6</v>
      </c>
      <c r="T93" s="115">
        <v>3</v>
      </c>
      <c r="U93" s="115">
        <v>11.46</v>
      </c>
      <c r="V93" s="115">
        <v>11.59</v>
      </c>
      <c r="W93" s="118">
        <v>3</v>
      </c>
      <c r="X93" s="118">
        <v>12.15</v>
      </c>
      <c r="Y93" s="118">
        <v>1</v>
      </c>
      <c r="Z93" s="118">
        <v>1</v>
      </c>
      <c r="AA93" s="118">
        <v>1</v>
      </c>
      <c r="AB93" s="118">
        <v>1</v>
      </c>
      <c r="AC93" s="118">
        <v>1</v>
      </c>
      <c r="AD93" s="118">
        <v>1</v>
      </c>
      <c r="AE93" s="118">
        <v>1</v>
      </c>
      <c r="AF93" s="118">
        <v>1</v>
      </c>
      <c r="AG93" s="118">
        <v>1</v>
      </c>
      <c r="AH93" s="118">
        <v>1</v>
      </c>
      <c r="AI93" s="118">
        <v>1</v>
      </c>
      <c r="AJ93" s="118">
        <v>1</v>
      </c>
      <c r="AK93" s="118">
        <v>1</v>
      </c>
      <c r="AL93" s="118">
        <v>1</v>
      </c>
      <c r="AM93" s="118">
        <v>1</v>
      </c>
      <c r="AN93" s="118">
        <v>1</v>
      </c>
      <c r="AO93" s="118">
        <v>1</v>
      </c>
      <c r="AP93" s="118">
        <v>1</v>
      </c>
      <c r="AQ93" s="118">
        <v>0</v>
      </c>
      <c r="AR93" s="118">
        <v>0</v>
      </c>
      <c r="AS93" s="118">
        <v>0</v>
      </c>
      <c r="AT93" s="118">
        <v>0</v>
      </c>
      <c r="AU93" s="118">
        <f t="shared" si="9"/>
        <v>0</v>
      </c>
    </row>
    <row r="94" spans="1:50">
      <c r="A94" s="114">
        <v>7</v>
      </c>
      <c r="B94" s="116">
        <v>45930</v>
      </c>
      <c r="G94" s="115" t="s">
        <v>169</v>
      </c>
      <c r="H94" s="115">
        <v>3</v>
      </c>
      <c r="I94" s="117" t="str">
        <f t="shared" si="10"/>
        <v>TU_3</v>
      </c>
      <c r="J94" s="117" t="s">
        <v>793</v>
      </c>
      <c r="K94" s="118">
        <v>14</v>
      </c>
      <c r="L94" s="117" t="str">
        <f t="shared" si="11"/>
        <v>TU_3_14</v>
      </c>
      <c r="M94" s="117" t="s">
        <v>894</v>
      </c>
      <c r="N94" s="115" t="s">
        <v>50</v>
      </c>
      <c r="O94" s="115" t="s">
        <v>170</v>
      </c>
      <c r="P94" s="115">
        <v>100</v>
      </c>
      <c r="Q94" s="115">
        <v>500</v>
      </c>
      <c r="S94" s="115">
        <v>7</v>
      </c>
      <c r="T94" s="115">
        <v>4</v>
      </c>
      <c r="U94" s="115">
        <v>12.09</v>
      </c>
      <c r="V94" s="115">
        <v>12.2</v>
      </c>
      <c r="W94" s="118">
        <v>4</v>
      </c>
      <c r="X94" s="118">
        <v>12.37</v>
      </c>
      <c r="Y94" s="118">
        <v>3</v>
      </c>
      <c r="Z94" s="118">
        <v>3</v>
      </c>
      <c r="AA94" s="118">
        <v>3</v>
      </c>
      <c r="AB94" s="118">
        <v>3</v>
      </c>
      <c r="AC94" s="118">
        <v>3</v>
      </c>
      <c r="AD94" s="118">
        <v>3</v>
      </c>
      <c r="AE94" s="118">
        <v>3</v>
      </c>
      <c r="AF94" s="118">
        <v>3</v>
      </c>
      <c r="AG94" s="118">
        <v>3</v>
      </c>
      <c r="AH94" s="118">
        <v>3</v>
      </c>
      <c r="AI94" s="118">
        <v>1</v>
      </c>
      <c r="AJ94" s="118">
        <v>1</v>
      </c>
      <c r="AK94" s="118">
        <v>1</v>
      </c>
      <c r="AL94" s="118">
        <v>0</v>
      </c>
      <c r="AM94" s="118">
        <v>0</v>
      </c>
      <c r="AN94" s="118">
        <v>0</v>
      </c>
      <c r="AO94" s="118">
        <v>0</v>
      </c>
      <c r="AP94" s="118">
        <v>0</v>
      </c>
      <c r="AQ94" s="118">
        <v>0</v>
      </c>
      <c r="AR94" s="118">
        <v>0</v>
      </c>
      <c r="AS94" s="118">
        <v>0</v>
      </c>
      <c r="AT94" s="118">
        <v>0</v>
      </c>
      <c r="AU94" s="118">
        <f t="shared" si="9"/>
        <v>0</v>
      </c>
    </row>
    <row r="95" spans="1:50">
      <c r="A95" s="114">
        <v>7</v>
      </c>
      <c r="B95" s="116">
        <v>45930</v>
      </c>
      <c r="G95" s="115" t="s">
        <v>169</v>
      </c>
      <c r="H95" s="115">
        <v>3</v>
      </c>
      <c r="I95" s="117" t="str">
        <f t="shared" si="10"/>
        <v>TU_3</v>
      </c>
      <c r="J95" s="117" t="s">
        <v>793</v>
      </c>
      <c r="K95" s="118">
        <v>15</v>
      </c>
      <c r="L95" s="117" t="str">
        <f t="shared" si="11"/>
        <v>TU_3_15</v>
      </c>
      <c r="M95" s="117" t="s">
        <v>895</v>
      </c>
      <c r="N95" s="115" t="s">
        <v>50</v>
      </c>
      <c r="O95" s="115" t="s">
        <v>170</v>
      </c>
      <c r="P95" s="115">
        <v>100</v>
      </c>
      <c r="Q95" s="115">
        <v>500</v>
      </c>
      <c r="S95" s="115" t="s">
        <v>115</v>
      </c>
      <c r="T95" s="115">
        <v>4</v>
      </c>
      <c r="U95" s="115" t="s">
        <v>117</v>
      </c>
      <c r="V95" s="115" t="s">
        <v>117</v>
      </c>
      <c r="W95" s="118">
        <v>4</v>
      </c>
      <c r="X95" s="118" t="s">
        <v>117</v>
      </c>
      <c r="Y95" s="118">
        <v>1</v>
      </c>
      <c r="Z95" s="118">
        <v>1</v>
      </c>
      <c r="AA95" s="118">
        <v>1</v>
      </c>
      <c r="AB95" s="118">
        <v>1</v>
      </c>
      <c r="AC95" s="118">
        <v>1</v>
      </c>
      <c r="AD95" s="118">
        <v>1</v>
      </c>
      <c r="AE95" s="118">
        <v>1</v>
      </c>
      <c r="AF95" s="118">
        <v>1</v>
      </c>
      <c r="AG95" s="118">
        <v>1</v>
      </c>
      <c r="AH95" s="118">
        <v>1</v>
      </c>
      <c r="AI95" s="118">
        <v>1</v>
      </c>
      <c r="AJ95" s="118">
        <v>1</v>
      </c>
      <c r="AK95" s="118">
        <v>1</v>
      </c>
      <c r="AL95" s="118">
        <v>1</v>
      </c>
      <c r="AM95" s="118">
        <v>1</v>
      </c>
      <c r="AN95" s="118">
        <v>1</v>
      </c>
      <c r="AO95" s="118">
        <v>1</v>
      </c>
      <c r="AP95" s="118">
        <v>1</v>
      </c>
      <c r="AQ95" s="118">
        <v>1</v>
      </c>
      <c r="AR95" s="118">
        <v>1</v>
      </c>
      <c r="AS95" s="118">
        <v>0</v>
      </c>
      <c r="AT95" s="118">
        <v>0</v>
      </c>
      <c r="AU95" s="118">
        <f t="shared" si="9"/>
        <v>0</v>
      </c>
    </row>
    <row r="96" spans="1:50">
      <c r="A96" s="114">
        <v>7</v>
      </c>
      <c r="B96" s="116">
        <v>45930</v>
      </c>
      <c r="G96" s="115" t="s">
        <v>169</v>
      </c>
      <c r="H96" s="115">
        <v>3</v>
      </c>
      <c r="I96" s="117" t="str">
        <f t="shared" si="10"/>
        <v>TU_3</v>
      </c>
      <c r="J96" s="117" t="s">
        <v>793</v>
      </c>
      <c r="K96" s="118">
        <v>16</v>
      </c>
      <c r="L96" s="117" t="str">
        <f t="shared" si="11"/>
        <v>TU_3_16</v>
      </c>
      <c r="M96" s="117" t="s">
        <v>896</v>
      </c>
      <c r="N96" s="115" t="s">
        <v>50</v>
      </c>
      <c r="O96" s="115" t="s">
        <v>170</v>
      </c>
      <c r="P96" s="115">
        <v>100</v>
      </c>
      <c r="Q96" s="115">
        <v>500</v>
      </c>
      <c r="S96" s="115" t="s">
        <v>118</v>
      </c>
      <c r="T96" s="115">
        <v>5</v>
      </c>
      <c r="U96" s="115" t="s">
        <v>117</v>
      </c>
      <c r="V96" s="115" t="s">
        <v>117</v>
      </c>
      <c r="W96" s="118">
        <v>5</v>
      </c>
      <c r="X96" s="118">
        <v>10.51</v>
      </c>
      <c r="Y96" s="118">
        <v>5</v>
      </c>
      <c r="Z96" s="118">
        <v>5</v>
      </c>
      <c r="AA96" s="118">
        <v>5</v>
      </c>
      <c r="AB96" s="118">
        <v>5</v>
      </c>
      <c r="AC96" s="118">
        <v>5</v>
      </c>
      <c r="AD96" s="118">
        <v>5</v>
      </c>
      <c r="AE96" s="118">
        <v>5</v>
      </c>
      <c r="AF96" s="118">
        <v>5</v>
      </c>
      <c r="AG96" s="118">
        <v>5</v>
      </c>
      <c r="AH96" s="118">
        <v>5</v>
      </c>
      <c r="AI96" s="118">
        <v>5</v>
      </c>
      <c r="AJ96" s="118">
        <v>5</v>
      </c>
      <c r="AK96" s="118">
        <v>5</v>
      </c>
      <c r="AL96" s="118">
        <v>5</v>
      </c>
      <c r="AM96" s="118">
        <v>3</v>
      </c>
      <c r="AN96" s="118">
        <v>1</v>
      </c>
      <c r="AO96" s="118">
        <v>1</v>
      </c>
      <c r="AP96" s="118">
        <v>1</v>
      </c>
      <c r="AQ96" s="118">
        <v>1</v>
      </c>
      <c r="AR96" s="118">
        <v>0</v>
      </c>
      <c r="AS96" s="118">
        <v>0</v>
      </c>
      <c r="AT96" s="118">
        <v>0</v>
      </c>
      <c r="AU96" s="118">
        <f t="shared" si="9"/>
        <v>0</v>
      </c>
    </row>
    <row r="97" spans="1:50">
      <c r="A97" s="114">
        <v>7</v>
      </c>
      <c r="B97" s="116">
        <v>45930</v>
      </c>
      <c r="G97" s="115" t="s">
        <v>169</v>
      </c>
      <c r="H97" s="115">
        <v>3</v>
      </c>
      <c r="I97" s="117" t="str">
        <f t="shared" si="10"/>
        <v>TU_3</v>
      </c>
      <c r="J97" s="117" t="s">
        <v>793</v>
      </c>
      <c r="K97" s="118">
        <v>17</v>
      </c>
      <c r="L97" s="117" t="str">
        <f t="shared" si="11"/>
        <v>TU_3_17</v>
      </c>
      <c r="M97" s="117" t="s">
        <v>897</v>
      </c>
      <c r="N97" s="115" t="s">
        <v>50</v>
      </c>
      <c r="O97" s="115" t="s">
        <v>170</v>
      </c>
      <c r="P97" s="115">
        <v>100</v>
      </c>
      <c r="Q97" s="115">
        <v>500</v>
      </c>
      <c r="S97" s="115" t="s">
        <v>119</v>
      </c>
      <c r="T97" s="115">
        <v>4</v>
      </c>
      <c r="U97" s="115" t="s">
        <v>117</v>
      </c>
      <c r="V97" s="115" t="s">
        <v>117</v>
      </c>
      <c r="W97" s="118">
        <v>4</v>
      </c>
      <c r="X97" s="118">
        <v>11.1</v>
      </c>
      <c r="Y97" s="118">
        <v>0</v>
      </c>
      <c r="Z97" s="118">
        <v>0</v>
      </c>
      <c r="AA97" s="118">
        <v>0</v>
      </c>
      <c r="AB97" s="118">
        <v>0</v>
      </c>
      <c r="AC97" s="118">
        <v>0</v>
      </c>
      <c r="AD97" s="118">
        <v>0</v>
      </c>
      <c r="AE97" s="118">
        <v>0</v>
      </c>
      <c r="AF97" s="118">
        <v>0</v>
      </c>
      <c r="AG97" s="118">
        <v>0</v>
      </c>
      <c r="AH97" s="118">
        <v>0</v>
      </c>
      <c r="AI97" s="118">
        <v>0</v>
      </c>
      <c r="AJ97" s="118">
        <v>0</v>
      </c>
      <c r="AK97" s="118">
        <v>0</v>
      </c>
      <c r="AL97" s="118">
        <v>0</v>
      </c>
      <c r="AM97" s="118">
        <v>0</v>
      </c>
      <c r="AN97" s="118">
        <v>0</v>
      </c>
      <c r="AO97" s="118">
        <v>0</v>
      </c>
      <c r="AP97" s="118">
        <v>0</v>
      </c>
      <c r="AQ97" s="118">
        <v>0</v>
      </c>
      <c r="AR97" s="118">
        <v>0</v>
      </c>
      <c r="AS97" s="118">
        <v>0</v>
      </c>
      <c r="AT97" s="118">
        <v>0</v>
      </c>
      <c r="AU97" s="118">
        <f t="shared" si="9"/>
        <v>0</v>
      </c>
    </row>
    <row r="98" spans="1:50">
      <c r="A98" s="114">
        <v>7</v>
      </c>
      <c r="B98" s="116">
        <v>45930</v>
      </c>
      <c r="G98" s="115" t="s">
        <v>169</v>
      </c>
      <c r="H98" s="115">
        <v>3</v>
      </c>
      <c r="I98" s="117" t="str">
        <f t="shared" si="10"/>
        <v>TU_3</v>
      </c>
      <c r="J98" s="117" t="s">
        <v>793</v>
      </c>
      <c r="K98" s="118">
        <v>18</v>
      </c>
      <c r="L98" s="117" t="str">
        <f t="shared" si="11"/>
        <v>TU_3_18</v>
      </c>
      <c r="M98" s="117" t="s">
        <v>898</v>
      </c>
      <c r="N98" s="115" t="s">
        <v>50</v>
      </c>
      <c r="O98" s="115" t="s">
        <v>170</v>
      </c>
      <c r="P98" s="115">
        <v>100</v>
      </c>
      <c r="Q98" s="115">
        <v>500</v>
      </c>
      <c r="S98" s="115" t="s">
        <v>120</v>
      </c>
      <c r="T98" s="115">
        <v>4</v>
      </c>
      <c r="U98" s="115" t="s">
        <v>117</v>
      </c>
      <c r="V98" s="115" t="s">
        <v>117</v>
      </c>
      <c r="W98" s="118">
        <v>4</v>
      </c>
      <c r="X98" s="118">
        <v>11.4</v>
      </c>
      <c r="Y98" s="118">
        <v>0</v>
      </c>
      <c r="Z98" s="118">
        <v>0</v>
      </c>
      <c r="AA98" s="118">
        <v>0</v>
      </c>
      <c r="AB98" s="118">
        <v>0</v>
      </c>
      <c r="AC98" s="118">
        <v>0</v>
      </c>
      <c r="AD98" s="118">
        <v>0</v>
      </c>
      <c r="AE98" s="118">
        <v>0</v>
      </c>
      <c r="AF98" s="118">
        <v>0</v>
      </c>
      <c r="AG98" s="118">
        <v>0</v>
      </c>
      <c r="AH98" s="118">
        <v>0</v>
      </c>
      <c r="AI98" s="118">
        <v>0</v>
      </c>
      <c r="AJ98" s="118">
        <v>0</v>
      </c>
      <c r="AK98" s="118">
        <v>0</v>
      </c>
      <c r="AL98" s="118">
        <v>0</v>
      </c>
      <c r="AM98" s="118">
        <v>0</v>
      </c>
      <c r="AN98" s="118">
        <v>0</v>
      </c>
      <c r="AO98" s="118">
        <v>0</v>
      </c>
      <c r="AP98" s="118">
        <v>0</v>
      </c>
      <c r="AQ98" s="118">
        <v>0</v>
      </c>
      <c r="AR98" s="118">
        <v>0</v>
      </c>
      <c r="AS98" s="118">
        <v>0</v>
      </c>
      <c r="AT98" s="118">
        <v>0</v>
      </c>
      <c r="AU98" s="118">
        <f t="shared" si="9"/>
        <v>0</v>
      </c>
    </row>
    <row r="99" spans="1:50">
      <c r="A99" s="114">
        <v>7</v>
      </c>
      <c r="B99" s="116">
        <v>45930</v>
      </c>
      <c r="G99" s="115" t="s">
        <v>169</v>
      </c>
      <c r="H99" s="115">
        <v>3</v>
      </c>
      <c r="I99" s="117" t="str">
        <f t="shared" si="10"/>
        <v>TU_3</v>
      </c>
      <c r="J99" s="117" t="s">
        <v>793</v>
      </c>
      <c r="K99" s="118">
        <v>19</v>
      </c>
      <c r="L99" s="117" t="str">
        <f t="shared" si="11"/>
        <v>TU_3_19</v>
      </c>
      <c r="M99" s="117" t="s">
        <v>899</v>
      </c>
      <c r="N99" s="115" t="s">
        <v>50</v>
      </c>
      <c r="O99" s="115" t="s">
        <v>170</v>
      </c>
      <c r="P99" s="115">
        <v>100</v>
      </c>
      <c r="Q99" s="115">
        <v>500</v>
      </c>
      <c r="S99" s="115" t="s">
        <v>121</v>
      </c>
      <c r="T99" s="115">
        <v>4</v>
      </c>
      <c r="U99" s="115" t="s">
        <v>117</v>
      </c>
      <c r="V99" s="115" t="s">
        <v>117</v>
      </c>
      <c r="W99" s="118">
        <v>4</v>
      </c>
      <c r="X99" s="118">
        <v>12.01</v>
      </c>
      <c r="Y99" s="118">
        <v>0</v>
      </c>
      <c r="Z99" s="118">
        <v>0</v>
      </c>
      <c r="AA99" s="118">
        <v>0</v>
      </c>
      <c r="AB99" s="118">
        <v>0</v>
      </c>
      <c r="AC99" s="118">
        <v>0</v>
      </c>
      <c r="AD99" s="118">
        <v>0</v>
      </c>
      <c r="AE99" s="118">
        <v>0</v>
      </c>
      <c r="AF99" s="118">
        <v>0</v>
      </c>
      <c r="AG99" s="118">
        <v>0</v>
      </c>
      <c r="AH99" s="118">
        <v>0</v>
      </c>
      <c r="AI99" s="118">
        <v>0</v>
      </c>
      <c r="AJ99" s="118">
        <v>0</v>
      </c>
      <c r="AK99" s="118">
        <v>0</v>
      </c>
      <c r="AL99" s="118">
        <v>0</v>
      </c>
      <c r="AM99" s="118">
        <v>0</v>
      </c>
      <c r="AN99" s="118">
        <v>0</v>
      </c>
      <c r="AO99" s="118">
        <v>0</v>
      </c>
      <c r="AP99" s="118">
        <v>0</v>
      </c>
      <c r="AQ99" s="118">
        <v>0</v>
      </c>
      <c r="AR99" s="118">
        <v>0</v>
      </c>
      <c r="AS99" s="118">
        <v>0</v>
      </c>
      <c r="AT99" s="118">
        <v>0</v>
      </c>
      <c r="AU99" s="118">
        <f t="shared" si="9"/>
        <v>0</v>
      </c>
    </row>
    <row r="100" spans="1:50">
      <c r="A100" s="114">
        <v>7</v>
      </c>
      <c r="B100" s="116">
        <v>45930</v>
      </c>
      <c r="G100" s="115" t="s">
        <v>169</v>
      </c>
      <c r="H100" s="115">
        <v>3</v>
      </c>
      <c r="I100" s="117" t="str">
        <f t="shared" si="10"/>
        <v>TU_3</v>
      </c>
      <c r="J100" s="117" t="s">
        <v>793</v>
      </c>
      <c r="K100" s="118">
        <v>20</v>
      </c>
      <c r="L100" s="117" t="str">
        <f t="shared" si="11"/>
        <v>TU_3_20</v>
      </c>
      <c r="M100" s="117" t="s">
        <v>900</v>
      </c>
      <c r="N100" s="115" t="s">
        <v>50</v>
      </c>
      <c r="O100" s="115" t="s">
        <v>170</v>
      </c>
      <c r="P100" s="115">
        <v>100</v>
      </c>
      <c r="Q100" s="115">
        <v>500</v>
      </c>
      <c r="S100" s="115" t="s">
        <v>175</v>
      </c>
      <c r="T100" s="115">
        <v>5</v>
      </c>
      <c r="U100" s="115" t="s">
        <v>117</v>
      </c>
      <c r="V100" s="115" t="s">
        <v>117</v>
      </c>
      <c r="W100" s="118">
        <v>5</v>
      </c>
      <c r="X100" s="118">
        <v>12.2</v>
      </c>
      <c r="Y100" s="118">
        <v>2</v>
      </c>
      <c r="Z100" s="118">
        <v>2</v>
      </c>
      <c r="AA100" s="118">
        <v>2</v>
      </c>
      <c r="AB100" s="118">
        <v>2</v>
      </c>
      <c r="AC100" s="118">
        <v>2</v>
      </c>
      <c r="AD100" s="118">
        <v>2</v>
      </c>
      <c r="AE100" s="118">
        <v>2</v>
      </c>
      <c r="AF100" s="118">
        <v>2</v>
      </c>
      <c r="AG100" s="118">
        <v>2</v>
      </c>
      <c r="AH100" s="118">
        <v>2</v>
      </c>
      <c r="AI100" s="118">
        <v>2</v>
      </c>
      <c r="AJ100" s="118">
        <v>2</v>
      </c>
      <c r="AK100" s="118">
        <v>2</v>
      </c>
      <c r="AL100" s="118">
        <v>0</v>
      </c>
      <c r="AM100" s="118">
        <v>0</v>
      </c>
      <c r="AN100" s="118">
        <v>0</v>
      </c>
      <c r="AO100" s="118">
        <v>0</v>
      </c>
      <c r="AP100" s="118">
        <v>0</v>
      </c>
      <c r="AQ100" s="118">
        <v>0</v>
      </c>
      <c r="AR100" s="118">
        <v>0</v>
      </c>
      <c r="AS100" s="118">
        <v>0</v>
      </c>
      <c r="AT100" s="118">
        <v>0</v>
      </c>
      <c r="AU100" s="118">
        <f t="shared" si="9"/>
        <v>0</v>
      </c>
    </row>
    <row r="101" spans="1:50">
      <c r="A101" s="114">
        <v>7</v>
      </c>
      <c r="B101" s="116">
        <v>45930</v>
      </c>
      <c r="G101" s="115" t="s">
        <v>169</v>
      </c>
      <c r="H101" s="115">
        <v>3</v>
      </c>
      <c r="I101" s="117" t="str">
        <f t="shared" si="10"/>
        <v>TU_3</v>
      </c>
      <c r="J101" s="117" t="s">
        <v>793</v>
      </c>
      <c r="K101" s="118">
        <v>21</v>
      </c>
      <c r="L101" s="117" t="str">
        <f t="shared" si="11"/>
        <v>TU_3_21</v>
      </c>
      <c r="M101" s="117" t="s">
        <v>901</v>
      </c>
      <c r="N101" s="115" t="s">
        <v>50</v>
      </c>
      <c r="O101" s="115" t="s">
        <v>170</v>
      </c>
      <c r="P101" s="115">
        <v>100</v>
      </c>
      <c r="Q101" s="115">
        <v>500</v>
      </c>
      <c r="S101" s="115" t="s">
        <v>176</v>
      </c>
      <c r="T101" s="115">
        <v>3</v>
      </c>
      <c r="U101" s="115" t="s">
        <v>117</v>
      </c>
      <c r="V101" s="115" t="s">
        <v>117</v>
      </c>
      <c r="W101" s="118">
        <v>3</v>
      </c>
      <c r="X101" s="118">
        <v>12.34</v>
      </c>
      <c r="Y101" s="118">
        <v>0</v>
      </c>
      <c r="Z101" s="118">
        <v>0</v>
      </c>
      <c r="AA101" s="118">
        <v>0</v>
      </c>
      <c r="AB101" s="118">
        <v>0</v>
      </c>
      <c r="AC101" s="118">
        <v>0</v>
      </c>
      <c r="AD101" s="118">
        <v>0</v>
      </c>
      <c r="AE101" s="118">
        <v>0</v>
      </c>
      <c r="AF101" s="118">
        <v>0</v>
      </c>
      <c r="AG101" s="118">
        <v>0</v>
      </c>
      <c r="AH101" s="118">
        <v>0</v>
      </c>
      <c r="AI101" s="118">
        <v>0</v>
      </c>
      <c r="AJ101" s="118">
        <v>0</v>
      </c>
      <c r="AK101" s="118">
        <v>0</v>
      </c>
      <c r="AL101" s="118">
        <v>0</v>
      </c>
      <c r="AM101" s="118">
        <v>0</v>
      </c>
      <c r="AN101" s="118">
        <v>0</v>
      </c>
      <c r="AO101" s="118">
        <v>0</v>
      </c>
      <c r="AP101" s="118">
        <v>0</v>
      </c>
      <c r="AQ101" s="118">
        <v>0</v>
      </c>
      <c r="AR101" s="118">
        <v>0</v>
      </c>
      <c r="AS101" s="118">
        <v>0</v>
      </c>
      <c r="AT101" s="118">
        <v>0</v>
      </c>
      <c r="AU101" s="118">
        <f t="shared" si="9"/>
        <v>0</v>
      </c>
    </row>
    <row r="102" spans="1:50">
      <c r="A102" s="114">
        <v>8</v>
      </c>
      <c r="B102" s="116">
        <v>45932</v>
      </c>
      <c r="C102" s="115" t="s">
        <v>166</v>
      </c>
      <c r="D102" s="115" t="s">
        <v>177</v>
      </c>
      <c r="E102" s="115" t="s">
        <v>178</v>
      </c>
      <c r="F102" s="115" t="s">
        <v>144</v>
      </c>
      <c r="G102" s="115" t="s">
        <v>179</v>
      </c>
      <c r="H102" s="115">
        <v>3</v>
      </c>
      <c r="I102" s="117" t="str">
        <f t="shared" ref="I102:I128" si="12">_xlfn.CONCAT(N102 &amp; "_" &amp; H102)</f>
        <v>NHGRI_3</v>
      </c>
      <c r="J102" s="123" t="s">
        <v>782</v>
      </c>
      <c r="K102" s="124">
        <v>1</v>
      </c>
      <c r="L102" s="123" t="str">
        <f t="shared" si="11"/>
        <v>NHGRI_3_1</v>
      </c>
      <c r="M102" s="123" t="s">
        <v>902</v>
      </c>
      <c r="N102" s="115" t="s">
        <v>86</v>
      </c>
      <c r="O102" s="115" t="s">
        <v>180</v>
      </c>
      <c r="P102" s="115">
        <v>100</v>
      </c>
      <c r="Q102" s="115">
        <v>500</v>
      </c>
      <c r="R102" s="115">
        <v>60</v>
      </c>
      <c r="S102" s="128">
        <v>1</v>
      </c>
      <c r="T102" s="128">
        <v>6</v>
      </c>
      <c r="U102" s="128">
        <v>10.050000000000001</v>
      </c>
      <c r="V102" s="128">
        <v>10.3</v>
      </c>
      <c r="W102" s="129">
        <v>6</v>
      </c>
      <c r="X102" s="129">
        <v>10.45</v>
      </c>
      <c r="Y102" s="129">
        <v>4</v>
      </c>
      <c r="Z102" s="129">
        <v>4</v>
      </c>
      <c r="AA102" s="129">
        <v>4</v>
      </c>
      <c r="AB102" s="129">
        <v>4</v>
      </c>
      <c r="AC102" s="129">
        <v>4</v>
      </c>
      <c r="AD102" s="129">
        <v>4</v>
      </c>
      <c r="AE102" s="129">
        <v>4</v>
      </c>
      <c r="AF102" s="129">
        <v>4</v>
      </c>
      <c r="AG102" s="129">
        <v>4</v>
      </c>
      <c r="AH102" s="129">
        <v>4</v>
      </c>
      <c r="AI102" s="129">
        <v>4</v>
      </c>
      <c r="AJ102" s="129">
        <v>1</v>
      </c>
      <c r="AK102" s="129">
        <v>1</v>
      </c>
      <c r="AL102" s="118">
        <v>0</v>
      </c>
      <c r="AM102" s="118">
        <v>0</v>
      </c>
      <c r="AN102" s="118">
        <v>0</v>
      </c>
      <c r="AO102" s="118">
        <v>0</v>
      </c>
      <c r="AP102" s="118">
        <v>0</v>
      </c>
      <c r="AQ102" s="118">
        <v>0</v>
      </c>
      <c r="AR102" s="118">
        <v>0</v>
      </c>
      <c r="AS102" s="118">
        <v>0</v>
      </c>
      <c r="AT102" s="118">
        <v>0</v>
      </c>
      <c r="AU102" s="118">
        <f t="shared" si="9"/>
        <v>0</v>
      </c>
      <c r="AV102" s="128"/>
      <c r="AX102" s="114" t="s">
        <v>53</v>
      </c>
    </row>
    <row r="103" spans="1:50">
      <c r="A103" s="114">
        <v>8</v>
      </c>
      <c r="B103" s="116">
        <v>45932</v>
      </c>
      <c r="D103" s="115" t="s">
        <v>181</v>
      </c>
      <c r="E103" s="115" t="s">
        <v>182</v>
      </c>
      <c r="G103" s="115" t="s">
        <v>179</v>
      </c>
      <c r="H103" s="115">
        <v>3</v>
      </c>
      <c r="I103" s="117" t="str">
        <f t="shared" si="12"/>
        <v>NHGRI_3</v>
      </c>
      <c r="J103" s="123" t="s">
        <v>782</v>
      </c>
      <c r="K103" s="124">
        <v>2</v>
      </c>
      <c r="L103" s="123" t="str">
        <f t="shared" si="11"/>
        <v>NHGRI_3_2</v>
      </c>
      <c r="M103" s="123" t="s">
        <v>903</v>
      </c>
      <c r="N103" s="115" t="s">
        <v>86</v>
      </c>
      <c r="O103" s="115" t="s">
        <v>180</v>
      </c>
      <c r="P103" s="115">
        <v>100</v>
      </c>
      <c r="Q103" s="115">
        <v>500</v>
      </c>
      <c r="S103" s="128">
        <v>2</v>
      </c>
      <c r="T103" s="128">
        <v>4</v>
      </c>
      <c r="U103" s="128">
        <v>10.31</v>
      </c>
      <c r="V103" s="128">
        <v>10.47</v>
      </c>
      <c r="W103" s="129">
        <v>4</v>
      </c>
      <c r="X103" s="129">
        <v>11.03</v>
      </c>
      <c r="Y103" s="129">
        <v>2</v>
      </c>
      <c r="Z103" s="129">
        <v>2</v>
      </c>
      <c r="AA103" s="129">
        <v>2</v>
      </c>
      <c r="AB103" s="129">
        <v>2</v>
      </c>
      <c r="AC103" s="118">
        <v>0</v>
      </c>
      <c r="AD103" s="118">
        <v>0</v>
      </c>
      <c r="AE103" s="118">
        <v>0</v>
      </c>
      <c r="AF103" s="118">
        <v>0</v>
      </c>
      <c r="AG103" s="118">
        <v>0</v>
      </c>
      <c r="AH103" s="118">
        <v>0</v>
      </c>
      <c r="AI103" s="118">
        <v>0</v>
      </c>
      <c r="AJ103" s="118">
        <v>0</v>
      </c>
      <c r="AK103" s="118">
        <v>0</v>
      </c>
      <c r="AL103" s="118">
        <v>0</v>
      </c>
      <c r="AM103" s="118">
        <v>0</v>
      </c>
      <c r="AN103" s="118">
        <v>0</v>
      </c>
      <c r="AO103" s="118">
        <v>0</v>
      </c>
      <c r="AP103" s="118">
        <v>0</v>
      </c>
      <c r="AQ103" s="118">
        <v>0</v>
      </c>
      <c r="AR103" s="118">
        <v>0</v>
      </c>
      <c r="AS103" s="118">
        <v>0</v>
      </c>
      <c r="AT103" s="118">
        <v>0</v>
      </c>
      <c r="AU103" s="118">
        <f t="shared" si="9"/>
        <v>0</v>
      </c>
      <c r="AV103" s="128"/>
    </row>
    <row r="104" spans="1:50">
      <c r="A104" s="114">
        <v>8</v>
      </c>
      <c r="B104" s="116">
        <v>45932</v>
      </c>
      <c r="E104" s="115" t="s">
        <v>183</v>
      </c>
      <c r="G104" s="115" t="s">
        <v>179</v>
      </c>
      <c r="H104" s="115">
        <v>3</v>
      </c>
      <c r="I104" s="117" t="str">
        <f t="shared" si="12"/>
        <v>NHGRI_3</v>
      </c>
      <c r="J104" s="123" t="s">
        <v>782</v>
      </c>
      <c r="K104" s="124">
        <v>3</v>
      </c>
      <c r="L104" s="123" t="str">
        <f t="shared" si="11"/>
        <v>NHGRI_3_3</v>
      </c>
      <c r="M104" s="123" t="s">
        <v>904</v>
      </c>
      <c r="N104" s="115" t="s">
        <v>86</v>
      </c>
      <c r="O104" s="115" t="s">
        <v>180</v>
      </c>
      <c r="P104" s="115">
        <v>100</v>
      </c>
      <c r="Q104" s="115">
        <v>500</v>
      </c>
      <c r="S104" s="128">
        <v>3</v>
      </c>
      <c r="T104" s="128">
        <v>6</v>
      </c>
      <c r="U104" s="128">
        <v>10.48</v>
      </c>
      <c r="V104" s="128">
        <v>11.13</v>
      </c>
      <c r="W104" s="129">
        <v>6</v>
      </c>
      <c r="X104" s="129">
        <v>11.29</v>
      </c>
      <c r="Y104" s="129">
        <v>3</v>
      </c>
      <c r="Z104" s="129">
        <v>3</v>
      </c>
      <c r="AA104" s="129">
        <v>3</v>
      </c>
      <c r="AB104" s="129">
        <v>3</v>
      </c>
      <c r="AC104" s="129">
        <v>3</v>
      </c>
      <c r="AD104" s="129">
        <v>3</v>
      </c>
      <c r="AE104" s="129">
        <v>3</v>
      </c>
      <c r="AF104" s="129">
        <v>3</v>
      </c>
      <c r="AG104" s="129">
        <v>3</v>
      </c>
      <c r="AH104" s="129">
        <v>3</v>
      </c>
      <c r="AI104" s="129">
        <v>3</v>
      </c>
      <c r="AJ104" s="129">
        <v>2</v>
      </c>
      <c r="AK104" s="129">
        <v>2</v>
      </c>
      <c r="AL104" s="129">
        <v>2</v>
      </c>
      <c r="AM104" s="129">
        <v>1</v>
      </c>
      <c r="AN104" s="129">
        <v>1</v>
      </c>
      <c r="AO104" s="129">
        <v>1</v>
      </c>
      <c r="AP104" s="129">
        <v>1</v>
      </c>
      <c r="AQ104" s="118">
        <v>0</v>
      </c>
      <c r="AR104" s="118">
        <v>0</v>
      </c>
      <c r="AS104" s="118">
        <v>0</v>
      </c>
      <c r="AT104" s="118">
        <v>0</v>
      </c>
      <c r="AU104" s="118">
        <f t="shared" si="9"/>
        <v>0</v>
      </c>
      <c r="AV104" s="128"/>
    </row>
    <row r="105" spans="1:50">
      <c r="A105" s="114">
        <v>8</v>
      </c>
      <c r="B105" s="116">
        <v>45932</v>
      </c>
      <c r="E105" s="115" t="s">
        <v>182</v>
      </c>
      <c r="G105" s="115" t="s">
        <v>179</v>
      </c>
      <c r="H105" s="115">
        <v>3</v>
      </c>
      <c r="I105" s="117" t="str">
        <f t="shared" si="12"/>
        <v>NHGRI_3</v>
      </c>
      <c r="J105" s="123" t="s">
        <v>782</v>
      </c>
      <c r="K105" s="124">
        <v>4</v>
      </c>
      <c r="L105" s="123" t="str">
        <f t="shared" si="11"/>
        <v>NHGRI_3_4</v>
      </c>
      <c r="M105" s="123" t="s">
        <v>905</v>
      </c>
      <c r="N105" s="115" t="s">
        <v>86</v>
      </c>
      <c r="O105" s="115" t="s">
        <v>180</v>
      </c>
      <c r="P105" s="115">
        <v>100</v>
      </c>
      <c r="Q105" s="115">
        <v>500</v>
      </c>
      <c r="S105" s="128">
        <v>4</v>
      </c>
      <c r="T105" s="128">
        <v>5</v>
      </c>
      <c r="U105" s="128">
        <v>11.15</v>
      </c>
      <c r="V105" s="128">
        <v>11.38</v>
      </c>
      <c r="W105" s="129">
        <v>5</v>
      </c>
      <c r="X105" s="129">
        <v>11.53</v>
      </c>
      <c r="Y105" s="129">
        <v>4</v>
      </c>
      <c r="Z105" s="129">
        <v>4</v>
      </c>
      <c r="AA105" s="129">
        <v>4</v>
      </c>
      <c r="AB105" s="129">
        <v>4</v>
      </c>
      <c r="AC105" s="129">
        <v>4</v>
      </c>
      <c r="AD105" s="129">
        <v>4</v>
      </c>
      <c r="AE105" s="129">
        <v>2</v>
      </c>
      <c r="AF105" s="129">
        <v>2</v>
      </c>
      <c r="AG105" s="129">
        <v>2</v>
      </c>
      <c r="AH105" s="129">
        <v>2</v>
      </c>
      <c r="AI105" s="118">
        <v>0</v>
      </c>
      <c r="AJ105" s="118">
        <v>0</v>
      </c>
      <c r="AK105" s="118">
        <v>0</v>
      </c>
      <c r="AL105" s="118">
        <v>0</v>
      </c>
      <c r="AM105" s="118">
        <v>0</v>
      </c>
      <c r="AN105" s="118">
        <v>0</v>
      </c>
      <c r="AO105" s="118">
        <v>0</v>
      </c>
      <c r="AP105" s="118">
        <v>0</v>
      </c>
      <c r="AQ105" s="118">
        <v>0</v>
      </c>
      <c r="AR105" s="118">
        <v>0</v>
      </c>
      <c r="AS105" s="118">
        <v>0</v>
      </c>
      <c r="AT105" s="129">
        <v>0</v>
      </c>
      <c r="AU105" s="118">
        <f t="shared" si="9"/>
        <v>0</v>
      </c>
      <c r="AV105" s="128"/>
    </row>
    <row r="106" spans="1:50">
      <c r="A106" s="114">
        <v>8</v>
      </c>
      <c r="B106" s="116">
        <v>45932</v>
      </c>
      <c r="G106" s="115" t="s">
        <v>179</v>
      </c>
      <c r="H106" s="115">
        <v>3</v>
      </c>
      <c r="I106" s="117" t="str">
        <f t="shared" si="12"/>
        <v>NHGRI_3</v>
      </c>
      <c r="J106" s="117" t="s">
        <v>782</v>
      </c>
      <c r="K106" s="124">
        <v>5</v>
      </c>
      <c r="L106" s="123" t="str">
        <f t="shared" si="11"/>
        <v>NHGRI_3_5</v>
      </c>
      <c r="M106" s="117" t="s">
        <v>906</v>
      </c>
      <c r="N106" s="115" t="s">
        <v>86</v>
      </c>
      <c r="O106" s="115" t="s">
        <v>180</v>
      </c>
      <c r="P106" s="115">
        <v>100</v>
      </c>
      <c r="Q106" s="115">
        <v>500</v>
      </c>
      <c r="S106" s="128">
        <v>5</v>
      </c>
      <c r="T106" s="128">
        <v>6</v>
      </c>
      <c r="U106" s="128">
        <v>11.39</v>
      </c>
      <c r="V106" s="128">
        <v>12.18</v>
      </c>
      <c r="W106" s="129">
        <v>6</v>
      </c>
      <c r="X106" s="129">
        <v>12.33</v>
      </c>
      <c r="Y106" s="129">
        <v>6</v>
      </c>
      <c r="Z106" s="129">
        <v>4</v>
      </c>
      <c r="AA106" s="129">
        <v>4</v>
      </c>
      <c r="AB106" s="129">
        <v>4</v>
      </c>
      <c r="AC106" s="129">
        <v>4</v>
      </c>
      <c r="AD106" s="129">
        <v>4</v>
      </c>
      <c r="AE106" s="129">
        <v>4</v>
      </c>
      <c r="AF106" s="129">
        <v>3</v>
      </c>
      <c r="AG106" s="129">
        <v>3</v>
      </c>
      <c r="AH106" s="129">
        <v>3</v>
      </c>
      <c r="AI106" s="129">
        <v>3</v>
      </c>
      <c r="AJ106" s="129">
        <v>3</v>
      </c>
      <c r="AK106" s="129">
        <v>2</v>
      </c>
      <c r="AL106" s="129">
        <v>2</v>
      </c>
      <c r="AM106" s="129">
        <v>2</v>
      </c>
      <c r="AN106" s="129">
        <v>2</v>
      </c>
      <c r="AO106" s="129">
        <v>2</v>
      </c>
      <c r="AP106" s="129">
        <v>1</v>
      </c>
      <c r="AQ106" s="129">
        <v>1</v>
      </c>
      <c r="AR106" s="129">
        <v>1</v>
      </c>
      <c r="AS106" s="129">
        <v>1</v>
      </c>
      <c r="AT106" s="129">
        <v>1</v>
      </c>
      <c r="AU106" s="118">
        <f t="shared" si="9"/>
        <v>1</v>
      </c>
      <c r="AV106" s="128">
        <v>0</v>
      </c>
      <c r="AW106" s="115" t="s">
        <v>185</v>
      </c>
    </row>
    <row r="107" spans="1:50">
      <c r="A107" s="114">
        <v>8</v>
      </c>
      <c r="B107" s="116">
        <v>45932</v>
      </c>
      <c r="G107" s="115" t="s">
        <v>179</v>
      </c>
      <c r="H107" s="115">
        <v>3</v>
      </c>
      <c r="I107" s="117" t="str">
        <f t="shared" si="12"/>
        <v>NHGRI_3</v>
      </c>
      <c r="J107" s="123" t="s">
        <v>782</v>
      </c>
      <c r="K107" s="124">
        <v>6</v>
      </c>
      <c r="L107" s="123" t="str">
        <f t="shared" si="11"/>
        <v>NHGRI_3_6</v>
      </c>
      <c r="M107" s="123" t="s">
        <v>907</v>
      </c>
      <c r="N107" s="115" t="s">
        <v>86</v>
      </c>
      <c r="O107" s="115" t="s">
        <v>180</v>
      </c>
      <c r="P107" s="115">
        <v>100</v>
      </c>
      <c r="Q107" s="115">
        <v>500</v>
      </c>
      <c r="R107" s="115">
        <v>76</v>
      </c>
      <c r="S107" s="115">
        <v>1</v>
      </c>
      <c r="T107" s="115">
        <v>4</v>
      </c>
      <c r="U107" s="115">
        <v>10.01</v>
      </c>
      <c r="V107" s="115">
        <v>10.19</v>
      </c>
      <c r="W107" s="118">
        <v>4</v>
      </c>
      <c r="X107" s="118">
        <v>10.39</v>
      </c>
      <c r="Y107" s="118">
        <v>1</v>
      </c>
      <c r="Z107" s="118">
        <v>1</v>
      </c>
      <c r="AA107" s="118">
        <v>1</v>
      </c>
      <c r="AB107" s="118">
        <v>1</v>
      </c>
      <c r="AC107" s="118">
        <v>1</v>
      </c>
      <c r="AD107" s="118">
        <v>1</v>
      </c>
      <c r="AE107" s="118">
        <v>1</v>
      </c>
      <c r="AF107" s="118">
        <v>1</v>
      </c>
      <c r="AG107" s="118">
        <v>1</v>
      </c>
      <c r="AH107" s="118">
        <v>1</v>
      </c>
      <c r="AI107" s="118">
        <v>1</v>
      </c>
      <c r="AJ107" s="118">
        <v>1</v>
      </c>
      <c r="AK107" s="118">
        <v>1</v>
      </c>
      <c r="AL107" s="118">
        <v>1</v>
      </c>
      <c r="AM107" s="118">
        <v>1</v>
      </c>
      <c r="AN107" s="118">
        <v>1</v>
      </c>
      <c r="AO107" s="118">
        <v>0</v>
      </c>
      <c r="AP107" s="118">
        <v>0</v>
      </c>
      <c r="AQ107" s="118">
        <v>0</v>
      </c>
      <c r="AR107" s="118">
        <v>0</v>
      </c>
      <c r="AS107" s="118">
        <v>0</v>
      </c>
      <c r="AT107" s="118">
        <v>0</v>
      </c>
      <c r="AU107" s="118">
        <f t="shared" si="9"/>
        <v>0</v>
      </c>
      <c r="AX107" s="114" t="s">
        <v>67</v>
      </c>
    </row>
    <row r="108" spans="1:50">
      <c r="A108" s="114">
        <v>8</v>
      </c>
      <c r="B108" s="116">
        <v>45932</v>
      </c>
      <c r="G108" s="115" t="s">
        <v>179</v>
      </c>
      <c r="H108" s="115">
        <v>3</v>
      </c>
      <c r="I108" s="117" t="str">
        <f t="shared" si="12"/>
        <v>NHGRI_3</v>
      </c>
      <c r="J108" s="123" t="s">
        <v>782</v>
      </c>
      <c r="K108" s="124">
        <v>7</v>
      </c>
      <c r="L108" s="123" t="str">
        <f t="shared" si="11"/>
        <v>NHGRI_3_7</v>
      </c>
      <c r="M108" s="123" t="s">
        <v>908</v>
      </c>
      <c r="N108" s="115" t="s">
        <v>86</v>
      </c>
      <c r="O108" s="115" t="s">
        <v>180</v>
      </c>
      <c r="P108" s="115">
        <v>100</v>
      </c>
      <c r="Q108" s="115">
        <v>500</v>
      </c>
      <c r="S108" s="115">
        <v>2</v>
      </c>
      <c r="T108" s="115">
        <v>4</v>
      </c>
      <c r="U108" s="115">
        <v>10.24</v>
      </c>
      <c r="V108" s="115">
        <v>10.35</v>
      </c>
      <c r="W108" s="118">
        <v>4</v>
      </c>
      <c r="X108" s="118">
        <v>10.53</v>
      </c>
      <c r="Y108" s="118">
        <v>2</v>
      </c>
      <c r="Z108" s="118">
        <v>2</v>
      </c>
      <c r="AA108" s="118">
        <v>2</v>
      </c>
      <c r="AB108" s="118">
        <v>2</v>
      </c>
      <c r="AC108" s="118">
        <v>2</v>
      </c>
      <c r="AD108" s="118">
        <v>2</v>
      </c>
      <c r="AE108" s="118">
        <v>2</v>
      </c>
      <c r="AF108" s="118">
        <v>2</v>
      </c>
      <c r="AG108" s="118">
        <v>2</v>
      </c>
      <c r="AH108" s="118">
        <v>2</v>
      </c>
      <c r="AI108" s="118">
        <v>2</v>
      </c>
      <c r="AJ108" s="118">
        <v>2</v>
      </c>
      <c r="AK108" s="118">
        <v>2</v>
      </c>
      <c r="AL108" s="118">
        <v>2</v>
      </c>
      <c r="AM108" s="118">
        <v>2</v>
      </c>
      <c r="AN108" s="118">
        <v>1</v>
      </c>
      <c r="AO108" s="118">
        <v>1</v>
      </c>
      <c r="AP108" s="118">
        <v>1</v>
      </c>
      <c r="AQ108" s="118">
        <v>1</v>
      </c>
      <c r="AR108" s="118">
        <v>0</v>
      </c>
      <c r="AS108" s="118">
        <v>0</v>
      </c>
      <c r="AT108" s="118">
        <v>0</v>
      </c>
      <c r="AU108" s="118">
        <f t="shared" si="9"/>
        <v>0</v>
      </c>
    </row>
    <row r="109" spans="1:50">
      <c r="A109" s="114">
        <v>8</v>
      </c>
      <c r="B109" s="116">
        <v>45932</v>
      </c>
      <c r="G109" s="115" t="s">
        <v>179</v>
      </c>
      <c r="H109" s="115">
        <v>3</v>
      </c>
      <c r="I109" s="117" t="str">
        <f t="shared" si="12"/>
        <v>NHGRI_3</v>
      </c>
      <c r="J109" s="123" t="s">
        <v>782</v>
      </c>
      <c r="K109" s="124">
        <v>8</v>
      </c>
      <c r="L109" s="123" t="str">
        <f t="shared" si="11"/>
        <v>NHGRI_3_8</v>
      </c>
      <c r="M109" s="123" t="s">
        <v>909</v>
      </c>
      <c r="N109" s="115" t="s">
        <v>86</v>
      </c>
      <c r="O109" s="115" t="s">
        <v>180</v>
      </c>
      <c r="P109" s="115">
        <v>100</v>
      </c>
      <c r="Q109" s="115">
        <v>500</v>
      </c>
      <c r="S109" s="115">
        <v>3</v>
      </c>
      <c r="T109" s="115">
        <v>4</v>
      </c>
      <c r="U109" s="115">
        <v>10.41</v>
      </c>
      <c r="V109" s="115">
        <v>10.57</v>
      </c>
      <c r="W109" s="118">
        <v>4</v>
      </c>
      <c r="X109" s="118">
        <v>11.14</v>
      </c>
      <c r="Y109" s="118">
        <v>4</v>
      </c>
      <c r="Z109" s="118">
        <v>4</v>
      </c>
      <c r="AA109" s="118">
        <v>4</v>
      </c>
      <c r="AB109" s="118">
        <v>4</v>
      </c>
      <c r="AC109" s="118">
        <v>4</v>
      </c>
      <c r="AD109" s="118">
        <v>4</v>
      </c>
      <c r="AE109" s="118">
        <v>4</v>
      </c>
      <c r="AF109" s="118">
        <v>4</v>
      </c>
      <c r="AG109" s="118">
        <v>4</v>
      </c>
      <c r="AH109" s="118">
        <v>4</v>
      </c>
      <c r="AI109" s="118">
        <v>4</v>
      </c>
      <c r="AJ109" s="118">
        <v>4</v>
      </c>
      <c r="AK109" s="118">
        <v>4</v>
      </c>
      <c r="AL109" s="118">
        <v>3</v>
      </c>
      <c r="AM109" s="118">
        <v>3</v>
      </c>
      <c r="AN109" s="118">
        <v>3</v>
      </c>
      <c r="AO109" s="118">
        <v>2</v>
      </c>
      <c r="AP109" s="118">
        <v>2</v>
      </c>
      <c r="AQ109" s="118">
        <v>2</v>
      </c>
      <c r="AR109" s="118">
        <v>0</v>
      </c>
      <c r="AS109" s="118">
        <v>0</v>
      </c>
      <c r="AT109" s="118">
        <v>0</v>
      </c>
      <c r="AU109" s="118">
        <f t="shared" si="9"/>
        <v>0</v>
      </c>
    </row>
    <row r="110" spans="1:50">
      <c r="A110" s="114">
        <v>8</v>
      </c>
      <c r="B110" s="116">
        <v>45932</v>
      </c>
      <c r="G110" s="115" t="s">
        <v>179</v>
      </c>
      <c r="H110" s="115">
        <v>3</v>
      </c>
      <c r="I110" s="117" t="str">
        <f t="shared" si="12"/>
        <v>NHGRI_3</v>
      </c>
      <c r="J110" s="123" t="s">
        <v>782</v>
      </c>
      <c r="K110" s="124">
        <v>9</v>
      </c>
      <c r="L110" s="123" t="str">
        <f t="shared" si="11"/>
        <v>NHGRI_3_9</v>
      </c>
      <c r="M110" s="123" t="s">
        <v>910</v>
      </c>
      <c r="N110" s="115" t="s">
        <v>86</v>
      </c>
      <c r="O110" s="115" t="s">
        <v>180</v>
      </c>
      <c r="P110" s="115">
        <v>100</v>
      </c>
      <c r="Q110" s="115">
        <v>500</v>
      </c>
      <c r="S110" s="115">
        <v>4</v>
      </c>
      <c r="T110" s="115">
        <v>1</v>
      </c>
      <c r="U110" s="115">
        <v>11</v>
      </c>
      <c r="V110" s="115">
        <v>11.16</v>
      </c>
      <c r="W110" s="118">
        <v>1</v>
      </c>
      <c r="X110" s="118">
        <v>11.3</v>
      </c>
      <c r="Y110" s="118">
        <v>1</v>
      </c>
      <c r="Z110" s="118">
        <v>1</v>
      </c>
      <c r="AA110" s="118">
        <v>1</v>
      </c>
      <c r="AB110" s="118">
        <v>1</v>
      </c>
      <c r="AC110" s="118">
        <v>1</v>
      </c>
      <c r="AD110" s="118">
        <v>1</v>
      </c>
      <c r="AE110" s="118">
        <v>1</v>
      </c>
      <c r="AF110" s="118">
        <v>1</v>
      </c>
      <c r="AG110" s="118">
        <v>1</v>
      </c>
      <c r="AH110" s="118">
        <v>1</v>
      </c>
      <c r="AI110" s="118">
        <v>1</v>
      </c>
      <c r="AJ110" s="118">
        <v>1</v>
      </c>
      <c r="AK110" s="118">
        <v>1</v>
      </c>
      <c r="AL110" s="118">
        <v>1</v>
      </c>
      <c r="AM110" s="118">
        <v>1</v>
      </c>
      <c r="AN110" s="118">
        <v>1</v>
      </c>
      <c r="AO110" s="118">
        <v>1</v>
      </c>
      <c r="AP110" s="118">
        <v>1</v>
      </c>
      <c r="AQ110" s="118">
        <v>0</v>
      </c>
      <c r="AR110" s="118">
        <v>0</v>
      </c>
      <c r="AS110" s="118">
        <v>0</v>
      </c>
      <c r="AT110" s="118">
        <v>0</v>
      </c>
      <c r="AU110" s="118">
        <f t="shared" si="9"/>
        <v>0</v>
      </c>
    </row>
    <row r="111" spans="1:50">
      <c r="A111" s="114">
        <v>8</v>
      </c>
      <c r="B111" s="116">
        <v>45932</v>
      </c>
      <c r="G111" s="115" t="s">
        <v>179</v>
      </c>
      <c r="H111" s="115">
        <v>3</v>
      </c>
      <c r="I111" s="117" t="str">
        <f t="shared" si="12"/>
        <v>NHGRI_3</v>
      </c>
      <c r="J111" s="123" t="s">
        <v>782</v>
      </c>
      <c r="K111" s="124">
        <v>10</v>
      </c>
      <c r="L111" s="123" t="str">
        <f t="shared" si="11"/>
        <v>NHGRI_3_10</v>
      </c>
      <c r="M111" s="123" t="s">
        <v>911</v>
      </c>
      <c r="N111" s="115" t="s">
        <v>86</v>
      </c>
      <c r="O111" s="115" t="s">
        <v>180</v>
      </c>
      <c r="P111" s="115">
        <v>100</v>
      </c>
      <c r="Q111" s="115">
        <v>500</v>
      </c>
      <c r="S111" s="115">
        <v>5</v>
      </c>
      <c r="T111" s="115">
        <v>4</v>
      </c>
      <c r="U111" s="115">
        <v>11.17</v>
      </c>
      <c r="V111" s="115">
        <v>11.33</v>
      </c>
      <c r="W111" s="118">
        <v>4</v>
      </c>
      <c r="X111" s="118">
        <v>11.49</v>
      </c>
      <c r="Y111" s="118">
        <v>3</v>
      </c>
      <c r="Z111" s="118">
        <v>3</v>
      </c>
      <c r="AA111" s="118">
        <v>3</v>
      </c>
      <c r="AB111" s="118">
        <v>3</v>
      </c>
      <c r="AC111" s="118">
        <v>3</v>
      </c>
      <c r="AD111" s="118">
        <v>1</v>
      </c>
      <c r="AE111" s="118">
        <v>1</v>
      </c>
      <c r="AF111" s="118">
        <v>1</v>
      </c>
      <c r="AG111" s="118">
        <v>1</v>
      </c>
      <c r="AH111" s="118">
        <v>0</v>
      </c>
      <c r="AI111" s="118">
        <v>0</v>
      </c>
      <c r="AJ111" s="118">
        <v>0</v>
      </c>
      <c r="AK111" s="118">
        <v>0</v>
      </c>
      <c r="AL111" s="118">
        <v>0</v>
      </c>
      <c r="AM111" s="118">
        <v>0</v>
      </c>
      <c r="AN111" s="118">
        <v>0</v>
      </c>
      <c r="AO111" s="118">
        <v>0</v>
      </c>
      <c r="AP111" s="118">
        <v>0</v>
      </c>
      <c r="AQ111" s="118">
        <v>0</v>
      </c>
      <c r="AR111" s="118">
        <v>0</v>
      </c>
      <c r="AS111" s="118">
        <v>0</v>
      </c>
      <c r="AT111" s="118">
        <v>0</v>
      </c>
      <c r="AU111" s="118">
        <f t="shared" si="9"/>
        <v>0</v>
      </c>
    </row>
    <row r="112" spans="1:50">
      <c r="A112" s="114">
        <v>8</v>
      </c>
      <c r="B112" s="116">
        <v>45932</v>
      </c>
      <c r="G112" s="115" t="s">
        <v>179</v>
      </c>
      <c r="H112" s="115">
        <v>3</v>
      </c>
      <c r="I112" s="117" t="str">
        <f t="shared" si="12"/>
        <v>NHGRI_3</v>
      </c>
      <c r="J112" s="123" t="s">
        <v>782</v>
      </c>
      <c r="K112" s="124">
        <v>11</v>
      </c>
      <c r="L112" s="123" t="str">
        <f t="shared" si="11"/>
        <v>NHGRI_3_11</v>
      </c>
      <c r="M112" s="123" t="s">
        <v>912</v>
      </c>
      <c r="N112" s="115" t="s">
        <v>86</v>
      </c>
      <c r="O112" s="115" t="s">
        <v>180</v>
      </c>
      <c r="P112" s="115">
        <v>100</v>
      </c>
      <c r="Q112" s="115">
        <v>500</v>
      </c>
      <c r="S112" s="115">
        <v>6</v>
      </c>
      <c r="T112" s="115">
        <v>2</v>
      </c>
      <c r="U112" s="115">
        <v>11.36</v>
      </c>
      <c r="V112" s="115">
        <v>11.48</v>
      </c>
      <c r="W112" s="118">
        <v>2</v>
      </c>
      <c r="X112" s="118">
        <v>12.08</v>
      </c>
      <c r="Y112" s="118">
        <v>2</v>
      </c>
      <c r="Z112" s="118">
        <v>0</v>
      </c>
      <c r="AA112" s="118">
        <v>0</v>
      </c>
      <c r="AB112" s="118">
        <v>0</v>
      </c>
      <c r="AC112" s="118">
        <v>0</v>
      </c>
      <c r="AD112" s="118">
        <v>0</v>
      </c>
      <c r="AE112" s="118">
        <v>0</v>
      </c>
      <c r="AF112" s="118">
        <v>0</v>
      </c>
      <c r="AG112" s="118">
        <v>0</v>
      </c>
      <c r="AH112" s="118">
        <v>0</v>
      </c>
      <c r="AI112" s="118">
        <v>0</v>
      </c>
      <c r="AJ112" s="118">
        <v>0</v>
      </c>
      <c r="AK112" s="118">
        <v>0</v>
      </c>
      <c r="AL112" s="118">
        <v>0</v>
      </c>
      <c r="AM112" s="118">
        <v>0</v>
      </c>
      <c r="AN112" s="118">
        <v>0</v>
      </c>
      <c r="AO112" s="118">
        <v>0</v>
      </c>
      <c r="AP112" s="118">
        <v>0</v>
      </c>
      <c r="AQ112" s="118">
        <v>0</v>
      </c>
      <c r="AR112" s="118">
        <v>0</v>
      </c>
      <c r="AS112" s="118">
        <v>0</v>
      </c>
      <c r="AT112" s="118">
        <v>0</v>
      </c>
      <c r="AU112" s="118">
        <f t="shared" si="9"/>
        <v>0</v>
      </c>
    </row>
    <row r="113" spans="1:50">
      <c r="A113" s="114">
        <v>8</v>
      </c>
      <c r="B113" s="116">
        <v>45932</v>
      </c>
      <c r="G113" s="115" t="s">
        <v>179</v>
      </c>
      <c r="H113" s="115">
        <v>3</v>
      </c>
      <c r="I113" s="117" t="str">
        <f t="shared" si="12"/>
        <v>NHGRI_3</v>
      </c>
      <c r="J113" s="123" t="s">
        <v>782</v>
      </c>
      <c r="K113" s="124">
        <v>12</v>
      </c>
      <c r="L113" s="123" t="str">
        <f t="shared" si="11"/>
        <v>NHGRI_3_12</v>
      </c>
      <c r="M113" s="123" t="s">
        <v>913</v>
      </c>
      <c r="N113" s="115" t="s">
        <v>86</v>
      </c>
      <c r="O113" s="115" t="s">
        <v>180</v>
      </c>
      <c r="P113" s="115">
        <v>100</v>
      </c>
      <c r="Q113" s="115">
        <v>500</v>
      </c>
      <c r="S113" s="115">
        <v>7</v>
      </c>
      <c r="T113" s="115">
        <v>4</v>
      </c>
      <c r="U113" s="115">
        <v>11.5</v>
      </c>
      <c r="V113" s="115">
        <v>12.04</v>
      </c>
      <c r="W113" s="118">
        <v>4</v>
      </c>
      <c r="X113" s="118">
        <v>12.2</v>
      </c>
      <c r="Y113" s="118">
        <v>3</v>
      </c>
      <c r="Z113" s="118">
        <v>3</v>
      </c>
      <c r="AA113" s="118">
        <v>3</v>
      </c>
      <c r="AB113" s="118">
        <v>3</v>
      </c>
      <c r="AC113" s="118">
        <v>3</v>
      </c>
      <c r="AD113" s="118">
        <v>3</v>
      </c>
      <c r="AE113" s="118">
        <v>3</v>
      </c>
      <c r="AF113" s="118">
        <v>3</v>
      </c>
      <c r="AG113" s="118">
        <v>1</v>
      </c>
      <c r="AH113" s="118">
        <v>1</v>
      </c>
      <c r="AI113" s="118">
        <v>1</v>
      </c>
      <c r="AJ113" s="118">
        <v>1</v>
      </c>
      <c r="AK113" s="118">
        <v>1</v>
      </c>
      <c r="AL113" s="118">
        <v>0</v>
      </c>
      <c r="AM113" s="118">
        <v>0</v>
      </c>
      <c r="AN113" s="118">
        <v>0</v>
      </c>
      <c r="AO113" s="118">
        <v>0</v>
      </c>
      <c r="AP113" s="118">
        <v>0</v>
      </c>
      <c r="AQ113" s="118">
        <v>0</v>
      </c>
      <c r="AR113" s="118">
        <v>0</v>
      </c>
      <c r="AS113" s="118">
        <v>0</v>
      </c>
      <c r="AT113" s="118">
        <v>0</v>
      </c>
      <c r="AU113" s="118">
        <f t="shared" si="9"/>
        <v>0</v>
      </c>
    </row>
    <row r="114" spans="1:50">
      <c r="A114" s="114">
        <v>9</v>
      </c>
      <c r="B114" s="116">
        <v>45933</v>
      </c>
      <c r="C114" s="115" t="s">
        <v>166</v>
      </c>
      <c r="D114" s="115" t="s">
        <v>186</v>
      </c>
      <c r="E114" s="115" t="s">
        <v>187</v>
      </c>
      <c r="F114" s="115" t="s">
        <v>144</v>
      </c>
      <c r="G114" s="128" t="s">
        <v>188</v>
      </c>
      <c r="H114" s="128">
        <v>3</v>
      </c>
      <c r="I114" s="117" t="str">
        <f t="shared" si="12"/>
        <v>AB_3</v>
      </c>
      <c r="J114" s="125" t="s">
        <v>773</v>
      </c>
      <c r="K114" s="127">
        <v>1</v>
      </c>
      <c r="L114" s="123" t="str">
        <f t="shared" si="11"/>
        <v>AB_3_1</v>
      </c>
      <c r="M114" s="125" t="s">
        <v>914</v>
      </c>
      <c r="N114" s="115" t="s">
        <v>88</v>
      </c>
      <c r="O114" s="115" t="s">
        <v>189</v>
      </c>
      <c r="P114" s="115">
        <v>100</v>
      </c>
      <c r="Q114" s="115">
        <v>500</v>
      </c>
      <c r="R114" s="115">
        <v>60</v>
      </c>
      <c r="S114" s="128">
        <v>1</v>
      </c>
      <c r="T114" s="128">
        <v>5</v>
      </c>
      <c r="U114" s="128">
        <v>10.029999999999999</v>
      </c>
      <c r="V114" s="128">
        <v>10.23</v>
      </c>
      <c r="W114" s="129">
        <v>5</v>
      </c>
      <c r="X114" s="129">
        <v>10.4</v>
      </c>
      <c r="Y114" s="129">
        <v>5</v>
      </c>
      <c r="Z114" s="118">
        <v>0</v>
      </c>
      <c r="AA114" s="118">
        <v>0</v>
      </c>
      <c r="AB114" s="118">
        <v>0</v>
      </c>
      <c r="AC114" s="118">
        <v>0</v>
      </c>
      <c r="AD114" s="118">
        <v>0</v>
      </c>
      <c r="AE114" s="118">
        <v>0</v>
      </c>
      <c r="AF114" s="118">
        <v>0</v>
      </c>
      <c r="AG114" s="118">
        <v>0</v>
      </c>
      <c r="AH114" s="118">
        <v>0</v>
      </c>
      <c r="AI114" s="118">
        <v>0</v>
      </c>
      <c r="AJ114" s="118">
        <v>0</v>
      </c>
      <c r="AK114" s="118">
        <v>0</v>
      </c>
      <c r="AL114" s="118">
        <v>0</v>
      </c>
      <c r="AM114" s="118">
        <v>0</v>
      </c>
      <c r="AN114" s="118">
        <v>0</v>
      </c>
      <c r="AO114" s="118">
        <v>0</v>
      </c>
      <c r="AP114" s="118">
        <v>0</v>
      </c>
      <c r="AQ114" s="118">
        <v>0</v>
      </c>
      <c r="AR114" s="118">
        <v>0</v>
      </c>
      <c r="AS114" s="118">
        <v>0</v>
      </c>
      <c r="AT114" s="118">
        <v>0</v>
      </c>
      <c r="AU114" s="118">
        <f t="shared" si="9"/>
        <v>0</v>
      </c>
      <c r="AV114" s="128"/>
      <c r="AW114" s="128"/>
      <c r="AX114" s="130" t="s">
        <v>53</v>
      </c>
    </row>
    <row r="115" spans="1:50">
      <c r="A115" s="114">
        <v>9</v>
      </c>
      <c r="B115" s="116">
        <v>45933</v>
      </c>
      <c r="D115" s="115" t="s">
        <v>190</v>
      </c>
      <c r="E115" s="115" t="s">
        <v>133</v>
      </c>
      <c r="G115" s="115" t="s">
        <v>188</v>
      </c>
      <c r="H115" s="128">
        <v>3</v>
      </c>
      <c r="I115" s="117" t="str">
        <f t="shared" si="12"/>
        <v>AB_3</v>
      </c>
      <c r="J115" s="125" t="s">
        <v>773</v>
      </c>
      <c r="K115" s="127">
        <v>2</v>
      </c>
      <c r="L115" s="123" t="str">
        <f t="shared" si="11"/>
        <v>AB_3_2</v>
      </c>
      <c r="M115" s="125" t="s">
        <v>915</v>
      </c>
      <c r="N115" s="115" t="s">
        <v>88</v>
      </c>
      <c r="O115" s="115" t="s">
        <v>189</v>
      </c>
      <c r="P115" s="115">
        <v>100</v>
      </c>
      <c r="Q115" s="115">
        <v>500</v>
      </c>
      <c r="S115" s="128">
        <v>2</v>
      </c>
      <c r="T115" s="128">
        <v>5</v>
      </c>
      <c r="U115" s="128">
        <v>10.3</v>
      </c>
      <c r="V115" s="128">
        <v>10.41</v>
      </c>
      <c r="W115" s="129">
        <v>5</v>
      </c>
      <c r="X115" s="129">
        <v>10.58</v>
      </c>
      <c r="Y115" s="129">
        <v>1</v>
      </c>
      <c r="Z115" s="129">
        <v>1</v>
      </c>
      <c r="AA115" s="129">
        <v>1</v>
      </c>
      <c r="AB115" s="129">
        <v>1</v>
      </c>
      <c r="AC115" s="129">
        <v>1</v>
      </c>
      <c r="AD115" s="129">
        <v>1</v>
      </c>
      <c r="AE115" s="129">
        <v>1</v>
      </c>
      <c r="AF115" s="129">
        <v>1</v>
      </c>
      <c r="AG115" s="129">
        <v>1</v>
      </c>
      <c r="AH115" s="118">
        <v>0</v>
      </c>
      <c r="AI115" s="118">
        <v>0</v>
      </c>
      <c r="AJ115" s="118">
        <v>0</v>
      </c>
      <c r="AK115" s="118">
        <v>0</v>
      </c>
      <c r="AL115" s="118">
        <v>0</v>
      </c>
      <c r="AM115" s="118">
        <v>0</v>
      </c>
      <c r="AN115" s="118">
        <v>0</v>
      </c>
      <c r="AO115" s="118">
        <v>0</v>
      </c>
      <c r="AP115" s="118">
        <v>0</v>
      </c>
      <c r="AQ115" s="118">
        <v>0</v>
      </c>
      <c r="AR115" s="118">
        <v>0</v>
      </c>
      <c r="AS115" s="118">
        <v>0</v>
      </c>
      <c r="AT115" s="118">
        <v>0</v>
      </c>
      <c r="AU115" s="118">
        <f t="shared" si="9"/>
        <v>0</v>
      </c>
      <c r="AV115" s="128"/>
      <c r="AW115" s="128"/>
      <c r="AX115" s="130"/>
    </row>
    <row r="116" spans="1:50">
      <c r="A116" s="114">
        <v>9</v>
      </c>
      <c r="B116" s="116">
        <v>45933</v>
      </c>
      <c r="E116" s="115" t="s">
        <v>191</v>
      </c>
      <c r="G116" s="115" t="s">
        <v>188</v>
      </c>
      <c r="H116" s="128">
        <v>3</v>
      </c>
      <c r="I116" s="117" t="str">
        <f t="shared" si="12"/>
        <v>AB_3</v>
      </c>
      <c r="J116" s="125" t="s">
        <v>773</v>
      </c>
      <c r="K116" s="127">
        <v>3</v>
      </c>
      <c r="L116" s="123" t="str">
        <f t="shared" si="11"/>
        <v>AB_3_3</v>
      </c>
      <c r="M116" s="125" t="s">
        <v>916</v>
      </c>
      <c r="N116" s="115" t="s">
        <v>88</v>
      </c>
      <c r="O116" s="115" t="s">
        <v>189</v>
      </c>
      <c r="P116" s="115">
        <v>100</v>
      </c>
      <c r="Q116" s="115">
        <v>500</v>
      </c>
      <c r="S116" s="128">
        <v>3</v>
      </c>
      <c r="T116" s="128">
        <v>2</v>
      </c>
      <c r="U116" s="128">
        <v>10.48</v>
      </c>
      <c r="V116" s="128">
        <v>11.08</v>
      </c>
      <c r="W116" s="129">
        <v>2</v>
      </c>
      <c r="X116" s="129">
        <v>11.25</v>
      </c>
      <c r="Y116" s="129">
        <v>5</v>
      </c>
      <c r="Z116" s="129">
        <v>3</v>
      </c>
      <c r="AA116" s="129">
        <v>3</v>
      </c>
      <c r="AB116" s="129">
        <v>2</v>
      </c>
      <c r="AC116" s="129">
        <v>2</v>
      </c>
      <c r="AD116" s="129">
        <v>2</v>
      </c>
      <c r="AE116" s="129">
        <v>2</v>
      </c>
      <c r="AF116" s="129">
        <v>2</v>
      </c>
      <c r="AG116" s="129">
        <v>2</v>
      </c>
      <c r="AH116" s="129">
        <v>1</v>
      </c>
      <c r="AI116" s="129">
        <v>1</v>
      </c>
      <c r="AJ116" s="129">
        <v>1</v>
      </c>
      <c r="AK116" s="129">
        <v>1</v>
      </c>
      <c r="AL116" s="118">
        <v>0</v>
      </c>
      <c r="AM116" s="118">
        <v>0</v>
      </c>
      <c r="AN116" s="118">
        <v>0</v>
      </c>
      <c r="AO116" s="118">
        <v>0</v>
      </c>
      <c r="AP116" s="118">
        <v>0</v>
      </c>
      <c r="AQ116" s="118">
        <v>0</v>
      </c>
      <c r="AR116" s="118">
        <v>0</v>
      </c>
      <c r="AS116" s="118">
        <v>0</v>
      </c>
      <c r="AT116" s="118">
        <v>0</v>
      </c>
      <c r="AU116" s="118">
        <f t="shared" si="9"/>
        <v>0</v>
      </c>
      <c r="AV116" s="128"/>
      <c r="AW116" s="128"/>
      <c r="AX116" s="130"/>
    </row>
    <row r="117" spans="1:50">
      <c r="A117" s="114">
        <v>9</v>
      </c>
      <c r="B117" s="116">
        <v>45933</v>
      </c>
      <c r="E117" s="115" t="s">
        <v>133</v>
      </c>
      <c r="G117" s="115" t="s">
        <v>188</v>
      </c>
      <c r="H117" s="128">
        <v>3</v>
      </c>
      <c r="I117" s="117" t="str">
        <f t="shared" si="12"/>
        <v>AB_3</v>
      </c>
      <c r="J117" s="125" t="s">
        <v>773</v>
      </c>
      <c r="K117" s="127">
        <v>4</v>
      </c>
      <c r="L117" s="123" t="str">
        <f t="shared" si="11"/>
        <v>AB_3_4</v>
      </c>
      <c r="M117" s="125" t="s">
        <v>917</v>
      </c>
      <c r="N117" s="115" t="s">
        <v>88</v>
      </c>
      <c r="O117" s="115" t="s">
        <v>189</v>
      </c>
      <c r="P117" s="115">
        <v>100</v>
      </c>
      <c r="Q117" s="115">
        <v>500</v>
      </c>
      <c r="S117" s="128">
        <v>4</v>
      </c>
      <c r="T117" s="128">
        <v>5</v>
      </c>
      <c r="U117" s="128">
        <v>11.1</v>
      </c>
      <c r="V117" s="128">
        <v>11.34</v>
      </c>
      <c r="W117" s="129">
        <v>5</v>
      </c>
      <c r="X117" s="129">
        <v>11.5</v>
      </c>
      <c r="Y117" s="129">
        <v>5</v>
      </c>
      <c r="Z117" s="129">
        <v>4</v>
      </c>
      <c r="AA117" s="129">
        <v>4</v>
      </c>
      <c r="AB117" s="129">
        <v>4</v>
      </c>
      <c r="AC117" s="129">
        <v>4</v>
      </c>
      <c r="AD117" s="129">
        <v>4</v>
      </c>
      <c r="AE117" s="129">
        <v>4</v>
      </c>
      <c r="AF117" s="129">
        <v>4</v>
      </c>
      <c r="AG117" s="129">
        <v>4</v>
      </c>
      <c r="AH117" s="129">
        <v>4</v>
      </c>
      <c r="AI117" s="129">
        <v>4</v>
      </c>
      <c r="AJ117" s="118">
        <v>0</v>
      </c>
      <c r="AK117" s="118">
        <v>0</v>
      </c>
      <c r="AL117" s="118">
        <v>0</v>
      </c>
      <c r="AM117" s="118">
        <v>0</v>
      </c>
      <c r="AN117" s="118">
        <v>0</v>
      </c>
      <c r="AO117" s="118">
        <v>0</v>
      </c>
      <c r="AP117" s="118">
        <v>0</v>
      </c>
      <c r="AQ117" s="118">
        <v>0</v>
      </c>
      <c r="AR117" s="118">
        <v>0</v>
      </c>
      <c r="AS117" s="118">
        <v>0</v>
      </c>
      <c r="AT117" s="118">
        <v>0</v>
      </c>
      <c r="AU117" s="118">
        <f t="shared" si="9"/>
        <v>0</v>
      </c>
      <c r="AV117" s="128"/>
      <c r="AW117" s="128"/>
      <c r="AX117" s="130"/>
    </row>
    <row r="118" spans="1:50">
      <c r="A118" s="114">
        <v>9</v>
      </c>
      <c r="B118" s="116">
        <v>45933</v>
      </c>
      <c r="G118" s="115" t="s">
        <v>188</v>
      </c>
      <c r="H118" s="128">
        <v>3</v>
      </c>
      <c r="I118" s="117" t="str">
        <f t="shared" si="12"/>
        <v>AB_3</v>
      </c>
      <c r="J118" s="125" t="s">
        <v>773</v>
      </c>
      <c r="K118" s="127">
        <v>5</v>
      </c>
      <c r="L118" s="123" t="str">
        <f t="shared" si="11"/>
        <v>AB_3_5</v>
      </c>
      <c r="M118" s="125" t="s">
        <v>918</v>
      </c>
      <c r="N118" s="115" t="s">
        <v>88</v>
      </c>
      <c r="O118" s="115" t="s">
        <v>189</v>
      </c>
      <c r="P118" s="115">
        <v>100</v>
      </c>
      <c r="Q118" s="115">
        <v>500</v>
      </c>
      <c r="S118" s="128">
        <v>5</v>
      </c>
      <c r="T118" s="128">
        <v>5</v>
      </c>
      <c r="U118" s="128">
        <v>11.36</v>
      </c>
      <c r="V118" s="128">
        <v>12.01</v>
      </c>
      <c r="W118" s="129">
        <v>5</v>
      </c>
      <c r="X118" s="129">
        <v>12.16</v>
      </c>
      <c r="Y118" s="129">
        <v>5</v>
      </c>
      <c r="Z118" s="129">
        <v>4</v>
      </c>
      <c r="AA118" s="129">
        <v>3</v>
      </c>
      <c r="AB118" s="129">
        <v>3</v>
      </c>
      <c r="AC118" s="129">
        <v>3</v>
      </c>
      <c r="AD118" s="129">
        <v>3</v>
      </c>
      <c r="AE118" s="129">
        <v>3</v>
      </c>
      <c r="AF118" s="129">
        <v>3</v>
      </c>
      <c r="AG118" s="129">
        <v>3</v>
      </c>
      <c r="AH118" s="129">
        <v>3</v>
      </c>
      <c r="AI118" s="129">
        <v>0</v>
      </c>
      <c r="AJ118" s="118">
        <v>0</v>
      </c>
      <c r="AK118" s="118">
        <v>0</v>
      </c>
      <c r="AL118" s="118">
        <v>0</v>
      </c>
      <c r="AM118" s="118">
        <v>0</v>
      </c>
      <c r="AN118" s="118">
        <v>0</v>
      </c>
      <c r="AO118" s="118">
        <v>0</v>
      </c>
      <c r="AP118" s="118">
        <v>0</v>
      </c>
      <c r="AQ118" s="118">
        <v>0</v>
      </c>
      <c r="AR118" s="118">
        <v>0</v>
      </c>
      <c r="AS118" s="118">
        <v>0</v>
      </c>
      <c r="AT118" s="118">
        <v>0</v>
      </c>
      <c r="AU118" s="118">
        <f t="shared" si="9"/>
        <v>0</v>
      </c>
      <c r="AV118" s="128"/>
      <c r="AW118" s="128" t="s">
        <v>184</v>
      </c>
      <c r="AX118" s="130" t="s">
        <v>184</v>
      </c>
    </row>
    <row r="119" spans="1:50">
      <c r="A119" s="114">
        <v>9</v>
      </c>
      <c r="B119" s="116">
        <v>45933</v>
      </c>
      <c r="G119" s="115" t="s">
        <v>188</v>
      </c>
      <c r="H119" s="128">
        <v>3</v>
      </c>
      <c r="I119" s="117" t="str">
        <f t="shared" si="12"/>
        <v>AB_3</v>
      </c>
      <c r="J119" s="125" t="s">
        <v>773</v>
      </c>
      <c r="K119" s="127">
        <v>6</v>
      </c>
      <c r="L119" s="123" t="str">
        <f t="shared" si="11"/>
        <v>AB_3_6</v>
      </c>
      <c r="M119" s="125" t="s">
        <v>919</v>
      </c>
      <c r="N119" s="115" t="s">
        <v>88</v>
      </c>
      <c r="O119" s="115" t="s">
        <v>189</v>
      </c>
      <c r="P119" s="115">
        <v>100</v>
      </c>
      <c r="Q119" s="115">
        <v>500</v>
      </c>
      <c r="R119" s="115">
        <v>76</v>
      </c>
      <c r="S119" s="115">
        <v>1</v>
      </c>
      <c r="T119" s="115">
        <v>3</v>
      </c>
      <c r="U119" s="115">
        <v>10.09</v>
      </c>
      <c r="V119" s="115">
        <v>10.25</v>
      </c>
      <c r="W119" s="118">
        <v>3</v>
      </c>
      <c r="X119" s="118">
        <v>10.45</v>
      </c>
      <c r="Y119" s="118">
        <v>1</v>
      </c>
      <c r="Z119" s="118">
        <v>1</v>
      </c>
      <c r="AA119" s="118">
        <v>1</v>
      </c>
      <c r="AB119" s="118">
        <v>1</v>
      </c>
      <c r="AC119" s="118">
        <v>1</v>
      </c>
      <c r="AD119" s="118">
        <v>1</v>
      </c>
      <c r="AE119" s="118">
        <v>1</v>
      </c>
      <c r="AF119" s="118">
        <v>1</v>
      </c>
      <c r="AG119" s="118">
        <v>1</v>
      </c>
      <c r="AH119" s="118">
        <v>1</v>
      </c>
      <c r="AI119" s="118">
        <v>1</v>
      </c>
      <c r="AJ119" s="118">
        <v>1</v>
      </c>
      <c r="AK119" s="118">
        <v>1</v>
      </c>
      <c r="AL119" s="118">
        <v>1</v>
      </c>
      <c r="AM119" s="118">
        <v>1</v>
      </c>
      <c r="AN119" s="118">
        <v>0</v>
      </c>
      <c r="AO119" s="118">
        <v>0</v>
      </c>
      <c r="AP119" s="118">
        <v>0</v>
      </c>
      <c r="AQ119" s="118">
        <v>0</v>
      </c>
      <c r="AR119" s="118">
        <v>0</v>
      </c>
      <c r="AS119" s="118">
        <v>0</v>
      </c>
      <c r="AT119" s="118">
        <v>0</v>
      </c>
      <c r="AU119" s="118">
        <f t="shared" si="9"/>
        <v>0</v>
      </c>
      <c r="AX119" s="114" t="s">
        <v>67</v>
      </c>
    </row>
    <row r="120" spans="1:50">
      <c r="A120" s="114">
        <v>9</v>
      </c>
      <c r="B120" s="116">
        <v>45933</v>
      </c>
      <c r="G120" s="115" t="s">
        <v>188</v>
      </c>
      <c r="H120" s="128">
        <v>3</v>
      </c>
      <c r="I120" s="117" t="str">
        <f t="shared" si="12"/>
        <v>AB_3</v>
      </c>
      <c r="J120" s="125" t="s">
        <v>773</v>
      </c>
      <c r="K120" s="127">
        <v>7</v>
      </c>
      <c r="L120" s="123" t="str">
        <f t="shared" si="11"/>
        <v>AB_3_7</v>
      </c>
      <c r="M120" s="125" t="s">
        <v>920</v>
      </c>
      <c r="N120" s="115" t="s">
        <v>88</v>
      </c>
      <c r="O120" s="115" t="s">
        <v>189</v>
      </c>
      <c r="P120" s="115">
        <v>100</v>
      </c>
      <c r="Q120" s="115">
        <v>500</v>
      </c>
      <c r="S120" s="115">
        <v>2</v>
      </c>
      <c r="T120" s="115">
        <v>4</v>
      </c>
      <c r="U120" s="115">
        <v>10.27</v>
      </c>
      <c r="V120" s="115">
        <v>10.41</v>
      </c>
      <c r="W120" s="118">
        <v>4</v>
      </c>
      <c r="X120" s="118">
        <v>10.57</v>
      </c>
      <c r="Y120" s="118">
        <v>1</v>
      </c>
      <c r="Z120" s="118">
        <v>1</v>
      </c>
      <c r="AA120" s="118">
        <v>1</v>
      </c>
      <c r="AB120" s="118">
        <v>1</v>
      </c>
      <c r="AC120" s="118">
        <v>1</v>
      </c>
      <c r="AD120" s="118">
        <v>1</v>
      </c>
      <c r="AE120" s="118">
        <v>1</v>
      </c>
      <c r="AF120" s="118">
        <v>1</v>
      </c>
      <c r="AG120" s="118">
        <v>1</v>
      </c>
      <c r="AH120" s="118">
        <v>1</v>
      </c>
      <c r="AI120" s="118">
        <v>1</v>
      </c>
      <c r="AJ120" s="118">
        <v>1</v>
      </c>
      <c r="AK120" s="118">
        <v>1</v>
      </c>
      <c r="AL120" s="118">
        <v>1</v>
      </c>
      <c r="AM120" s="118">
        <v>1</v>
      </c>
      <c r="AN120" s="118">
        <v>1</v>
      </c>
      <c r="AO120" s="118">
        <v>1</v>
      </c>
      <c r="AP120" s="118">
        <v>0</v>
      </c>
      <c r="AQ120" s="118">
        <v>0</v>
      </c>
      <c r="AR120" s="118">
        <v>0</v>
      </c>
      <c r="AS120" s="118">
        <v>0</v>
      </c>
      <c r="AT120" s="118">
        <v>0</v>
      </c>
      <c r="AU120" s="118">
        <f t="shared" si="9"/>
        <v>0</v>
      </c>
    </row>
    <row r="121" spans="1:50">
      <c r="A121" s="114">
        <v>9</v>
      </c>
      <c r="B121" s="116">
        <v>45933</v>
      </c>
      <c r="G121" s="115" t="s">
        <v>188</v>
      </c>
      <c r="H121" s="128">
        <v>3</v>
      </c>
      <c r="I121" s="117" t="str">
        <f t="shared" si="12"/>
        <v>AB_3</v>
      </c>
      <c r="J121" s="125" t="s">
        <v>773</v>
      </c>
      <c r="K121" s="127">
        <v>8</v>
      </c>
      <c r="L121" s="123" t="str">
        <f t="shared" si="11"/>
        <v>AB_3_8</v>
      </c>
      <c r="M121" s="125" t="s">
        <v>921</v>
      </c>
      <c r="N121" s="115" t="s">
        <v>88</v>
      </c>
      <c r="O121" s="115" t="s">
        <v>189</v>
      </c>
      <c r="P121" s="115">
        <v>100</v>
      </c>
      <c r="Q121" s="115">
        <v>500</v>
      </c>
      <c r="S121" s="115">
        <v>3</v>
      </c>
      <c r="T121" s="115">
        <v>2</v>
      </c>
      <c r="U121" s="115">
        <v>10.43</v>
      </c>
      <c r="V121" s="115">
        <v>10.53</v>
      </c>
      <c r="W121" s="118">
        <v>2</v>
      </c>
      <c r="X121" s="118">
        <v>11.11</v>
      </c>
      <c r="Y121" s="118">
        <v>1</v>
      </c>
      <c r="Z121" s="118">
        <v>1</v>
      </c>
      <c r="AA121" s="118">
        <v>1</v>
      </c>
      <c r="AB121" s="118">
        <v>1</v>
      </c>
      <c r="AC121" s="118">
        <v>1</v>
      </c>
      <c r="AD121" s="118">
        <v>1</v>
      </c>
      <c r="AE121" s="118">
        <v>1</v>
      </c>
      <c r="AF121" s="118">
        <v>1</v>
      </c>
      <c r="AG121" s="118">
        <v>1</v>
      </c>
      <c r="AH121" s="118">
        <v>1</v>
      </c>
      <c r="AI121" s="118">
        <v>1</v>
      </c>
      <c r="AJ121" s="118">
        <v>1</v>
      </c>
      <c r="AK121" s="118">
        <v>1</v>
      </c>
      <c r="AL121" s="118">
        <v>1</v>
      </c>
      <c r="AM121" s="118">
        <v>1</v>
      </c>
      <c r="AN121" s="118">
        <v>1</v>
      </c>
      <c r="AO121" s="118">
        <v>1</v>
      </c>
      <c r="AP121" s="118">
        <v>1</v>
      </c>
      <c r="AQ121" s="118">
        <v>0</v>
      </c>
      <c r="AR121" s="118">
        <v>0</v>
      </c>
      <c r="AS121" s="118">
        <v>0</v>
      </c>
      <c r="AT121" s="118">
        <v>0</v>
      </c>
      <c r="AU121" s="118">
        <f t="shared" si="9"/>
        <v>0</v>
      </c>
    </row>
    <row r="122" spans="1:50">
      <c r="A122" s="114">
        <v>9</v>
      </c>
      <c r="B122" s="116">
        <v>45933</v>
      </c>
      <c r="G122" s="115" t="s">
        <v>188</v>
      </c>
      <c r="H122" s="128">
        <v>3</v>
      </c>
      <c r="I122" s="117" t="str">
        <f t="shared" si="12"/>
        <v>AB_3</v>
      </c>
      <c r="J122" s="125" t="s">
        <v>773</v>
      </c>
      <c r="K122" s="127">
        <v>9</v>
      </c>
      <c r="L122" s="123" t="str">
        <f t="shared" si="11"/>
        <v>AB_3_9</v>
      </c>
      <c r="M122" s="125" t="s">
        <v>922</v>
      </c>
      <c r="N122" s="115" t="s">
        <v>88</v>
      </c>
      <c r="O122" s="115" t="s">
        <v>189</v>
      </c>
      <c r="P122" s="115">
        <v>100</v>
      </c>
      <c r="Q122" s="115">
        <v>500</v>
      </c>
      <c r="S122" s="115">
        <v>4</v>
      </c>
      <c r="T122" s="115">
        <v>3</v>
      </c>
      <c r="U122" s="115">
        <v>11.43</v>
      </c>
      <c r="V122" s="115">
        <v>11.03</v>
      </c>
      <c r="W122" s="118">
        <v>3</v>
      </c>
      <c r="X122" s="118">
        <v>11.19</v>
      </c>
      <c r="Y122" s="118">
        <v>3</v>
      </c>
      <c r="Z122" s="118">
        <v>3</v>
      </c>
      <c r="AA122" s="118">
        <v>3</v>
      </c>
      <c r="AB122" s="118">
        <v>3</v>
      </c>
      <c r="AC122" s="118">
        <v>3</v>
      </c>
      <c r="AD122" s="118">
        <v>3</v>
      </c>
      <c r="AE122" s="118">
        <v>3</v>
      </c>
      <c r="AF122" s="118">
        <v>3</v>
      </c>
      <c r="AG122" s="118">
        <v>3</v>
      </c>
      <c r="AH122" s="118">
        <v>3</v>
      </c>
      <c r="AI122" s="118">
        <v>3</v>
      </c>
      <c r="AJ122" s="118">
        <v>3</v>
      </c>
      <c r="AK122" s="118">
        <v>3</v>
      </c>
      <c r="AL122" s="118">
        <v>3</v>
      </c>
      <c r="AM122" s="118">
        <v>2</v>
      </c>
      <c r="AN122" s="118">
        <v>2</v>
      </c>
      <c r="AO122" s="118">
        <v>2</v>
      </c>
      <c r="AP122" s="118">
        <v>2</v>
      </c>
      <c r="AQ122" s="118">
        <v>2</v>
      </c>
      <c r="AR122" s="118">
        <v>2</v>
      </c>
      <c r="AS122" s="118">
        <v>2</v>
      </c>
      <c r="AT122" s="118">
        <v>2</v>
      </c>
      <c r="AU122" s="118">
        <f t="shared" si="9"/>
        <v>2</v>
      </c>
      <c r="AV122" s="115">
        <v>0</v>
      </c>
      <c r="AW122" s="115" t="s">
        <v>192</v>
      </c>
    </row>
    <row r="123" spans="1:50">
      <c r="A123" s="114">
        <v>9</v>
      </c>
      <c r="B123" s="116">
        <v>45933</v>
      </c>
      <c r="G123" s="115" t="s">
        <v>188</v>
      </c>
      <c r="H123" s="128">
        <v>3</v>
      </c>
      <c r="I123" s="117" t="str">
        <f t="shared" si="12"/>
        <v>AB_3</v>
      </c>
      <c r="J123" s="125" t="s">
        <v>773</v>
      </c>
      <c r="K123" s="127">
        <v>10</v>
      </c>
      <c r="L123" s="123" t="str">
        <f t="shared" si="11"/>
        <v>AB_3_10</v>
      </c>
      <c r="M123" s="125" t="s">
        <v>923</v>
      </c>
      <c r="N123" s="115" t="s">
        <v>88</v>
      </c>
      <c r="O123" s="115" t="s">
        <v>189</v>
      </c>
      <c r="P123" s="115">
        <v>100</v>
      </c>
      <c r="Q123" s="115">
        <v>500</v>
      </c>
      <c r="S123" s="115">
        <v>5</v>
      </c>
      <c r="T123" s="115">
        <v>3</v>
      </c>
      <c r="U123" s="115">
        <v>11.13</v>
      </c>
      <c r="V123" s="115">
        <v>11.3</v>
      </c>
      <c r="W123" s="118">
        <v>3</v>
      </c>
      <c r="X123" s="118">
        <v>11.46</v>
      </c>
      <c r="Y123" s="118">
        <v>1</v>
      </c>
      <c r="Z123" s="118">
        <v>1</v>
      </c>
      <c r="AA123" s="118">
        <v>1</v>
      </c>
      <c r="AB123" s="118">
        <v>1</v>
      </c>
      <c r="AC123" s="118">
        <v>0</v>
      </c>
      <c r="AD123" s="118">
        <v>0</v>
      </c>
      <c r="AE123" s="118">
        <v>0</v>
      </c>
      <c r="AF123" s="118">
        <v>0</v>
      </c>
      <c r="AG123" s="118">
        <v>0</v>
      </c>
      <c r="AH123" s="118">
        <v>0</v>
      </c>
      <c r="AI123" s="118">
        <v>0</v>
      </c>
      <c r="AJ123" s="118">
        <v>0</v>
      </c>
      <c r="AK123" s="118">
        <v>0</v>
      </c>
      <c r="AL123" s="118">
        <v>0</v>
      </c>
      <c r="AM123" s="118">
        <v>0</v>
      </c>
      <c r="AN123" s="118">
        <v>0</v>
      </c>
      <c r="AO123" s="118">
        <v>0</v>
      </c>
      <c r="AP123" s="118">
        <v>0</v>
      </c>
      <c r="AQ123" s="118">
        <v>0</v>
      </c>
      <c r="AR123" s="118">
        <v>0</v>
      </c>
      <c r="AS123" s="118">
        <v>0</v>
      </c>
      <c r="AT123" s="118">
        <v>0</v>
      </c>
      <c r="AU123" s="118">
        <f t="shared" si="9"/>
        <v>0</v>
      </c>
    </row>
    <row r="124" spans="1:50">
      <c r="A124" s="114">
        <v>9</v>
      </c>
      <c r="B124" s="116">
        <v>45933</v>
      </c>
      <c r="G124" s="115" t="s">
        <v>188</v>
      </c>
      <c r="H124" s="128">
        <v>3</v>
      </c>
      <c r="I124" s="117" t="str">
        <f t="shared" si="12"/>
        <v>AB_3</v>
      </c>
      <c r="J124" s="125" t="s">
        <v>773</v>
      </c>
      <c r="K124" s="127">
        <v>11</v>
      </c>
      <c r="L124" s="123" t="str">
        <f t="shared" si="11"/>
        <v>AB_3_11</v>
      </c>
      <c r="M124" s="125" t="s">
        <v>924</v>
      </c>
      <c r="N124" s="115" t="s">
        <v>88</v>
      </c>
      <c r="O124" s="115" t="s">
        <v>189</v>
      </c>
      <c r="P124" s="115">
        <v>100</v>
      </c>
      <c r="Q124" s="115">
        <v>500</v>
      </c>
      <c r="S124" s="115">
        <v>6</v>
      </c>
      <c r="T124" s="115">
        <v>3</v>
      </c>
      <c r="U124" s="115">
        <v>11.4</v>
      </c>
      <c r="V124" s="115">
        <v>11.57</v>
      </c>
      <c r="W124" s="118">
        <v>3</v>
      </c>
      <c r="X124" s="118">
        <v>12.11</v>
      </c>
      <c r="Y124" s="118">
        <v>2</v>
      </c>
      <c r="Z124" s="118">
        <v>2</v>
      </c>
      <c r="AA124" s="118">
        <v>2</v>
      </c>
      <c r="AB124" s="118">
        <v>2</v>
      </c>
      <c r="AC124" s="118">
        <v>2</v>
      </c>
      <c r="AD124" s="118">
        <v>2</v>
      </c>
      <c r="AE124" s="118">
        <v>2</v>
      </c>
      <c r="AF124" s="118">
        <v>2</v>
      </c>
      <c r="AG124" s="118">
        <v>1</v>
      </c>
      <c r="AH124" s="118">
        <v>1</v>
      </c>
      <c r="AI124" s="118">
        <v>1</v>
      </c>
      <c r="AJ124" s="118">
        <v>1</v>
      </c>
      <c r="AK124" s="118">
        <v>1</v>
      </c>
      <c r="AL124" s="118">
        <v>1</v>
      </c>
      <c r="AM124" s="118">
        <v>0</v>
      </c>
      <c r="AN124" s="118">
        <v>0</v>
      </c>
      <c r="AO124" s="118">
        <v>0</v>
      </c>
      <c r="AP124" s="118">
        <v>0</v>
      </c>
      <c r="AQ124" s="118">
        <v>0</v>
      </c>
      <c r="AR124" s="118">
        <v>0</v>
      </c>
      <c r="AS124" s="118">
        <v>0</v>
      </c>
      <c r="AT124" s="118">
        <v>0</v>
      </c>
      <c r="AU124" s="118">
        <f t="shared" si="9"/>
        <v>0</v>
      </c>
    </row>
    <row r="125" spans="1:50">
      <c r="A125" s="114">
        <v>9</v>
      </c>
      <c r="B125" s="116">
        <v>45933</v>
      </c>
      <c r="G125" s="115" t="s">
        <v>188</v>
      </c>
      <c r="H125" s="128">
        <v>3</v>
      </c>
      <c r="I125" s="117" t="str">
        <f t="shared" si="12"/>
        <v>AB_3</v>
      </c>
      <c r="J125" s="125" t="s">
        <v>773</v>
      </c>
      <c r="K125" s="127">
        <v>12</v>
      </c>
      <c r="L125" s="123" t="str">
        <f t="shared" si="11"/>
        <v>AB_3_12</v>
      </c>
      <c r="M125" s="125" t="s">
        <v>925</v>
      </c>
      <c r="N125" s="115" t="s">
        <v>88</v>
      </c>
      <c r="O125" s="115" t="s">
        <v>189</v>
      </c>
      <c r="P125" s="115">
        <v>100</v>
      </c>
      <c r="Q125" s="115">
        <v>500</v>
      </c>
      <c r="S125" s="115" t="s">
        <v>115</v>
      </c>
      <c r="T125" s="115">
        <v>5</v>
      </c>
      <c r="U125" s="115" t="s">
        <v>117</v>
      </c>
      <c r="V125" s="115" t="s">
        <v>117</v>
      </c>
      <c r="W125" s="118">
        <v>5</v>
      </c>
      <c r="X125" s="118">
        <v>10.41</v>
      </c>
      <c r="Y125" s="118">
        <v>0</v>
      </c>
      <c r="Z125" s="118">
        <v>0</v>
      </c>
      <c r="AA125" s="118">
        <v>0</v>
      </c>
      <c r="AB125" s="118">
        <v>0</v>
      </c>
      <c r="AC125" s="118">
        <v>0</v>
      </c>
      <c r="AD125" s="118">
        <v>0</v>
      </c>
      <c r="AE125" s="118">
        <v>0</v>
      </c>
      <c r="AF125" s="118">
        <v>0</v>
      </c>
      <c r="AG125" s="118">
        <v>0</v>
      </c>
      <c r="AH125" s="118">
        <v>0</v>
      </c>
      <c r="AI125" s="118">
        <v>0</v>
      </c>
      <c r="AJ125" s="118">
        <v>0</v>
      </c>
      <c r="AK125" s="118">
        <v>0</v>
      </c>
      <c r="AL125" s="118">
        <v>0</v>
      </c>
      <c r="AM125" s="118">
        <v>0</v>
      </c>
      <c r="AN125" s="118">
        <v>0</v>
      </c>
      <c r="AO125" s="118">
        <v>0</v>
      </c>
      <c r="AP125" s="118">
        <v>0</v>
      </c>
      <c r="AQ125" s="118">
        <v>0</v>
      </c>
      <c r="AR125" s="118">
        <v>0</v>
      </c>
      <c r="AS125" s="118">
        <v>0</v>
      </c>
      <c r="AT125" s="118">
        <v>0</v>
      </c>
      <c r="AU125" s="118">
        <f t="shared" si="9"/>
        <v>0</v>
      </c>
    </row>
    <row r="126" spans="1:50">
      <c r="A126" s="114">
        <v>9</v>
      </c>
      <c r="B126" s="116">
        <v>45933</v>
      </c>
      <c r="G126" s="115" t="s">
        <v>188</v>
      </c>
      <c r="H126" s="128">
        <v>3</v>
      </c>
      <c r="I126" s="117" t="str">
        <f t="shared" si="12"/>
        <v>AB_3</v>
      </c>
      <c r="J126" s="125" t="s">
        <v>773</v>
      </c>
      <c r="K126" s="127">
        <v>13</v>
      </c>
      <c r="L126" s="123" t="str">
        <f t="shared" si="11"/>
        <v>AB_3_13</v>
      </c>
      <c r="M126" s="125" t="s">
        <v>926</v>
      </c>
      <c r="N126" s="115" t="s">
        <v>88</v>
      </c>
      <c r="O126" s="115" t="s">
        <v>189</v>
      </c>
      <c r="P126" s="115">
        <v>100</v>
      </c>
      <c r="Q126" s="115">
        <v>500</v>
      </c>
      <c r="S126" s="115" t="s">
        <v>118</v>
      </c>
      <c r="T126" s="115">
        <v>5</v>
      </c>
      <c r="U126" s="115" t="s">
        <v>117</v>
      </c>
      <c r="V126" s="115" t="s">
        <v>117</v>
      </c>
      <c r="W126" s="118">
        <v>5</v>
      </c>
      <c r="X126" s="118">
        <v>11.03</v>
      </c>
      <c r="Y126" s="118">
        <v>1</v>
      </c>
      <c r="Z126" s="118">
        <v>1</v>
      </c>
      <c r="AA126" s="118">
        <v>1</v>
      </c>
      <c r="AB126" s="118">
        <v>1</v>
      </c>
      <c r="AC126" s="118">
        <v>1</v>
      </c>
      <c r="AD126" s="118">
        <v>1</v>
      </c>
      <c r="AE126" s="118">
        <v>1</v>
      </c>
      <c r="AF126" s="118">
        <v>1</v>
      </c>
      <c r="AG126" s="118">
        <v>1</v>
      </c>
      <c r="AH126" s="118">
        <v>1</v>
      </c>
      <c r="AI126" s="118">
        <v>1</v>
      </c>
      <c r="AJ126" s="118">
        <v>1</v>
      </c>
      <c r="AK126" s="118">
        <v>1</v>
      </c>
      <c r="AL126" s="118">
        <v>0</v>
      </c>
      <c r="AM126" s="118">
        <v>0</v>
      </c>
      <c r="AN126" s="118">
        <v>0</v>
      </c>
      <c r="AO126" s="118">
        <v>0</v>
      </c>
      <c r="AP126" s="118">
        <v>0</v>
      </c>
      <c r="AQ126" s="118">
        <v>0</v>
      </c>
      <c r="AR126" s="118">
        <v>0</v>
      </c>
      <c r="AS126" s="118">
        <v>0</v>
      </c>
      <c r="AT126" s="118">
        <v>0</v>
      </c>
      <c r="AU126" s="118">
        <f t="shared" si="9"/>
        <v>0</v>
      </c>
    </row>
    <row r="127" spans="1:50">
      <c r="A127" s="114">
        <v>9</v>
      </c>
      <c r="B127" s="116">
        <v>45933</v>
      </c>
      <c r="G127" s="115" t="s">
        <v>188</v>
      </c>
      <c r="H127" s="128">
        <v>3</v>
      </c>
      <c r="I127" s="117" t="str">
        <f t="shared" si="12"/>
        <v>AB_3</v>
      </c>
      <c r="J127" s="125" t="s">
        <v>773</v>
      </c>
      <c r="K127" s="127">
        <v>14</v>
      </c>
      <c r="L127" s="123" t="str">
        <f t="shared" si="11"/>
        <v>AB_3_14</v>
      </c>
      <c r="M127" s="125" t="s">
        <v>927</v>
      </c>
      <c r="N127" s="115" t="s">
        <v>88</v>
      </c>
      <c r="O127" s="115" t="s">
        <v>189</v>
      </c>
      <c r="P127" s="115">
        <v>100</v>
      </c>
      <c r="Q127" s="115">
        <v>500</v>
      </c>
      <c r="S127" s="115" t="s">
        <v>119</v>
      </c>
      <c r="T127" s="115">
        <v>5</v>
      </c>
      <c r="U127" s="115" t="s">
        <v>117</v>
      </c>
      <c r="V127" s="115" t="s">
        <v>117</v>
      </c>
      <c r="W127" s="118">
        <v>5</v>
      </c>
      <c r="X127" s="118">
        <v>11.48</v>
      </c>
      <c r="Y127" s="118">
        <v>3</v>
      </c>
      <c r="Z127" s="118">
        <v>3</v>
      </c>
      <c r="AA127" s="118">
        <v>3</v>
      </c>
      <c r="AB127" s="118">
        <v>3</v>
      </c>
      <c r="AC127" s="118">
        <v>3</v>
      </c>
      <c r="AD127" s="118">
        <v>3</v>
      </c>
      <c r="AE127" s="118">
        <v>3</v>
      </c>
      <c r="AF127" s="118">
        <v>3</v>
      </c>
      <c r="AG127" s="118">
        <v>3</v>
      </c>
      <c r="AH127" s="118">
        <v>3</v>
      </c>
      <c r="AI127" s="118">
        <v>3</v>
      </c>
      <c r="AJ127" s="118">
        <v>3</v>
      </c>
      <c r="AK127" s="118">
        <v>2</v>
      </c>
      <c r="AL127" s="118">
        <v>1</v>
      </c>
      <c r="AM127" s="118">
        <v>1</v>
      </c>
      <c r="AN127" s="118">
        <v>1</v>
      </c>
      <c r="AO127" s="118">
        <v>1</v>
      </c>
      <c r="AP127" s="118">
        <v>1</v>
      </c>
      <c r="AQ127" s="118">
        <v>0</v>
      </c>
      <c r="AR127" s="118">
        <v>0</v>
      </c>
      <c r="AS127" s="118">
        <v>0</v>
      </c>
      <c r="AT127" s="118">
        <v>0</v>
      </c>
      <c r="AU127" s="118">
        <f t="shared" si="9"/>
        <v>0</v>
      </c>
    </row>
    <row r="128" spans="1:50">
      <c r="A128" s="114">
        <v>9</v>
      </c>
      <c r="B128" s="116">
        <v>45933</v>
      </c>
      <c r="G128" s="115" t="s">
        <v>188</v>
      </c>
      <c r="H128" s="128">
        <v>3</v>
      </c>
      <c r="I128" s="117" t="str">
        <f t="shared" si="12"/>
        <v>AB_3</v>
      </c>
      <c r="J128" s="125" t="s">
        <v>773</v>
      </c>
      <c r="K128" s="127">
        <v>15</v>
      </c>
      <c r="L128" s="123" t="str">
        <f t="shared" si="11"/>
        <v>AB_3_15</v>
      </c>
      <c r="M128" s="125" t="s">
        <v>928</v>
      </c>
      <c r="N128" s="115" t="s">
        <v>88</v>
      </c>
      <c r="O128" s="115" t="s">
        <v>189</v>
      </c>
      <c r="P128" s="115">
        <v>100</v>
      </c>
      <c r="Q128" s="115">
        <v>500</v>
      </c>
      <c r="S128" s="115" t="s">
        <v>120</v>
      </c>
      <c r="T128" s="115">
        <v>5</v>
      </c>
      <c r="U128" s="115" t="s">
        <v>117</v>
      </c>
      <c r="V128" s="115" t="s">
        <v>117</v>
      </c>
      <c r="W128" s="118">
        <v>5</v>
      </c>
      <c r="X128" s="118">
        <v>12.07</v>
      </c>
      <c r="Y128" s="118">
        <v>4</v>
      </c>
      <c r="Z128" s="118">
        <v>4</v>
      </c>
      <c r="AA128" s="118">
        <v>4</v>
      </c>
      <c r="AB128" s="118">
        <v>4</v>
      </c>
      <c r="AC128" s="118">
        <v>4</v>
      </c>
      <c r="AD128" s="118">
        <v>4</v>
      </c>
      <c r="AE128" s="118">
        <v>4</v>
      </c>
      <c r="AF128" s="118">
        <v>4</v>
      </c>
      <c r="AG128" s="118">
        <v>4</v>
      </c>
      <c r="AH128" s="118">
        <v>4</v>
      </c>
      <c r="AI128" s="118">
        <v>2</v>
      </c>
      <c r="AJ128" s="118">
        <v>2</v>
      </c>
      <c r="AK128" s="118">
        <v>2</v>
      </c>
      <c r="AL128" s="118">
        <v>2</v>
      </c>
      <c r="AM128" s="118">
        <v>2</v>
      </c>
      <c r="AN128" s="118">
        <v>1</v>
      </c>
      <c r="AO128" s="118">
        <v>1</v>
      </c>
      <c r="AP128" s="118">
        <v>1</v>
      </c>
      <c r="AQ128" s="118">
        <v>1</v>
      </c>
      <c r="AR128" s="118">
        <v>1</v>
      </c>
      <c r="AS128" s="118">
        <v>1</v>
      </c>
      <c r="AT128" s="118">
        <v>1</v>
      </c>
      <c r="AU128" s="115">
        <v>1</v>
      </c>
      <c r="AV128" s="115">
        <v>1</v>
      </c>
      <c r="AW128" s="115" t="s">
        <v>193</v>
      </c>
    </row>
    <row r="129" spans="1:50">
      <c r="A129" s="114">
        <v>10</v>
      </c>
      <c r="B129" s="116">
        <v>45937</v>
      </c>
      <c r="C129" s="115" t="s">
        <v>166</v>
      </c>
      <c r="D129" s="115" t="s">
        <v>194</v>
      </c>
      <c r="E129" s="115" t="s">
        <v>195</v>
      </c>
      <c r="F129" s="115" t="s">
        <v>48</v>
      </c>
      <c r="G129" s="128" t="s">
        <v>196</v>
      </c>
      <c r="H129" s="128">
        <v>4</v>
      </c>
      <c r="I129" s="117" t="str">
        <f t="shared" ref="I129:I148" si="13">_xlfn.CONCAT(N129 &amp; "_" &amp; H129)</f>
        <v>TU_4</v>
      </c>
      <c r="J129" s="117" t="s">
        <v>794</v>
      </c>
      <c r="K129" s="127">
        <v>1</v>
      </c>
      <c r="L129" s="123" t="str">
        <f t="shared" si="11"/>
        <v>TU_4_1</v>
      </c>
      <c r="M129" s="117" t="s">
        <v>929</v>
      </c>
      <c r="N129" s="115" t="s">
        <v>50</v>
      </c>
      <c r="O129" s="115" t="s">
        <v>197</v>
      </c>
      <c r="P129" s="115">
        <v>100</v>
      </c>
      <c r="Q129" s="115">
        <v>500</v>
      </c>
      <c r="R129" s="115">
        <v>60</v>
      </c>
      <c r="S129" s="128">
        <v>1</v>
      </c>
      <c r="T129" s="128">
        <v>3</v>
      </c>
      <c r="U129" s="128">
        <v>10.09</v>
      </c>
      <c r="V129" s="128">
        <v>10.23</v>
      </c>
      <c r="W129" s="129">
        <v>3</v>
      </c>
      <c r="X129" s="129">
        <v>10.38</v>
      </c>
      <c r="Y129" s="129">
        <v>3</v>
      </c>
      <c r="Z129" s="129">
        <v>1</v>
      </c>
      <c r="AA129" s="129">
        <v>1</v>
      </c>
      <c r="AB129" s="129">
        <v>1</v>
      </c>
      <c r="AC129" s="129">
        <v>1</v>
      </c>
      <c r="AD129" s="129">
        <v>1</v>
      </c>
      <c r="AE129" s="129">
        <v>1</v>
      </c>
      <c r="AF129" s="118">
        <v>0</v>
      </c>
      <c r="AG129" s="118">
        <v>0</v>
      </c>
      <c r="AH129" s="118">
        <v>0</v>
      </c>
      <c r="AI129" s="118">
        <v>0</v>
      </c>
      <c r="AJ129" s="118">
        <v>0</v>
      </c>
      <c r="AK129" s="118">
        <v>0</v>
      </c>
      <c r="AL129" s="118">
        <v>0</v>
      </c>
      <c r="AM129" s="118">
        <v>0</v>
      </c>
      <c r="AN129" s="118">
        <v>0</v>
      </c>
      <c r="AO129" s="118">
        <v>0</v>
      </c>
      <c r="AP129" s="118">
        <v>0</v>
      </c>
      <c r="AQ129" s="118">
        <v>0</v>
      </c>
      <c r="AR129" s="118">
        <v>0</v>
      </c>
      <c r="AS129" s="118">
        <v>0</v>
      </c>
      <c r="AT129" s="118">
        <v>0</v>
      </c>
      <c r="AU129" s="118">
        <f t="shared" si="9"/>
        <v>0</v>
      </c>
      <c r="AV129" s="128"/>
      <c r="AW129" s="128"/>
      <c r="AX129" s="114" t="s">
        <v>53</v>
      </c>
    </row>
    <row r="130" spans="1:50">
      <c r="A130" s="114">
        <v>10</v>
      </c>
      <c r="B130" s="116">
        <v>45937</v>
      </c>
      <c r="D130" s="115" t="s">
        <v>198</v>
      </c>
      <c r="E130" s="115" t="s">
        <v>199</v>
      </c>
      <c r="G130" s="115" t="s">
        <v>196</v>
      </c>
      <c r="H130" s="128">
        <v>4</v>
      </c>
      <c r="I130" s="117" t="str">
        <f t="shared" si="13"/>
        <v>TU_4</v>
      </c>
      <c r="J130" s="117" t="s">
        <v>794</v>
      </c>
      <c r="K130" s="127">
        <v>2</v>
      </c>
      <c r="L130" s="123" t="str">
        <f t="shared" si="11"/>
        <v>TU_4_2</v>
      </c>
      <c r="M130" s="117" t="s">
        <v>930</v>
      </c>
      <c r="N130" s="115" t="s">
        <v>50</v>
      </c>
      <c r="O130" s="115" t="s">
        <v>197</v>
      </c>
      <c r="P130" s="115">
        <v>100</v>
      </c>
      <c r="Q130" s="115">
        <v>500</v>
      </c>
      <c r="S130" s="115">
        <v>2</v>
      </c>
      <c r="T130" s="115">
        <v>4</v>
      </c>
      <c r="U130" s="117">
        <v>10.3</v>
      </c>
      <c r="V130" s="115">
        <v>10.44</v>
      </c>
      <c r="W130" s="118">
        <v>4</v>
      </c>
      <c r="X130" s="118">
        <v>10.59</v>
      </c>
      <c r="Y130" s="118">
        <v>3</v>
      </c>
      <c r="Z130" s="118">
        <v>3</v>
      </c>
      <c r="AA130" s="118">
        <v>3</v>
      </c>
      <c r="AB130" s="118">
        <v>3</v>
      </c>
      <c r="AC130" s="118">
        <v>2</v>
      </c>
      <c r="AD130" s="118">
        <v>2</v>
      </c>
      <c r="AE130" s="118">
        <v>2</v>
      </c>
      <c r="AF130" s="118">
        <v>2</v>
      </c>
      <c r="AG130" s="118">
        <v>2</v>
      </c>
      <c r="AH130" s="118">
        <v>2</v>
      </c>
      <c r="AI130" s="118">
        <v>2</v>
      </c>
      <c r="AJ130" s="118">
        <v>2</v>
      </c>
      <c r="AK130" s="118">
        <v>2</v>
      </c>
      <c r="AL130" s="118">
        <v>1</v>
      </c>
      <c r="AM130" s="118">
        <v>1</v>
      </c>
      <c r="AN130" s="118">
        <v>1</v>
      </c>
      <c r="AO130" s="118">
        <v>1</v>
      </c>
      <c r="AP130" s="118">
        <v>1</v>
      </c>
      <c r="AQ130" s="118">
        <v>0</v>
      </c>
      <c r="AR130" s="118">
        <v>0</v>
      </c>
      <c r="AS130" s="118">
        <v>0</v>
      </c>
      <c r="AT130" s="118">
        <v>0</v>
      </c>
      <c r="AU130" s="118">
        <f t="shared" si="9"/>
        <v>0</v>
      </c>
    </row>
    <row r="131" spans="1:50">
      <c r="A131" s="114">
        <v>10</v>
      </c>
      <c r="B131" s="116">
        <v>45937</v>
      </c>
      <c r="E131" s="115" t="s">
        <v>200</v>
      </c>
      <c r="G131" s="115" t="s">
        <v>196</v>
      </c>
      <c r="H131" s="128">
        <v>4</v>
      </c>
      <c r="I131" s="117" t="str">
        <f t="shared" si="13"/>
        <v>TU_4</v>
      </c>
      <c r="J131" s="117" t="s">
        <v>794</v>
      </c>
      <c r="K131" s="127">
        <v>3</v>
      </c>
      <c r="L131" s="123" t="str">
        <f t="shared" si="11"/>
        <v>TU_4_3</v>
      </c>
      <c r="M131" s="117" t="s">
        <v>931</v>
      </c>
      <c r="N131" s="115" t="s">
        <v>50</v>
      </c>
      <c r="O131" s="115" t="s">
        <v>197</v>
      </c>
      <c r="P131" s="115">
        <v>100</v>
      </c>
      <c r="Q131" s="115">
        <v>500</v>
      </c>
      <c r="S131" s="115">
        <v>3</v>
      </c>
      <c r="T131" s="115">
        <v>4</v>
      </c>
      <c r="U131" s="115">
        <v>10.45</v>
      </c>
      <c r="V131" s="115">
        <v>11.03</v>
      </c>
      <c r="W131" s="118">
        <v>4</v>
      </c>
      <c r="X131" s="118">
        <v>11.19</v>
      </c>
      <c r="Y131" s="118">
        <v>4</v>
      </c>
      <c r="Z131" s="118">
        <v>4</v>
      </c>
      <c r="AA131" s="118">
        <v>4</v>
      </c>
      <c r="AB131" s="118">
        <v>4</v>
      </c>
      <c r="AC131" s="118">
        <v>3</v>
      </c>
      <c r="AD131" s="118">
        <v>3</v>
      </c>
      <c r="AE131" s="118">
        <v>3</v>
      </c>
      <c r="AF131" s="118">
        <v>3</v>
      </c>
      <c r="AG131" s="118">
        <v>3</v>
      </c>
      <c r="AH131" s="118">
        <v>3</v>
      </c>
      <c r="AI131" s="118">
        <v>3</v>
      </c>
      <c r="AJ131" s="118">
        <v>3</v>
      </c>
      <c r="AK131" s="118">
        <v>3</v>
      </c>
      <c r="AL131" s="118">
        <v>3</v>
      </c>
      <c r="AM131" s="118">
        <v>2</v>
      </c>
      <c r="AN131" s="118">
        <v>0</v>
      </c>
      <c r="AO131" s="118">
        <v>0</v>
      </c>
      <c r="AP131" s="118">
        <v>0</v>
      </c>
      <c r="AQ131" s="118">
        <v>0</v>
      </c>
      <c r="AR131" s="118">
        <v>0</v>
      </c>
      <c r="AS131" s="118">
        <v>0</v>
      </c>
      <c r="AT131" s="118">
        <v>0</v>
      </c>
      <c r="AU131" s="118">
        <f t="shared" si="9"/>
        <v>0</v>
      </c>
    </row>
    <row r="132" spans="1:50">
      <c r="A132" s="114">
        <v>10</v>
      </c>
      <c r="B132" s="116">
        <v>45937</v>
      </c>
      <c r="E132" s="115" t="s">
        <v>201</v>
      </c>
      <c r="G132" s="115" t="s">
        <v>196</v>
      </c>
      <c r="H132" s="128">
        <v>4</v>
      </c>
      <c r="I132" s="117" t="str">
        <f t="shared" si="13"/>
        <v>TU_4</v>
      </c>
      <c r="J132" s="117" t="s">
        <v>794</v>
      </c>
      <c r="K132" s="127">
        <v>4</v>
      </c>
      <c r="L132" s="123" t="str">
        <f t="shared" si="11"/>
        <v>TU_4_4</v>
      </c>
      <c r="M132" s="117" t="s">
        <v>932</v>
      </c>
      <c r="N132" s="115" t="s">
        <v>50</v>
      </c>
      <c r="O132" s="115" t="s">
        <v>197</v>
      </c>
      <c r="P132" s="115">
        <v>100</v>
      </c>
      <c r="Q132" s="115">
        <v>500</v>
      </c>
      <c r="S132" s="115">
        <v>4</v>
      </c>
      <c r="T132" s="115">
        <v>4</v>
      </c>
      <c r="U132" s="115">
        <v>11.11</v>
      </c>
      <c r="V132" s="115">
        <v>11.24</v>
      </c>
      <c r="W132" s="118">
        <v>4</v>
      </c>
      <c r="X132" s="118">
        <v>11.38</v>
      </c>
      <c r="Y132" s="118">
        <v>4</v>
      </c>
      <c r="Z132" s="118">
        <v>1</v>
      </c>
      <c r="AA132" s="118">
        <v>1</v>
      </c>
      <c r="AB132" s="118">
        <v>1</v>
      </c>
      <c r="AC132" s="118">
        <v>1</v>
      </c>
      <c r="AD132" s="118">
        <v>1</v>
      </c>
      <c r="AE132" s="118">
        <v>1</v>
      </c>
      <c r="AF132" s="118">
        <v>1</v>
      </c>
      <c r="AG132" s="118">
        <v>1</v>
      </c>
      <c r="AH132" s="118">
        <v>1</v>
      </c>
      <c r="AI132" s="118">
        <v>1</v>
      </c>
      <c r="AJ132" s="118">
        <v>1</v>
      </c>
      <c r="AK132" s="118">
        <v>1</v>
      </c>
      <c r="AL132" s="118">
        <v>1</v>
      </c>
      <c r="AM132" s="118">
        <v>1</v>
      </c>
      <c r="AN132" s="118">
        <v>1</v>
      </c>
      <c r="AO132" s="118">
        <v>1</v>
      </c>
      <c r="AP132" s="118">
        <v>1</v>
      </c>
      <c r="AQ132" s="118">
        <v>1</v>
      </c>
      <c r="AR132" s="118">
        <v>0</v>
      </c>
      <c r="AS132" s="118">
        <v>0</v>
      </c>
      <c r="AT132" s="118">
        <v>0</v>
      </c>
      <c r="AU132" s="118">
        <f t="shared" si="9"/>
        <v>0</v>
      </c>
    </row>
    <row r="133" spans="1:50">
      <c r="A133" s="114">
        <v>10</v>
      </c>
      <c r="B133" s="116">
        <v>45937</v>
      </c>
      <c r="G133" s="115" t="s">
        <v>196</v>
      </c>
      <c r="H133" s="128">
        <v>4</v>
      </c>
      <c r="I133" s="117" t="str">
        <f t="shared" si="13"/>
        <v>TU_4</v>
      </c>
      <c r="J133" s="117" t="s">
        <v>794</v>
      </c>
      <c r="K133" s="127">
        <v>5</v>
      </c>
      <c r="L133" s="123" t="str">
        <f t="shared" si="11"/>
        <v>TU_4_5</v>
      </c>
      <c r="M133" s="117" t="s">
        <v>933</v>
      </c>
      <c r="N133" s="115" t="s">
        <v>50</v>
      </c>
      <c r="O133" s="115" t="s">
        <v>197</v>
      </c>
      <c r="P133" s="115">
        <v>100</v>
      </c>
      <c r="Q133" s="115">
        <v>500</v>
      </c>
      <c r="S133" s="115">
        <v>5</v>
      </c>
      <c r="T133" s="115">
        <v>4</v>
      </c>
      <c r="U133" s="115">
        <v>11.25</v>
      </c>
      <c r="V133" s="115">
        <v>11.38</v>
      </c>
      <c r="W133" s="118">
        <v>4</v>
      </c>
      <c r="X133" s="118">
        <v>11.54</v>
      </c>
      <c r="Y133" s="118">
        <v>4</v>
      </c>
      <c r="Z133" s="118">
        <v>4</v>
      </c>
      <c r="AA133" s="118">
        <v>4</v>
      </c>
      <c r="AB133" s="118">
        <v>3</v>
      </c>
      <c r="AC133" s="118">
        <v>1</v>
      </c>
      <c r="AD133" s="118">
        <v>0</v>
      </c>
      <c r="AE133" s="118">
        <v>0</v>
      </c>
      <c r="AF133" s="118">
        <v>0</v>
      </c>
      <c r="AG133" s="118">
        <v>0</v>
      </c>
      <c r="AH133" s="118">
        <v>0</v>
      </c>
      <c r="AI133" s="118">
        <v>0</v>
      </c>
      <c r="AJ133" s="118">
        <v>0</v>
      </c>
      <c r="AK133" s="118">
        <v>0</v>
      </c>
      <c r="AL133" s="118">
        <v>0</v>
      </c>
      <c r="AM133" s="118">
        <v>0</v>
      </c>
      <c r="AN133" s="118">
        <v>0</v>
      </c>
      <c r="AO133" s="118">
        <v>0</v>
      </c>
      <c r="AP133" s="118">
        <v>0</v>
      </c>
      <c r="AQ133" s="118">
        <v>0</v>
      </c>
      <c r="AR133" s="118">
        <v>0</v>
      </c>
      <c r="AS133" s="118">
        <v>0</v>
      </c>
      <c r="AT133" s="118">
        <v>0</v>
      </c>
      <c r="AU133" s="118">
        <f t="shared" ref="AU133:AU196" si="14">AT133</f>
        <v>0</v>
      </c>
    </row>
    <row r="134" spans="1:50">
      <c r="A134" s="114">
        <v>10</v>
      </c>
      <c r="B134" s="116">
        <v>45937</v>
      </c>
      <c r="G134" s="115" t="s">
        <v>196</v>
      </c>
      <c r="H134" s="128">
        <v>4</v>
      </c>
      <c r="I134" s="117" t="str">
        <f t="shared" si="13"/>
        <v>TU_4</v>
      </c>
      <c r="J134" s="117" t="s">
        <v>794</v>
      </c>
      <c r="K134" s="127">
        <v>6</v>
      </c>
      <c r="L134" s="123" t="str">
        <f t="shared" si="11"/>
        <v>TU_4_6</v>
      </c>
      <c r="M134" s="117" t="s">
        <v>934</v>
      </c>
      <c r="N134" s="115" t="s">
        <v>50</v>
      </c>
      <c r="O134" s="115" t="s">
        <v>197</v>
      </c>
      <c r="P134" s="115">
        <v>100</v>
      </c>
      <c r="Q134" s="115">
        <v>500</v>
      </c>
      <c r="S134" s="115">
        <v>6</v>
      </c>
      <c r="T134" s="115">
        <v>4</v>
      </c>
      <c r="U134" s="115">
        <v>11.56</v>
      </c>
      <c r="V134" s="115">
        <v>12.13</v>
      </c>
      <c r="W134" s="118">
        <v>4</v>
      </c>
      <c r="X134" s="118">
        <v>12.27</v>
      </c>
      <c r="Y134" s="118">
        <v>4</v>
      </c>
      <c r="Z134" s="118">
        <v>4</v>
      </c>
      <c r="AA134" s="118">
        <v>4</v>
      </c>
      <c r="AB134" s="118">
        <v>2</v>
      </c>
      <c r="AC134" s="118">
        <v>2</v>
      </c>
      <c r="AD134" s="118">
        <v>2</v>
      </c>
      <c r="AE134" s="118">
        <v>2</v>
      </c>
      <c r="AF134" s="118">
        <v>2</v>
      </c>
      <c r="AG134" s="118">
        <v>2</v>
      </c>
      <c r="AH134" s="118">
        <v>2</v>
      </c>
      <c r="AI134" s="118">
        <v>2</v>
      </c>
      <c r="AJ134" s="118">
        <v>2</v>
      </c>
      <c r="AK134" s="118">
        <v>2</v>
      </c>
      <c r="AL134" s="118">
        <v>1</v>
      </c>
      <c r="AM134" s="118">
        <v>0</v>
      </c>
      <c r="AN134" s="118">
        <v>0</v>
      </c>
      <c r="AO134" s="118">
        <v>0</v>
      </c>
      <c r="AP134" s="118">
        <v>0</v>
      </c>
      <c r="AQ134" s="118">
        <v>0</v>
      </c>
      <c r="AR134" s="118">
        <v>0</v>
      </c>
      <c r="AS134" s="118">
        <v>0</v>
      </c>
      <c r="AT134" s="118">
        <v>0</v>
      </c>
      <c r="AU134" s="118">
        <f t="shared" si="14"/>
        <v>0</v>
      </c>
    </row>
    <row r="135" spans="1:50">
      <c r="A135" s="114">
        <v>10</v>
      </c>
      <c r="B135" s="116">
        <v>45937</v>
      </c>
      <c r="G135" s="115" t="s">
        <v>196</v>
      </c>
      <c r="H135" s="128">
        <v>4</v>
      </c>
      <c r="I135" s="117" t="str">
        <f t="shared" si="13"/>
        <v>TU_4</v>
      </c>
      <c r="J135" s="117" t="s">
        <v>794</v>
      </c>
      <c r="K135" s="127">
        <v>7</v>
      </c>
      <c r="L135" s="123" t="str">
        <f t="shared" si="11"/>
        <v>TU_4_7</v>
      </c>
      <c r="M135" s="117" t="s">
        <v>935</v>
      </c>
      <c r="N135" s="115" t="s">
        <v>50</v>
      </c>
      <c r="O135" s="115" t="s">
        <v>197</v>
      </c>
      <c r="P135" s="115">
        <v>100</v>
      </c>
      <c r="Q135" s="115">
        <v>500</v>
      </c>
      <c r="S135" s="115">
        <v>7</v>
      </c>
      <c r="T135" s="115">
        <v>4</v>
      </c>
      <c r="U135" s="117">
        <v>12.2</v>
      </c>
      <c r="V135" s="115">
        <v>12.35</v>
      </c>
      <c r="W135" s="118">
        <v>4</v>
      </c>
      <c r="X135" s="118">
        <v>12.5</v>
      </c>
      <c r="Y135" s="118">
        <v>4</v>
      </c>
      <c r="Z135" s="118">
        <v>4</v>
      </c>
      <c r="AA135" s="118">
        <v>4</v>
      </c>
      <c r="AB135" s="118">
        <v>2</v>
      </c>
      <c r="AC135" s="118">
        <v>2</v>
      </c>
      <c r="AD135" s="118">
        <v>2</v>
      </c>
      <c r="AE135" s="118">
        <v>2</v>
      </c>
      <c r="AF135" s="118">
        <v>2</v>
      </c>
      <c r="AG135" s="118">
        <v>2</v>
      </c>
      <c r="AH135" s="118">
        <v>2</v>
      </c>
      <c r="AI135" s="118">
        <v>2</v>
      </c>
      <c r="AJ135" s="118">
        <v>1</v>
      </c>
      <c r="AK135" s="118">
        <v>0</v>
      </c>
      <c r="AL135" s="118">
        <v>0</v>
      </c>
      <c r="AM135" s="118">
        <v>0</v>
      </c>
      <c r="AN135" s="118">
        <v>0</v>
      </c>
      <c r="AO135" s="118">
        <v>0</v>
      </c>
      <c r="AP135" s="118">
        <v>0</v>
      </c>
      <c r="AQ135" s="118">
        <v>0</v>
      </c>
      <c r="AR135" s="118">
        <v>0</v>
      </c>
      <c r="AS135" s="118">
        <v>0</v>
      </c>
      <c r="AT135" s="118">
        <v>0</v>
      </c>
      <c r="AU135" s="118">
        <f t="shared" si="14"/>
        <v>0</v>
      </c>
    </row>
    <row r="136" spans="1:50">
      <c r="A136" s="114">
        <v>10</v>
      </c>
      <c r="B136" s="116">
        <v>45937</v>
      </c>
      <c r="G136" s="115" t="s">
        <v>196</v>
      </c>
      <c r="H136" s="128">
        <v>4</v>
      </c>
      <c r="I136" s="117" t="str">
        <f t="shared" si="13"/>
        <v>TU_4</v>
      </c>
      <c r="J136" s="117" t="s">
        <v>794</v>
      </c>
      <c r="K136" s="127">
        <v>8</v>
      </c>
      <c r="L136" s="123" t="str">
        <f t="shared" si="11"/>
        <v>TU_4_8</v>
      </c>
      <c r="M136" s="117" t="s">
        <v>936</v>
      </c>
      <c r="N136" s="115" t="s">
        <v>50</v>
      </c>
      <c r="O136" s="115" t="s">
        <v>197</v>
      </c>
      <c r="P136" s="115">
        <v>100</v>
      </c>
      <c r="Q136" s="115">
        <v>500</v>
      </c>
      <c r="R136" s="115">
        <v>70</v>
      </c>
      <c r="S136" s="115">
        <v>1</v>
      </c>
      <c r="T136" s="115">
        <v>3</v>
      </c>
      <c r="U136" s="115">
        <v>10.16</v>
      </c>
      <c r="V136" s="115">
        <v>10.25</v>
      </c>
      <c r="W136" s="118">
        <v>3</v>
      </c>
      <c r="X136" s="118">
        <v>10.43</v>
      </c>
      <c r="Y136" s="118">
        <v>1</v>
      </c>
      <c r="Z136" s="118">
        <v>1</v>
      </c>
      <c r="AA136" s="118">
        <v>1</v>
      </c>
      <c r="AB136" s="118">
        <v>1</v>
      </c>
      <c r="AC136" s="118">
        <v>0</v>
      </c>
      <c r="AD136" s="118">
        <v>0</v>
      </c>
      <c r="AE136" s="118">
        <v>0</v>
      </c>
      <c r="AF136" s="118">
        <v>0</v>
      </c>
      <c r="AG136" s="118">
        <v>0</v>
      </c>
      <c r="AH136" s="118">
        <v>0</v>
      </c>
      <c r="AI136" s="118">
        <v>0</v>
      </c>
      <c r="AJ136" s="118">
        <v>0</v>
      </c>
      <c r="AK136" s="118">
        <v>0</v>
      </c>
      <c r="AL136" s="118">
        <v>0</v>
      </c>
      <c r="AM136" s="118">
        <v>0</v>
      </c>
      <c r="AN136" s="118">
        <v>0</v>
      </c>
      <c r="AO136" s="118">
        <v>0</v>
      </c>
      <c r="AP136" s="118">
        <v>0</v>
      </c>
      <c r="AQ136" s="118">
        <v>0</v>
      </c>
      <c r="AR136" s="118">
        <v>0</v>
      </c>
      <c r="AS136" s="118">
        <v>0</v>
      </c>
      <c r="AT136" s="118">
        <v>0</v>
      </c>
      <c r="AU136" s="118">
        <f t="shared" si="14"/>
        <v>0</v>
      </c>
      <c r="AX136" s="114" t="s">
        <v>67</v>
      </c>
    </row>
    <row r="137" spans="1:50">
      <c r="A137" s="114">
        <v>10</v>
      </c>
      <c r="B137" s="116">
        <v>45937</v>
      </c>
      <c r="G137" s="115" t="s">
        <v>196</v>
      </c>
      <c r="H137" s="128">
        <v>4</v>
      </c>
      <c r="I137" s="117" t="str">
        <f t="shared" si="13"/>
        <v>TU_4</v>
      </c>
      <c r="J137" s="117" t="s">
        <v>794</v>
      </c>
      <c r="K137" s="127">
        <v>9</v>
      </c>
      <c r="L137" s="123" t="str">
        <f t="shared" si="11"/>
        <v>TU_4_9</v>
      </c>
      <c r="M137" s="117" t="s">
        <v>937</v>
      </c>
      <c r="N137" s="115" t="s">
        <v>50</v>
      </c>
      <c r="O137" s="115" t="s">
        <v>197</v>
      </c>
      <c r="P137" s="115">
        <v>100</v>
      </c>
      <c r="Q137" s="115">
        <v>500</v>
      </c>
      <c r="S137" s="115">
        <v>2</v>
      </c>
      <c r="T137" s="115">
        <v>4</v>
      </c>
      <c r="U137" s="115">
        <v>10.29</v>
      </c>
      <c r="V137" s="115">
        <v>11.44</v>
      </c>
      <c r="W137" s="118">
        <v>4</v>
      </c>
      <c r="X137" s="118">
        <v>11.01</v>
      </c>
      <c r="Y137" s="118">
        <v>2</v>
      </c>
      <c r="Z137" s="118">
        <v>2</v>
      </c>
      <c r="AA137" s="118">
        <v>2</v>
      </c>
      <c r="AB137" s="118">
        <v>2</v>
      </c>
      <c r="AC137" s="118">
        <v>2</v>
      </c>
      <c r="AD137" s="118">
        <v>2</v>
      </c>
      <c r="AE137" s="118">
        <v>2</v>
      </c>
      <c r="AF137" s="118">
        <v>1</v>
      </c>
      <c r="AG137" s="118">
        <v>1</v>
      </c>
      <c r="AH137" s="118">
        <v>1</v>
      </c>
      <c r="AI137" s="118">
        <v>1</v>
      </c>
      <c r="AJ137" s="118">
        <v>1</v>
      </c>
      <c r="AK137" s="118">
        <v>1</v>
      </c>
      <c r="AL137" s="118">
        <v>1</v>
      </c>
      <c r="AM137" s="118">
        <v>1</v>
      </c>
      <c r="AN137" s="118">
        <v>1</v>
      </c>
      <c r="AO137" s="118">
        <v>1</v>
      </c>
      <c r="AP137" s="118">
        <v>1</v>
      </c>
      <c r="AQ137" s="118">
        <v>1</v>
      </c>
      <c r="AR137" s="118">
        <v>1</v>
      </c>
      <c r="AS137" s="118">
        <v>1</v>
      </c>
      <c r="AT137" s="118">
        <v>1</v>
      </c>
      <c r="AU137" s="118">
        <f t="shared" si="14"/>
        <v>1</v>
      </c>
      <c r="AV137" s="115">
        <v>0</v>
      </c>
      <c r="AW137" s="115" t="s">
        <v>202</v>
      </c>
    </row>
    <row r="138" spans="1:50">
      <c r="A138" s="114">
        <v>10</v>
      </c>
      <c r="B138" s="116">
        <v>45937</v>
      </c>
      <c r="G138" s="115" t="s">
        <v>196</v>
      </c>
      <c r="H138" s="128">
        <v>4</v>
      </c>
      <c r="I138" s="117" t="str">
        <f t="shared" si="13"/>
        <v>TU_4</v>
      </c>
      <c r="J138" s="117" t="s">
        <v>794</v>
      </c>
      <c r="K138" s="127">
        <v>10</v>
      </c>
      <c r="L138" s="123" t="str">
        <f t="shared" si="11"/>
        <v>TU_4_10</v>
      </c>
      <c r="M138" s="117" t="s">
        <v>938</v>
      </c>
      <c r="N138" s="115" t="s">
        <v>50</v>
      </c>
      <c r="O138" s="115" t="s">
        <v>197</v>
      </c>
      <c r="P138" s="115">
        <v>100</v>
      </c>
      <c r="Q138" s="115">
        <v>500</v>
      </c>
      <c r="S138" s="115">
        <v>3</v>
      </c>
      <c r="T138" s="115">
        <v>4</v>
      </c>
      <c r="U138" s="115">
        <v>10.55</v>
      </c>
      <c r="V138" s="115">
        <v>11.07</v>
      </c>
      <c r="W138" s="118">
        <v>4</v>
      </c>
      <c r="X138" s="118">
        <v>11.23</v>
      </c>
      <c r="Y138" s="118">
        <v>2</v>
      </c>
      <c r="Z138" s="118">
        <v>2</v>
      </c>
      <c r="AA138" s="118">
        <v>2</v>
      </c>
      <c r="AB138" s="118">
        <v>2</v>
      </c>
      <c r="AC138" s="118">
        <v>0</v>
      </c>
      <c r="AD138" s="118">
        <v>0</v>
      </c>
      <c r="AE138" s="118">
        <v>0</v>
      </c>
      <c r="AF138" s="118">
        <v>0</v>
      </c>
      <c r="AG138" s="118">
        <v>0</v>
      </c>
      <c r="AH138" s="118">
        <v>0</v>
      </c>
      <c r="AI138" s="118">
        <v>0</v>
      </c>
      <c r="AJ138" s="118">
        <v>0</v>
      </c>
      <c r="AK138" s="118">
        <v>0</v>
      </c>
      <c r="AL138" s="118">
        <v>0</v>
      </c>
      <c r="AM138" s="118">
        <v>0</v>
      </c>
      <c r="AN138" s="118">
        <v>0</v>
      </c>
      <c r="AO138" s="118">
        <v>0</v>
      </c>
      <c r="AP138" s="118">
        <v>0</v>
      </c>
      <c r="AQ138" s="118">
        <v>0</v>
      </c>
      <c r="AR138" s="118">
        <v>0</v>
      </c>
      <c r="AS138" s="118">
        <v>0</v>
      </c>
      <c r="AT138" s="118">
        <v>0</v>
      </c>
      <c r="AU138" s="118">
        <f t="shared" si="14"/>
        <v>0</v>
      </c>
    </row>
    <row r="139" spans="1:50">
      <c r="A139" s="114">
        <v>10</v>
      </c>
      <c r="B139" s="116">
        <v>45937</v>
      </c>
      <c r="G139" s="115" t="s">
        <v>196</v>
      </c>
      <c r="H139" s="128">
        <v>4</v>
      </c>
      <c r="I139" s="117" t="str">
        <f t="shared" si="13"/>
        <v>TU_4</v>
      </c>
      <c r="J139" s="117" t="s">
        <v>794</v>
      </c>
      <c r="K139" s="127">
        <v>11</v>
      </c>
      <c r="L139" s="123" t="str">
        <f t="shared" si="11"/>
        <v>TU_4_11</v>
      </c>
      <c r="M139" s="117" t="s">
        <v>939</v>
      </c>
      <c r="N139" s="115" t="s">
        <v>50</v>
      </c>
      <c r="O139" s="115" t="s">
        <v>197</v>
      </c>
      <c r="P139" s="115">
        <v>100</v>
      </c>
      <c r="Q139" s="115">
        <v>500</v>
      </c>
      <c r="S139" s="115">
        <v>4</v>
      </c>
      <c r="T139" s="115">
        <v>5</v>
      </c>
      <c r="U139" s="115">
        <v>11.12</v>
      </c>
      <c r="V139" s="115">
        <v>11.33</v>
      </c>
      <c r="W139" s="118">
        <v>5</v>
      </c>
      <c r="X139" s="118">
        <v>11.48</v>
      </c>
      <c r="Y139" s="118">
        <v>5</v>
      </c>
      <c r="Z139" s="118">
        <v>0</v>
      </c>
      <c r="AA139" s="118">
        <v>0</v>
      </c>
      <c r="AB139" s="118">
        <v>0</v>
      </c>
      <c r="AC139" s="118">
        <v>0</v>
      </c>
      <c r="AD139" s="118">
        <v>0</v>
      </c>
      <c r="AE139" s="118">
        <v>0</v>
      </c>
      <c r="AF139" s="118">
        <v>0</v>
      </c>
      <c r="AG139" s="118">
        <v>0</v>
      </c>
      <c r="AH139" s="118">
        <v>0</v>
      </c>
      <c r="AI139" s="118">
        <v>0</v>
      </c>
      <c r="AJ139" s="118">
        <v>0</v>
      </c>
      <c r="AK139" s="118">
        <v>0</v>
      </c>
      <c r="AL139" s="118">
        <v>0</v>
      </c>
      <c r="AM139" s="118">
        <v>0</v>
      </c>
      <c r="AN139" s="118">
        <v>0</v>
      </c>
      <c r="AO139" s="118">
        <v>0</v>
      </c>
      <c r="AP139" s="118">
        <v>0</v>
      </c>
      <c r="AQ139" s="118">
        <v>0</v>
      </c>
      <c r="AR139" s="118">
        <v>0</v>
      </c>
      <c r="AS139" s="118">
        <v>0</v>
      </c>
      <c r="AT139" s="118">
        <v>0</v>
      </c>
      <c r="AU139" s="118">
        <f t="shared" si="14"/>
        <v>0</v>
      </c>
    </row>
    <row r="140" spans="1:50">
      <c r="A140" s="114">
        <v>10</v>
      </c>
      <c r="B140" s="116">
        <v>45937</v>
      </c>
      <c r="G140" s="115" t="s">
        <v>196</v>
      </c>
      <c r="H140" s="128">
        <v>4</v>
      </c>
      <c r="I140" s="117" t="str">
        <f t="shared" si="13"/>
        <v>TU_4</v>
      </c>
      <c r="J140" s="117" t="s">
        <v>794</v>
      </c>
      <c r="K140" s="127">
        <v>12</v>
      </c>
      <c r="L140" s="123" t="str">
        <f t="shared" si="11"/>
        <v>TU_4_12</v>
      </c>
      <c r="M140" s="117" t="s">
        <v>940</v>
      </c>
      <c r="N140" s="115" t="s">
        <v>50</v>
      </c>
      <c r="O140" s="115" t="s">
        <v>197</v>
      </c>
      <c r="P140" s="115">
        <v>100</v>
      </c>
      <c r="Q140" s="115">
        <v>500</v>
      </c>
      <c r="S140" s="115">
        <v>5</v>
      </c>
      <c r="T140" s="115">
        <v>4</v>
      </c>
      <c r="U140" s="115">
        <v>11.48</v>
      </c>
      <c r="V140" s="115">
        <v>12.06</v>
      </c>
      <c r="W140" s="118">
        <v>4</v>
      </c>
      <c r="X140" s="118">
        <v>12.22</v>
      </c>
      <c r="Y140" s="118">
        <v>3</v>
      </c>
      <c r="Z140" s="118">
        <v>3</v>
      </c>
      <c r="AA140" s="118">
        <v>3</v>
      </c>
      <c r="AB140" s="118">
        <v>3</v>
      </c>
      <c r="AC140" s="118">
        <v>3</v>
      </c>
      <c r="AD140" s="118">
        <v>3</v>
      </c>
      <c r="AE140" s="118">
        <v>3</v>
      </c>
      <c r="AF140" s="118">
        <v>3</v>
      </c>
      <c r="AG140" s="118">
        <v>3</v>
      </c>
      <c r="AH140" s="118">
        <v>3</v>
      </c>
      <c r="AI140" s="118">
        <v>3</v>
      </c>
      <c r="AJ140" s="118">
        <v>3</v>
      </c>
      <c r="AK140" s="118">
        <v>3</v>
      </c>
      <c r="AL140" s="118">
        <v>3</v>
      </c>
      <c r="AM140" s="118">
        <v>1</v>
      </c>
      <c r="AN140" s="118">
        <v>1</v>
      </c>
      <c r="AO140" s="118">
        <v>1</v>
      </c>
      <c r="AP140" s="118">
        <v>1</v>
      </c>
      <c r="AQ140" s="118">
        <v>1</v>
      </c>
      <c r="AR140" s="118">
        <v>1</v>
      </c>
      <c r="AS140" s="118">
        <v>1</v>
      </c>
      <c r="AT140" s="118">
        <v>1</v>
      </c>
      <c r="AU140" s="118">
        <f t="shared" si="14"/>
        <v>1</v>
      </c>
      <c r="AV140" s="115">
        <v>0</v>
      </c>
      <c r="AW140" s="115" t="s">
        <v>203</v>
      </c>
    </row>
    <row r="141" spans="1:50">
      <c r="A141" s="114">
        <v>10</v>
      </c>
      <c r="B141" s="116">
        <v>45937</v>
      </c>
      <c r="G141" s="115" t="s">
        <v>196</v>
      </c>
      <c r="H141" s="128">
        <v>4</v>
      </c>
      <c r="I141" s="117" t="str">
        <f t="shared" si="13"/>
        <v>TU_4</v>
      </c>
      <c r="J141" s="117" t="s">
        <v>794</v>
      </c>
      <c r="K141" s="127">
        <v>13</v>
      </c>
      <c r="L141" s="123" t="str">
        <f t="shared" si="11"/>
        <v>TU_4_13</v>
      </c>
      <c r="M141" s="117" t="s">
        <v>941</v>
      </c>
      <c r="N141" s="115" t="s">
        <v>50</v>
      </c>
      <c r="O141" s="115" t="s">
        <v>197</v>
      </c>
      <c r="P141" s="115">
        <v>100</v>
      </c>
      <c r="Q141" s="115">
        <v>500</v>
      </c>
      <c r="S141" s="115">
        <v>6</v>
      </c>
      <c r="T141" s="115">
        <v>2</v>
      </c>
      <c r="U141" s="115">
        <v>12.09</v>
      </c>
      <c r="V141" s="115">
        <v>12.32</v>
      </c>
      <c r="W141" s="118">
        <v>2</v>
      </c>
      <c r="X141" s="118">
        <v>12.48</v>
      </c>
      <c r="Y141" s="118">
        <v>2</v>
      </c>
      <c r="Z141" s="118">
        <v>2</v>
      </c>
      <c r="AA141" s="118">
        <v>2</v>
      </c>
      <c r="AB141" s="118">
        <v>2</v>
      </c>
      <c r="AC141" s="118">
        <v>2</v>
      </c>
      <c r="AD141" s="118">
        <v>2</v>
      </c>
      <c r="AE141" s="118">
        <v>2</v>
      </c>
      <c r="AF141" s="118">
        <v>2</v>
      </c>
      <c r="AG141" s="118">
        <v>1</v>
      </c>
      <c r="AH141" s="118">
        <v>1</v>
      </c>
      <c r="AI141" s="118">
        <v>1</v>
      </c>
      <c r="AJ141" s="118">
        <v>0</v>
      </c>
      <c r="AK141" s="118">
        <v>0</v>
      </c>
      <c r="AL141" s="118">
        <v>0</v>
      </c>
      <c r="AM141" s="118">
        <v>0</v>
      </c>
      <c r="AN141" s="118">
        <v>0</v>
      </c>
      <c r="AO141" s="118">
        <v>0</v>
      </c>
      <c r="AP141" s="118">
        <v>0</v>
      </c>
      <c r="AQ141" s="118">
        <v>0</v>
      </c>
      <c r="AR141" s="118">
        <v>0</v>
      </c>
      <c r="AS141" s="118">
        <v>0</v>
      </c>
      <c r="AT141" s="118">
        <v>0</v>
      </c>
      <c r="AU141" s="118">
        <f t="shared" si="14"/>
        <v>0</v>
      </c>
    </row>
    <row r="142" spans="1:50">
      <c r="A142" s="114">
        <v>10</v>
      </c>
      <c r="B142" s="116">
        <v>45937</v>
      </c>
      <c r="G142" s="115" t="s">
        <v>196</v>
      </c>
      <c r="H142" s="128">
        <v>4</v>
      </c>
      <c r="I142" s="117" t="str">
        <f t="shared" si="13"/>
        <v>TU_4</v>
      </c>
      <c r="J142" s="117" t="s">
        <v>794</v>
      </c>
      <c r="K142" s="127">
        <v>14</v>
      </c>
      <c r="L142" s="123" t="str">
        <f t="shared" si="11"/>
        <v>TU_4_14</v>
      </c>
      <c r="M142" s="117" t="s">
        <v>942</v>
      </c>
      <c r="N142" s="115" t="s">
        <v>50</v>
      </c>
      <c r="O142" s="115" t="s">
        <v>197</v>
      </c>
      <c r="P142" s="115">
        <v>100</v>
      </c>
      <c r="Q142" s="115">
        <v>500</v>
      </c>
      <c r="S142" s="115" t="s">
        <v>115</v>
      </c>
      <c r="T142" s="115">
        <v>5</v>
      </c>
      <c r="U142" s="115" t="s">
        <v>117</v>
      </c>
      <c r="V142" s="115" t="s">
        <v>117</v>
      </c>
      <c r="W142" s="118">
        <v>5</v>
      </c>
      <c r="X142" s="118">
        <v>10.47</v>
      </c>
      <c r="Y142" s="118">
        <v>1</v>
      </c>
      <c r="Z142" s="118">
        <v>1</v>
      </c>
      <c r="AA142" s="118">
        <v>1</v>
      </c>
      <c r="AB142" s="118">
        <v>1</v>
      </c>
      <c r="AC142" s="118">
        <v>1</v>
      </c>
      <c r="AD142" s="118">
        <v>1</v>
      </c>
      <c r="AE142" s="118">
        <v>1</v>
      </c>
      <c r="AF142" s="118">
        <v>1</v>
      </c>
      <c r="AG142" s="118">
        <v>0</v>
      </c>
      <c r="AH142" s="118">
        <v>0</v>
      </c>
      <c r="AI142" s="118">
        <v>0</v>
      </c>
      <c r="AJ142" s="118">
        <v>0</v>
      </c>
      <c r="AK142" s="118">
        <v>0</v>
      </c>
      <c r="AL142" s="118">
        <v>0</v>
      </c>
      <c r="AM142" s="118">
        <v>0</v>
      </c>
      <c r="AN142" s="118">
        <v>0</v>
      </c>
      <c r="AO142" s="118">
        <v>0</v>
      </c>
      <c r="AP142" s="118">
        <v>0</v>
      </c>
      <c r="AQ142" s="118">
        <v>0</v>
      </c>
      <c r="AR142" s="118">
        <v>0</v>
      </c>
      <c r="AS142" s="118">
        <v>0</v>
      </c>
      <c r="AT142" s="118">
        <v>0</v>
      </c>
      <c r="AU142" s="118">
        <f t="shared" si="14"/>
        <v>0</v>
      </c>
    </row>
    <row r="143" spans="1:50">
      <c r="A143" s="114">
        <v>10</v>
      </c>
      <c r="B143" s="116">
        <v>45937</v>
      </c>
      <c r="G143" s="115" t="s">
        <v>196</v>
      </c>
      <c r="H143" s="128">
        <v>4</v>
      </c>
      <c r="I143" s="117" t="str">
        <f t="shared" si="13"/>
        <v>TU_4</v>
      </c>
      <c r="J143" s="117" t="s">
        <v>794</v>
      </c>
      <c r="K143" s="127">
        <v>15</v>
      </c>
      <c r="L143" s="123" t="str">
        <f t="shared" si="11"/>
        <v>TU_4_15</v>
      </c>
      <c r="M143" s="117" t="s">
        <v>943</v>
      </c>
      <c r="N143" s="115" t="s">
        <v>50</v>
      </c>
      <c r="O143" s="115" t="s">
        <v>197</v>
      </c>
      <c r="P143" s="115">
        <v>100</v>
      </c>
      <c r="Q143" s="115">
        <v>500</v>
      </c>
      <c r="S143" s="115" t="s">
        <v>118</v>
      </c>
      <c r="T143" s="115">
        <v>4</v>
      </c>
      <c r="U143" s="115" t="s">
        <v>117</v>
      </c>
      <c r="V143" s="115" t="s">
        <v>117</v>
      </c>
      <c r="W143" s="118">
        <v>4</v>
      </c>
      <c r="X143" s="118">
        <v>11.02</v>
      </c>
      <c r="Y143" s="118">
        <v>1</v>
      </c>
      <c r="Z143" s="118">
        <v>1</v>
      </c>
      <c r="AA143" s="118">
        <v>1</v>
      </c>
      <c r="AB143" s="118">
        <v>1</v>
      </c>
      <c r="AC143" s="118">
        <v>1</v>
      </c>
      <c r="AD143" s="118">
        <v>1</v>
      </c>
      <c r="AE143" s="118">
        <v>1</v>
      </c>
      <c r="AF143" s="118">
        <v>1</v>
      </c>
      <c r="AG143" s="118">
        <v>1</v>
      </c>
      <c r="AH143" s="118">
        <v>1</v>
      </c>
      <c r="AI143" s="118">
        <v>1</v>
      </c>
      <c r="AJ143" s="118">
        <v>1</v>
      </c>
      <c r="AK143" s="118">
        <v>1</v>
      </c>
      <c r="AL143" s="118">
        <v>0</v>
      </c>
      <c r="AM143" s="118">
        <v>0</v>
      </c>
      <c r="AN143" s="118">
        <v>0</v>
      </c>
      <c r="AO143" s="118">
        <v>0</v>
      </c>
      <c r="AP143" s="118">
        <v>0</v>
      </c>
      <c r="AQ143" s="118">
        <v>0</v>
      </c>
      <c r="AR143" s="118">
        <v>0</v>
      </c>
      <c r="AS143" s="118">
        <v>0</v>
      </c>
      <c r="AT143" s="118">
        <v>0</v>
      </c>
      <c r="AU143" s="118">
        <f t="shared" si="14"/>
        <v>0</v>
      </c>
    </row>
    <row r="144" spans="1:50">
      <c r="A144" s="114">
        <v>10</v>
      </c>
      <c r="B144" s="116">
        <v>45937</v>
      </c>
      <c r="G144" s="115" t="s">
        <v>196</v>
      </c>
      <c r="H144" s="128">
        <v>4</v>
      </c>
      <c r="I144" s="117" t="str">
        <f t="shared" si="13"/>
        <v>TU_4</v>
      </c>
      <c r="J144" s="117" t="s">
        <v>794</v>
      </c>
      <c r="K144" s="127">
        <v>16</v>
      </c>
      <c r="L144" s="123" t="str">
        <f t="shared" si="11"/>
        <v>TU_4_16</v>
      </c>
      <c r="M144" s="117" t="s">
        <v>944</v>
      </c>
      <c r="N144" s="115" t="s">
        <v>50</v>
      </c>
      <c r="O144" s="115" t="s">
        <v>197</v>
      </c>
      <c r="P144" s="115">
        <v>100</v>
      </c>
      <c r="Q144" s="115">
        <v>500</v>
      </c>
      <c r="S144" s="115" t="s">
        <v>119</v>
      </c>
      <c r="T144" s="115">
        <v>4</v>
      </c>
      <c r="U144" s="115" t="s">
        <v>117</v>
      </c>
      <c r="V144" s="115" t="s">
        <v>117</v>
      </c>
      <c r="W144" s="118">
        <v>4</v>
      </c>
      <c r="X144" s="118">
        <v>11.21</v>
      </c>
      <c r="Y144" s="118">
        <v>1</v>
      </c>
      <c r="Z144" s="118">
        <v>1</v>
      </c>
      <c r="AA144" s="118">
        <v>1</v>
      </c>
      <c r="AB144" s="118">
        <v>1</v>
      </c>
      <c r="AC144" s="118">
        <v>1</v>
      </c>
      <c r="AD144" s="118">
        <v>1</v>
      </c>
      <c r="AE144" s="118">
        <v>1</v>
      </c>
      <c r="AF144" s="118">
        <v>1</v>
      </c>
      <c r="AG144" s="118">
        <v>1</v>
      </c>
      <c r="AH144" s="118">
        <v>1</v>
      </c>
      <c r="AI144" s="118">
        <v>1</v>
      </c>
      <c r="AJ144" s="118">
        <v>1</v>
      </c>
      <c r="AK144" s="118">
        <v>0</v>
      </c>
      <c r="AL144" s="118">
        <v>0</v>
      </c>
      <c r="AM144" s="118">
        <v>0</v>
      </c>
      <c r="AN144" s="118">
        <v>0</v>
      </c>
      <c r="AO144" s="118">
        <v>0</v>
      </c>
      <c r="AP144" s="118">
        <v>0</v>
      </c>
      <c r="AQ144" s="118">
        <v>0</v>
      </c>
      <c r="AR144" s="118">
        <v>0</v>
      </c>
      <c r="AS144" s="118">
        <v>0</v>
      </c>
      <c r="AT144" s="118">
        <v>0</v>
      </c>
      <c r="AU144" s="118">
        <f t="shared" si="14"/>
        <v>0</v>
      </c>
    </row>
    <row r="145" spans="1:50">
      <c r="A145" s="114">
        <v>10</v>
      </c>
      <c r="B145" s="116">
        <v>45937</v>
      </c>
      <c r="G145" s="115" t="s">
        <v>196</v>
      </c>
      <c r="H145" s="128">
        <v>4</v>
      </c>
      <c r="I145" s="117" t="str">
        <f t="shared" si="13"/>
        <v>TU_4</v>
      </c>
      <c r="J145" s="117" t="s">
        <v>794</v>
      </c>
      <c r="K145" s="127">
        <v>17</v>
      </c>
      <c r="L145" s="123" t="str">
        <f t="shared" si="11"/>
        <v>TU_4_17</v>
      </c>
      <c r="M145" s="117" t="s">
        <v>945</v>
      </c>
      <c r="N145" s="115" t="s">
        <v>50</v>
      </c>
      <c r="O145" s="115" t="s">
        <v>197</v>
      </c>
      <c r="P145" s="115">
        <v>100</v>
      </c>
      <c r="Q145" s="115">
        <v>500</v>
      </c>
      <c r="S145" s="115" t="s">
        <v>120</v>
      </c>
      <c r="T145" s="115">
        <v>3</v>
      </c>
      <c r="U145" s="115" t="s">
        <v>117</v>
      </c>
      <c r="V145" s="115" t="s">
        <v>117</v>
      </c>
      <c r="W145" s="118">
        <v>3</v>
      </c>
      <c r="X145" s="118">
        <v>11.41</v>
      </c>
      <c r="Y145" s="118">
        <v>1</v>
      </c>
      <c r="Z145" s="118">
        <v>1</v>
      </c>
      <c r="AA145" s="118">
        <v>1</v>
      </c>
      <c r="AB145" s="118">
        <v>1</v>
      </c>
      <c r="AC145" s="118">
        <v>1</v>
      </c>
      <c r="AD145" s="118">
        <v>1</v>
      </c>
      <c r="AE145" s="118">
        <v>1</v>
      </c>
      <c r="AF145" s="118">
        <v>1</v>
      </c>
      <c r="AG145" s="118">
        <v>0</v>
      </c>
      <c r="AH145" s="118">
        <v>0</v>
      </c>
      <c r="AI145" s="118">
        <v>0</v>
      </c>
      <c r="AJ145" s="118">
        <v>0</v>
      </c>
      <c r="AK145" s="118">
        <v>0</v>
      </c>
      <c r="AL145" s="118">
        <v>0</v>
      </c>
      <c r="AM145" s="118">
        <v>0</v>
      </c>
      <c r="AN145" s="118">
        <v>0</v>
      </c>
      <c r="AO145" s="118">
        <v>0</v>
      </c>
      <c r="AP145" s="118">
        <v>0</v>
      </c>
      <c r="AQ145" s="118">
        <v>0</v>
      </c>
      <c r="AR145" s="118">
        <v>0</v>
      </c>
      <c r="AS145" s="118">
        <v>0</v>
      </c>
      <c r="AT145" s="118">
        <v>0</v>
      </c>
      <c r="AU145" s="118">
        <f t="shared" si="14"/>
        <v>0</v>
      </c>
    </row>
    <row r="146" spans="1:50">
      <c r="A146" s="114">
        <v>10</v>
      </c>
      <c r="B146" s="116">
        <v>45937</v>
      </c>
      <c r="G146" s="115" t="s">
        <v>196</v>
      </c>
      <c r="H146" s="128">
        <v>4</v>
      </c>
      <c r="I146" s="117" t="str">
        <f t="shared" si="13"/>
        <v>TU_4</v>
      </c>
      <c r="J146" s="117" t="s">
        <v>794</v>
      </c>
      <c r="K146" s="127">
        <v>18</v>
      </c>
      <c r="L146" s="123" t="str">
        <f t="shared" si="11"/>
        <v>TU_4_18</v>
      </c>
      <c r="M146" s="117" t="s">
        <v>946</v>
      </c>
      <c r="N146" s="115" t="s">
        <v>50</v>
      </c>
      <c r="O146" s="115" t="s">
        <v>197</v>
      </c>
      <c r="P146" s="115">
        <v>100</v>
      </c>
      <c r="Q146" s="115">
        <v>500</v>
      </c>
      <c r="S146" s="115" t="s">
        <v>121</v>
      </c>
      <c r="T146" s="115">
        <v>4</v>
      </c>
      <c r="U146" s="115" t="s">
        <v>117</v>
      </c>
      <c r="V146" s="115" t="s">
        <v>117</v>
      </c>
      <c r="W146" s="118">
        <v>4</v>
      </c>
      <c r="X146" s="118">
        <v>12.25</v>
      </c>
      <c r="Y146" s="118">
        <v>2</v>
      </c>
      <c r="Z146" s="118">
        <v>2</v>
      </c>
      <c r="AA146" s="118">
        <v>2</v>
      </c>
      <c r="AB146" s="118">
        <v>2</v>
      </c>
      <c r="AC146" s="118">
        <v>2</v>
      </c>
      <c r="AD146" s="118">
        <v>2</v>
      </c>
      <c r="AE146" s="118">
        <v>2</v>
      </c>
      <c r="AF146" s="118">
        <v>2</v>
      </c>
      <c r="AG146" s="118">
        <v>2</v>
      </c>
      <c r="AH146" s="118">
        <v>2</v>
      </c>
      <c r="AI146" s="118">
        <v>2</v>
      </c>
      <c r="AJ146" s="118">
        <v>2</v>
      </c>
      <c r="AK146" s="118">
        <v>2</v>
      </c>
      <c r="AL146" s="118">
        <v>2</v>
      </c>
      <c r="AM146" s="118">
        <v>2</v>
      </c>
      <c r="AN146" s="118">
        <v>2</v>
      </c>
      <c r="AO146" s="118">
        <v>2</v>
      </c>
      <c r="AP146" s="118">
        <v>0</v>
      </c>
      <c r="AQ146" s="118">
        <v>0</v>
      </c>
      <c r="AR146" s="118">
        <v>0</v>
      </c>
      <c r="AS146" s="118">
        <v>0</v>
      </c>
      <c r="AT146" s="118">
        <v>0</v>
      </c>
      <c r="AU146" s="118">
        <f t="shared" si="14"/>
        <v>0</v>
      </c>
    </row>
    <row r="147" spans="1:50">
      <c r="A147" s="114">
        <v>10</v>
      </c>
      <c r="B147" s="116">
        <v>45937</v>
      </c>
      <c r="G147" s="115" t="s">
        <v>196</v>
      </c>
      <c r="H147" s="128">
        <v>4</v>
      </c>
      <c r="I147" s="117" t="str">
        <f t="shared" si="13"/>
        <v>TU_4</v>
      </c>
      <c r="J147" s="117" t="s">
        <v>794</v>
      </c>
      <c r="K147" s="127">
        <v>19</v>
      </c>
      <c r="L147" s="123" t="str">
        <f t="shared" si="11"/>
        <v>TU_4_19</v>
      </c>
      <c r="M147" s="117" t="s">
        <v>947</v>
      </c>
      <c r="N147" s="115" t="s">
        <v>50</v>
      </c>
      <c r="O147" s="115" t="s">
        <v>197</v>
      </c>
      <c r="P147" s="115">
        <v>100</v>
      </c>
      <c r="Q147" s="115">
        <v>500</v>
      </c>
      <c r="S147" s="115" t="s">
        <v>175</v>
      </c>
      <c r="T147" s="115">
        <v>4</v>
      </c>
      <c r="U147" s="115" t="s">
        <v>117</v>
      </c>
      <c r="V147" s="115" t="s">
        <v>117</v>
      </c>
      <c r="W147" s="118">
        <v>4</v>
      </c>
      <c r="X147" s="118">
        <v>12.25</v>
      </c>
      <c r="Y147" s="118">
        <v>4</v>
      </c>
      <c r="Z147" s="118">
        <v>3</v>
      </c>
      <c r="AA147" s="118">
        <v>3</v>
      </c>
      <c r="AB147" s="118">
        <v>3</v>
      </c>
      <c r="AC147" s="118">
        <v>3</v>
      </c>
      <c r="AD147" s="118">
        <v>3</v>
      </c>
      <c r="AE147" s="118">
        <v>3</v>
      </c>
      <c r="AF147" s="118">
        <v>3</v>
      </c>
      <c r="AG147" s="118">
        <v>3</v>
      </c>
      <c r="AH147" s="118">
        <v>3</v>
      </c>
      <c r="AI147" s="118">
        <v>1</v>
      </c>
      <c r="AJ147" s="118">
        <v>0</v>
      </c>
      <c r="AK147" s="118">
        <v>0</v>
      </c>
      <c r="AL147" s="118">
        <v>0</v>
      </c>
      <c r="AM147" s="118">
        <v>0</v>
      </c>
      <c r="AN147" s="118">
        <v>0</v>
      </c>
      <c r="AO147" s="118">
        <v>0</v>
      </c>
      <c r="AP147" s="118">
        <v>0</v>
      </c>
      <c r="AQ147" s="118">
        <v>0</v>
      </c>
      <c r="AR147" s="118">
        <v>0</v>
      </c>
      <c r="AS147" s="118">
        <v>0</v>
      </c>
      <c r="AT147" s="118">
        <v>0</v>
      </c>
      <c r="AU147" s="118">
        <f t="shared" si="14"/>
        <v>0</v>
      </c>
    </row>
    <row r="148" spans="1:50">
      <c r="A148" s="114">
        <v>10</v>
      </c>
      <c r="B148" s="116">
        <v>45937</v>
      </c>
      <c r="G148" s="115" t="s">
        <v>196</v>
      </c>
      <c r="H148" s="128">
        <v>4</v>
      </c>
      <c r="I148" s="117" t="str">
        <f t="shared" si="13"/>
        <v>TU_4</v>
      </c>
      <c r="J148" s="117" t="s">
        <v>794</v>
      </c>
      <c r="K148" s="127">
        <v>20</v>
      </c>
      <c r="L148" s="123" t="str">
        <f t="shared" si="11"/>
        <v>TU_4_20</v>
      </c>
      <c r="M148" s="117" t="s">
        <v>948</v>
      </c>
      <c r="N148" s="115" t="s">
        <v>50</v>
      </c>
      <c r="O148" s="115" t="s">
        <v>197</v>
      </c>
      <c r="P148" s="115">
        <v>100</v>
      </c>
      <c r="Q148" s="115">
        <v>500</v>
      </c>
      <c r="S148" s="115" t="s">
        <v>176</v>
      </c>
      <c r="T148" s="115">
        <v>5</v>
      </c>
      <c r="U148" s="115" t="s">
        <v>117</v>
      </c>
      <c r="V148" s="115" t="s">
        <v>117</v>
      </c>
      <c r="W148" s="118">
        <v>5</v>
      </c>
      <c r="X148" s="118">
        <v>12.47</v>
      </c>
      <c r="Y148" s="118">
        <v>5</v>
      </c>
      <c r="Z148" s="118">
        <v>2</v>
      </c>
      <c r="AA148" s="118">
        <v>2</v>
      </c>
      <c r="AB148" s="118">
        <v>2</v>
      </c>
      <c r="AC148" s="118">
        <v>2</v>
      </c>
      <c r="AD148" s="118">
        <v>2</v>
      </c>
      <c r="AE148" s="118">
        <v>2</v>
      </c>
      <c r="AF148" s="118">
        <v>2</v>
      </c>
      <c r="AG148" s="118">
        <v>2</v>
      </c>
      <c r="AH148" s="118">
        <v>2</v>
      </c>
      <c r="AI148" s="118">
        <v>2</v>
      </c>
      <c r="AJ148" s="118">
        <v>2</v>
      </c>
      <c r="AK148" s="118">
        <v>1</v>
      </c>
      <c r="AL148" s="118">
        <v>0</v>
      </c>
      <c r="AM148" s="118">
        <v>0</v>
      </c>
      <c r="AN148" s="118">
        <v>0</v>
      </c>
      <c r="AO148" s="118">
        <v>0</v>
      </c>
      <c r="AP148" s="118">
        <v>0</v>
      </c>
      <c r="AQ148" s="118">
        <v>0</v>
      </c>
      <c r="AR148" s="118">
        <v>0</v>
      </c>
      <c r="AS148" s="118">
        <v>0</v>
      </c>
      <c r="AT148" s="118">
        <v>0</v>
      </c>
      <c r="AU148" s="118">
        <f t="shared" si="14"/>
        <v>0</v>
      </c>
    </row>
    <row r="149" spans="1:50">
      <c r="A149" s="114">
        <v>11</v>
      </c>
      <c r="B149" s="116">
        <v>45940</v>
      </c>
      <c r="C149" s="115" t="s">
        <v>166</v>
      </c>
      <c r="D149" s="115" t="s">
        <v>204</v>
      </c>
      <c r="E149" s="115" t="s">
        <v>205</v>
      </c>
      <c r="F149" s="115" t="s">
        <v>48</v>
      </c>
      <c r="G149" s="115" t="s">
        <v>206</v>
      </c>
      <c r="H149" s="115">
        <v>4</v>
      </c>
      <c r="I149" s="117" t="str">
        <f t="shared" ref="I149:I180" si="15">_xlfn.CONCAT(N149 &amp; "_" &amp; H149)</f>
        <v>NHGRI_4</v>
      </c>
      <c r="J149" s="123" t="s">
        <v>783</v>
      </c>
      <c r="K149" s="127">
        <v>1</v>
      </c>
      <c r="L149" s="123" t="str">
        <f t="shared" si="11"/>
        <v>NHGRI_4_1</v>
      </c>
      <c r="M149" s="123" t="s">
        <v>949</v>
      </c>
      <c r="N149" s="115" t="s">
        <v>86</v>
      </c>
      <c r="O149" s="115" t="s">
        <v>207</v>
      </c>
      <c r="P149" s="115">
        <v>100</v>
      </c>
      <c r="Q149" s="115">
        <v>500</v>
      </c>
      <c r="R149" s="115">
        <v>65</v>
      </c>
      <c r="S149" s="115">
        <v>1</v>
      </c>
      <c r="T149" s="115">
        <v>5</v>
      </c>
      <c r="U149" s="115">
        <v>9.58</v>
      </c>
      <c r="V149" s="115">
        <v>10.19</v>
      </c>
      <c r="W149" s="118">
        <v>5</v>
      </c>
      <c r="X149" s="118">
        <v>10.34</v>
      </c>
      <c r="Y149" s="118">
        <v>3</v>
      </c>
      <c r="Z149" s="118">
        <v>1</v>
      </c>
      <c r="AA149" s="118">
        <v>1</v>
      </c>
      <c r="AB149" s="118">
        <v>1</v>
      </c>
      <c r="AC149" s="118">
        <v>1</v>
      </c>
      <c r="AD149" s="118">
        <v>1</v>
      </c>
      <c r="AE149" s="118">
        <v>1</v>
      </c>
      <c r="AF149" s="118">
        <v>1</v>
      </c>
      <c r="AG149" s="118">
        <v>1</v>
      </c>
      <c r="AH149" s="118">
        <v>1</v>
      </c>
      <c r="AI149" s="118">
        <v>1</v>
      </c>
      <c r="AJ149" s="118">
        <v>1</v>
      </c>
      <c r="AK149" s="118">
        <v>1</v>
      </c>
      <c r="AL149" s="118">
        <v>1</v>
      </c>
      <c r="AM149" s="118">
        <v>0</v>
      </c>
      <c r="AN149" s="118">
        <v>0</v>
      </c>
      <c r="AO149" s="118">
        <v>0</v>
      </c>
      <c r="AP149" s="118">
        <v>0</v>
      </c>
      <c r="AQ149" s="118">
        <v>0</v>
      </c>
      <c r="AR149" s="118">
        <v>0</v>
      </c>
      <c r="AS149" s="118">
        <v>0</v>
      </c>
      <c r="AT149" s="118">
        <v>0</v>
      </c>
      <c r="AU149" s="118">
        <f t="shared" si="14"/>
        <v>0</v>
      </c>
      <c r="AX149" s="114" t="s">
        <v>53</v>
      </c>
    </row>
    <row r="150" spans="1:50">
      <c r="A150" s="114">
        <v>11</v>
      </c>
      <c r="B150" s="116">
        <v>45940</v>
      </c>
      <c r="D150" s="115" t="s">
        <v>208</v>
      </c>
      <c r="E150" s="115" t="s">
        <v>136</v>
      </c>
      <c r="G150" s="115" t="s">
        <v>206</v>
      </c>
      <c r="H150" s="115">
        <v>4</v>
      </c>
      <c r="I150" s="117" t="str">
        <f t="shared" si="15"/>
        <v>NHGRI_4</v>
      </c>
      <c r="J150" s="123" t="s">
        <v>783</v>
      </c>
      <c r="K150" s="127">
        <v>2</v>
      </c>
      <c r="L150" s="123" t="str">
        <f t="shared" si="11"/>
        <v>NHGRI_4_2</v>
      </c>
      <c r="M150" s="123" t="s">
        <v>950</v>
      </c>
      <c r="N150" s="115" t="s">
        <v>86</v>
      </c>
      <c r="O150" s="115" t="s">
        <v>207</v>
      </c>
      <c r="P150" s="115">
        <v>100</v>
      </c>
      <c r="Q150" s="115">
        <v>500</v>
      </c>
      <c r="S150" s="115">
        <v>2</v>
      </c>
      <c r="T150" s="115">
        <v>4</v>
      </c>
      <c r="U150" s="115">
        <v>10.46</v>
      </c>
      <c r="V150" s="115">
        <v>10.58</v>
      </c>
      <c r="W150" s="118">
        <v>4</v>
      </c>
      <c r="X150" s="118">
        <v>11.33</v>
      </c>
      <c r="Y150" s="118">
        <v>1</v>
      </c>
      <c r="Z150" s="118">
        <v>1</v>
      </c>
      <c r="AA150" s="118">
        <v>1</v>
      </c>
      <c r="AB150" s="118">
        <v>1</v>
      </c>
      <c r="AC150" s="118">
        <v>1</v>
      </c>
      <c r="AD150" s="118">
        <v>1</v>
      </c>
      <c r="AE150" s="118">
        <v>1</v>
      </c>
      <c r="AF150" s="118">
        <v>1</v>
      </c>
      <c r="AG150" s="118">
        <v>1</v>
      </c>
      <c r="AH150" s="118">
        <v>1</v>
      </c>
      <c r="AI150" s="118">
        <v>1</v>
      </c>
      <c r="AJ150" s="118">
        <v>1</v>
      </c>
      <c r="AK150" s="118">
        <v>1</v>
      </c>
      <c r="AL150" s="118">
        <v>1</v>
      </c>
      <c r="AM150" s="118">
        <v>1</v>
      </c>
      <c r="AN150" s="118">
        <v>0</v>
      </c>
      <c r="AO150" s="118">
        <v>0</v>
      </c>
      <c r="AP150" s="118">
        <v>0</v>
      </c>
      <c r="AQ150" s="118">
        <v>0</v>
      </c>
      <c r="AR150" s="118">
        <v>0</v>
      </c>
      <c r="AS150" s="118">
        <v>0</v>
      </c>
      <c r="AT150" s="118">
        <v>0</v>
      </c>
      <c r="AU150" s="118">
        <f t="shared" si="14"/>
        <v>0</v>
      </c>
    </row>
    <row r="151" spans="1:50">
      <c r="A151" s="114">
        <v>11</v>
      </c>
      <c r="B151" s="116">
        <v>45940</v>
      </c>
      <c r="E151" s="115" t="s">
        <v>209</v>
      </c>
      <c r="G151" s="115" t="s">
        <v>206</v>
      </c>
      <c r="H151" s="115">
        <v>4</v>
      </c>
      <c r="I151" s="117" t="str">
        <f t="shared" si="15"/>
        <v>NHGRI_4</v>
      </c>
      <c r="J151" s="123" t="s">
        <v>783</v>
      </c>
      <c r="K151" s="127">
        <v>3</v>
      </c>
      <c r="L151" s="123" t="str">
        <f t="shared" si="11"/>
        <v>NHGRI_4_3</v>
      </c>
      <c r="M151" s="123" t="s">
        <v>951</v>
      </c>
      <c r="N151" s="115" t="s">
        <v>86</v>
      </c>
      <c r="O151" s="115" t="s">
        <v>207</v>
      </c>
      <c r="P151" s="115">
        <v>100</v>
      </c>
      <c r="Q151" s="115">
        <v>500</v>
      </c>
      <c r="S151" s="115">
        <v>3</v>
      </c>
      <c r="T151" s="115">
        <v>4</v>
      </c>
      <c r="U151" s="117">
        <v>11</v>
      </c>
      <c r="V151" s="117">
        <v>11.2</v>
      </c>
      <c r="W151" s="118">
        <v>4</v>
      </c>
      <c r="X151" s="118">
        <v>11.35</v>
      </c>
      <c r="Y151" s="118">
        <v>3</v>
      </c>
      <c r="Z151" s="118">
        <v>3</v>
      </c>
      <c r="AA151" s="118">
        <v>3</v>
      </c>
      <c r="AB151" s="118">
        <v>3</v>
      </c>
      <c r="AC151" s="118">
        <v>3</v>
      </c>
      <c r="AD151" s="118">
        <v>3</v>
      </c>
      <c r="AE151" s="118">
        <v>3</v>
      </c>
      <c r="AF151" s="118">
        <v>3</v>
      </c>
      <c r="AG151" s="118">
        <v>3</v>
      </c>
      <c r="AH151" s="118">
        <v>3</v>
      </c>
      <c r="AI151" s="118">
        <v>3</v>
      </c>
      <c r="AJ151" s="118">
        <v>3</v>
      </c>
      <c r="AK151" s="118">
        <v>3</v>
      </c>
      <c r="AL151" s="118">
        <v>2</v>
      </c>
      <c r="AM151" s="118">
        <v>0</v>
      </c>
      <c r="AN151" s="118">
        <v>0</v>
      </c>
      <c r="AO151" s="118">
        <v>0</v>
      </c>
      <c r="AP151" s="118">
        <v>0</v>
      </c>
      <c r="AQ151" s="118">
        <v>0</v>
      </c>
      <c r="AR151" s="118">
        <v>0</v>
      </c>
      <c r="AS151" s="118">
        <v>0</v>
      </c>
      <c r="AT151" s="118">
        <v>0</v>
      </c>
      <c r="AU151" s="118">
        <f t="shared" si="14"/>
        <v>0</v>
      </c>
    </row>
    <row r="152" spans="1:50">
      <c r="A152" s="114">
        <v>11</v>
      </c>
      <c r="B152" s="116">
        <v>45940</v>
      </c>
      <c r="E152" s="115" t="s">
        <v>133</v>
      </c>
      <c r="G152" s="115" t="s">
        <v>206</v>
      </c>
      <c r="H152" s="115">
        <v>4</v>
      </c>
      <c r="I152" s="117" t="str">
        <f t="shared" si="15"/>
        <v>NHGRI_4</v>
      </c>
      <c r="J152" s="123" t="s">
        <v>783</v>
      </c>
      <c r="K152" s="127">
        <v>4</v>
      </c>
      <c r="L152" s="123" t="str">
        <f t="shared" ref="L152:L215" si="16">_xlfn.CONCAT(J152 &amp; "_" &amp; K152)</f>
        <v>NHGRI_4_4</v>
      </c>
      <c r="M152" s="123" t="s">
        <v>952</v>
      </c>
      <c r="N152" s="115" t="s">
        <v>86</v>
      </c>
      <c r="O152" s="115" t="s">
        <v>207</v>
      </c>
      <c r="P152" s="115">
        <v>100</v>
      </c>
      <c r="Q152" s="115">
        <v>500</v>
      </c>
      <c r="S152" s="115">
        <v>4</v>
      </c>
      <c r="T152" s="115">
        <v>4</v>
      </c>
      <c r="U152" s="117">
        <v>11.22</v>
      </c>
      <c r="V152" s="115">
        <v>11.39</v>
      </c>
      <c r="W152" s="118">
        <v>4</v>
      </c>
      <c r="X152" s="118">
        <v>11.57</v>
      </c>
      <c r="Y152" s="118">
        <v>2</v>
      </c>
      <c r="Z152" s="118">
        <v>2</v>
      </c>
      <c r="AA152" s="118">
        <v>2</v>
      </c>
      <c r="AB152" s="118">
        <v>2</v>
      </c>
      <c r="AC152" s="118">
        <v>2</v>
      </c>
      <c r="AD152" s="118">
        <v>2</v>
      </c>
      <c r="AE152" s="118">
        <v>2</v>
      </c>
      <c r="AF152" s="118">
        <v>2</v>
      </c>
      <c r="AG152" s="118">
        <v>2</v>
      </c>
      <c r="AH152" s="118">
        <v>2</v>
      </c>
      <c r="AI152" s="118">
        <v>2</v>
      </c>
      <c r="AJ152" s="118">
        <v>2</v>
      </c>
      <c r="AK152" s="118">
        <v>2</v>
      </c>
      <c r="AL152" s="118">
        <v>2</v>
      </c>
      <c r="AM152" s="118">
        <v>1</v>
      </c>
      <c r="AN152" s="118">
        <v>0</v>
      </c>
      <c r="AO152" s="118">
        <v>0</v>
      </c>
      <c r="AP152" s="118">
        <v>0</v>
      </c>
      <c r="AQ152" s="118">
        <v>0</v>
      </c>
      <c r="AR152" s="118">
        <v>0</v>
      </c>
      <c r="AS152" s="118">
        <v>0</v>
      </c>
      <c r="AT152" s="118">
        <v>0</v>
      </c>
      <c r="AU152" s="118">
        <f t="shared" si="14"/>
        <v>0</v>
      </c>
    </row>
    <row r="153" spans="1:50">
      <c r="A153" s="114">
        <v>11</v>
      </c>
      <c r="B153" s="116">
        <v>45940</v>
      </c>
      <c r="G153" s="115" t="s">
        <v>206</v>
      </c>
      <c r="H153" s="115">
        <v>4</v>
      </c>
      <c r="I153" s="117" t="str">
        <f t="shared" si="15"/>
        <v>NHGRI_4</v>
      </c>
      <c r="J153" s="123" t="s">
        <v>783</v>
      </c>
      <c r="K153" s="127">
        <v>5</v>
      </c>
      <c r="L153" s="123" t="str">
        <f t="shared" si="16"/>
        <v>NHGRI_4_5</v>
      </c>
      <c r="M153" s="123" t="s">
        <v>953</v>
      </c>
      <c r="N153" s="115" t="s">
        <v>86</v>
      </c>
      <c r="O153" s="115" t="s">
        <v>207</v>
      </c>
      <c r="P153" s="115">
        <v>100</v>
      </c>
      <c r="Q153" s="115">
        <v>500</v>
      </c>
      <c r="R153" s="115">
        <v>70</v>
      </c>
      <c r="S153" s="115">
        <v>1</v>
      </c>
      <c r="T153" s="115">
        <v>4</v>
      </c>
      <c r="U153" s="115">
        <v>10.14</v>
      </c>
      <c r="V153" s="115">
        <v>10.3</v>
      </c>
      <c r="W153" s="118">
        <v>4</v>
      </c>
      <c r="X153" s="118">
        <v>10.46</v>
      </c>
      <c r="Y153" s="118">
        <v>1</v>
      </c>
      <c r="Z153" s="118">
        <v>1</v>
      </c>
      <c r="AA153" s="118">
        <v>1</v>
      </c>
      <c r="AB153" s="118">
        <v>1</v>
      </c>
      <c r="AC153" s="118">
        <v>1</v>
      </c>
      <c r="AD153" s="118">
        <v>1</v>
      </c>
      <c r="AE153" s="118">
        <v>1</v>
      </c>
      <c r="AF153" s="118">
        <v>1</v>
      </c>
      <c r="AG153" s="118">
        <v>1</v>
      </c>
      <c r="AH153" s="118">
        <v>1</v>
      </c>
      <c r="AI153" s="118">
        <v>1</v>
      </c>
      <c r="AJ153" s="118">
        <v>1</v>
      </c>
      <c r="AK153" s="118">
        <v>1</v>
      </c>
      <c r="AL153" s="118">
        <v>0</v>
      </c>
      <c r="AM153" s="118">
        <v>0</v>
      </c>
      <c r="AN153" s="118">
        <v>0</v>
      </c>
      <c r="AO153" s="118">
        <v>0</v>
      </c>
      <c r="AP153" s="118">
        <v>0</v>
      </c>
      <c r="AQ153" s="118">
        <v>0</v>
      </c>
      <c r="AR153" s="118">
        <v>0</v>
      </c>
      <c r="AS153" s="118">
        <v>0</v>
      </c>
      <c r="AT153" s="118">
        <v>0</v>
      </c>
      <c r="AU153" s="118">
        <f t="shared" si="14"/>
        <v>0</v>
      </c>
      <c r="AX153" s="114" t="s">
        <v>67</v>
      </c>
    </row>
    <row r="154" spans="1:50">
      <c r="A154" s="114">
        <v>11</v>
      </c>
      <c r="B154" s="116">
        <v>45940</v>
      </c>
      <c r="G154" s="115" t="s">
        <v>206</v>
      </c>
      <c r="H154" s="115">
        <v>4</v>
      </c>
      <c r="I154" s="117" t="str">
        <f t="shared" si="15"/>
        <v>NHGRI_4</v>
      </c>
      <c r="J154" s="123" t="s">
        <v>783</v>
      </c>
      <c r="K154" s="127">
        <v>6</v>
      </c>
      <c r="L154" s="123" t="str">
        <f t="shared" si="16"/>
        <v>NHGRI_4_6</v>
      </c>
      <c r="M154" s="123" t="s">
        <v>954</v>
      </c>
      <c r="N154" s="115" t="s">
        <v>86</v>
      </c>
      <c r="O154" s="115" t="s">
        <v>207</v>
      </c>
      <c r="P154" s="115">
        <v>100</v>
      </c>
      <c r="Q154" s="115">
        <v>500</v>
      </c>
      <c r="S154" s="115">
        <v>2</v>
      </c>
      <c r="T154" s="115">
        <v>3</v>
      </c>
      <c r="U154" s="115">
        <v>10.33</v>
      </c>
      <c r="V154" s="115">
        <v>10.47</v>
      </c>
      <c r="W154" s="118">
        <v>3</v>
      </c>
      <c r="X154" s="118">
        <v>11.02</v>
      </c>
      <c r="Y154" s="118">
        <v>0</v>
      </c>
      <c r="Z154" s="118">
        <v>0</v>
      </c>
      <c r="AA154" s="118">
        <v>0</v>
      </c>
      <c r="AB154" s="118">
        <v>0</v>
      </c>
      <c r="AC154" s="118">
        <v>0</v>
      </c>
      <c r="AD154" s="118">
        <v>0</v>
      </c>
      <c r="AE154" s="118">
        <v>0</v>
      </c>
      <c r="AF154" s="118">
        <v>0</v>
      </c>
      <c r="AG154" s="118">
        <v>0</v>
      </c>
      <c r="AH154" s="118">
        <v>0</v>
      </c>
      <c r="AI154" s="118">
        <v>0</v>
      </c>
      <c r="AJ154" s="118">
        <v>0</v>
      </c>
      <c r="AK154" s="118">
        <v>0</v>
      </c>
      <c r="AL154" s="118">
        <v>0</v>
      </c>
      <c r="AM154" s="118">
        <v>0</v>
      </c>
      <c r="AN154" s="118">
        <v>0</v>
      </c>
      <c r="AO154" s="118">
        <v>0</v>
      </c>
      <c r="AP154" s="118">
        <v>0</v>
      </c>
      <c r="AQ154" s="118">
        <v>0</v>
      </c>
      <c r="AR154" s="118">
        <v>0</v>
      </c>
      <c r="AS154" s="118">
        <v>0</v>
      </c>
      <c r="AT154" s="118">
        <v>0</v>
      </c>
      <c r="AU154" s="118">
        <f t="shared" si="14"/>
        <v>0</v>
      </c>
    </row>
    <row r="155" spans="1:50">
      <c r="A155" s="114">
        <v>11</v>
      </c>
      <c r="B155" s="116">
        <v>45940</v>
      </c>
      <c r="G155" s="115" t="s">
        <v>206</v>
      </c>
      <c r="H155" s="115">
        <v>4</v>
      </c>
      <c r="I155" s="117" t="str">
        <f t="shared" si="15"/>
        <v>NHGRI_4</v>
      </c>
      <c r="J155" s="123" t="s">
        <v>783</v>
      </c>
      <c r="K155" s="127">
        <v>7</v>
      </c>
      <c r="L155" s="123" t="str">
        <f t="shared" si="16"/>
        <v>NHGRI_4_7</v>
      </c>
      <c r="M155" s="123" t="s">
        <v>955</v>
      </c>
      <c r="N155" s="115" t="s">
        <v>86</v>
      </c>
      <c r="O155" s="115" t="s">
        <v>207</v>
      </c>
      <c r="P155" s="115">
        <v>100</v>
      </c>
      <c r="Q155" s="115">
        <v>500</v>
      </c>
      <c r="S155" s="115">
        <v>3</v>
      </c>
      <c r="T155" s="115">
        <v>1</v>
      </c>
      <c r="U155" s="115">
        <v>10.56</v>
      </c>
      <c r="V155" s="115">
        <v>11.07</v>
      </c>
      <c r="W155" s="118">
        <v>1</v>
      </c>
      <c r="X155" s="118">
        <v>11.24</v>
      </c>
      <c r="Y155" s="118">
        <v>1</v>
      </c>
      <c r="Z155" s="118">
        <v>1</v>
      </c>
      <c r="AA155" s="118">
        <v>1</v>
      </c>
      <c r="AB155" s="118">
        <v>1</v>
      </c>
      <c r="AC155" s="118">
        <v>1</v>
      </c>
      <c r="AD155" s="118">
        <v>1</v>
      </c>
      <c r="AE155" s="118">
        <v>1</v>
      </c>
      <c r="AF155" s="118">
        <v>1</v>
      </c>
      <c r="AG155" s="118">
        <v>1</v>
      </c>
      <c r="AH155" s="118">
        <v>1</v>
      </c>
      <c r="AI155" s="118">
        <v>1</v>
      </c>
      <c r="AJ155" s="118">
        <v>1</v>
      </c>
      <c r="AK155" s="118">
        <v>1</v>
      </c>
      <c r="AL155" s="118">
        <v>0</v>
      </c>
      <c r="AM155" s="118">
        <v>0</v>
      </c>
      <c r="AN155" s="118">
        <v>0</v>
      </c>
      <c r="AO155" s="118">
        <v>0</v>
      </c>
      <c r="AP155" s="118">
        <v>0</v>
      </c>
      <c r="AQ155" s="118">
        <v>0</v>
      </c>
      <c r="AR155" s="118">
        <v>0</v>
      </c>
      <c r="AS155" s="118">
        <v>0</v>
      </c>
      <c r="AT155" s="118">
        <v>0</v>
      </c>
      <c r="AU155" s="118">
        <f t="shared" si="14"/>
        <v>0</v>
      </c>
    </row>
    <row r="156" spans="1:50">
      <c r="A156" s="114">
        <v>11</v>
      </c>
      <c r="B156" s="116">
        <v>45940</v>
      </c>
      <c r="G156" s="115" t="s">
        <v>206</v>
      </c>
      <c r="H156" s="115">
        <v>4</v>
      </c>
      <c r="I156" s="117" t="str">
        <f t="shared" si="15"/>
        <v>NHGRI_4</v>
      </c>
      <c r="J156" s="117" t="s">
        <v>783</v>
      </c>
      <c r="K156" s="127">
        <v>8</v>
      </c>
      <c r="L156" s="123" t="str">
        <f t="shared" si="16"/>
        <v>NHGRI_4_8</v>
      </c>
      <c r="M156" s="117" t="s">
        <v>956</v>
      </c>
      <c r="N156" s="115" t="s">
        <v>86</v>
      </c>
      <c r="O156" s="115" t="s">
        <v>207</v>
      </c>
      <c r="P156" s="115">
        <v>100</v>
      </c>
      <c r="Q156" s="115">
        <v>500</v>
      </c>
      <c r="S156" s="115">
        <v>4</v>
      </c>
      <c r="T156" s="115">
        <v>4</v>
      </c>
      <c r="U156" s="115">
        <v>11.19</v>
      </c>
      <c r="V156" s="115">
        <v>11.36</v>
      </c>
      <c r="W156" s="118">
        <v>4</v>
      </c>
      <c r="X156" s="118">
        <v>11.52</v>
      </c>
      <c r="Y156" s="118">
        <v>2</v>
      </c>
      <c r="Z156" s="118">
        <v>2</v>
      </c>
      <c r="AA156" s="118">
        <v>2</v>
      </c>
      <c r="AB156" s="118">
        <v>2</v>
      </c>
      <c r="AC156" s="118">
        <v>2</v>
      </c>
      <c r="AD156" s="118">
        <v>2</v>
      </c>
      <c r="AE156" s="118">
        <v>2</v>
      </c>
      <c r="AF156" s="118">
        <v>2</v>
      </c>
      <c r="AG156" s="118">
        <v>2</v>
      </c>
      <c r="AH156" s="118">
        <v>2</v>
      </c>
      <c r="AI156" s="118">
        <v>2</v>
      </c>
      <c r="AJ156" s="118">
        <v>2</v>
      </c>
      <c r="AK156" s="118">
        <v>2</v>
      </c>
      <c r="AL156" s="118">
        <v>1</v>
      </c>
      <c r="AM156" s="118">
        <v>1</v>
      </c>
      <c r="AN156" s="118">
        <v>1</v>
      </c>
      <c r="AO156" s="118">
        <v>1</v>
      </c>
      <c r="AP156" s="118">
        <v>1</v>
      </c>
      <c r="AQ156" s="118">
        <v>1</v>
      </c>
      <c r="AR156" s="118">
        <v>1</v>
      </c>
      <c r="AS156" s="118">
        <v>1</v>
      </c>
      <c r="AT156" s="118">
        <v>1</v>
      </c>
      <c r="AU156" s="118">
        <f t="shared" si="14"/>
        <v>1</v>
      </c>
      <c r="AV156" s="115">
        <v>1</v>
      </c>
      <c r="AW156" s="115" t="s">
        <v>210</v>
      </c>
    </row>
    <row r="157" spans="1:50">
      <c r="A157" s="114">
        <v>11</v>
      </c>
      <c r="B157" s="116">
        <v>45940</v>
      </c>
      <c r="G157" s="115" t="s">
        <v>206</v>
      </c>
      <c r="H157" s="115">
        <v>4</v>
      </c>
      <c r="I157" s="117" t="str">
        <f t="shared" si="15"/>
        <v>NHGRI_4</v>
      </c>
      <c r="J157" s="123" t="s">
        <v>783</v>
      </c>
      <c r="K157" s="127">
        <v>9</v>
      </c>
      <c r="L157" s="123" t="str">
        <f t="shared" si="16"/>
        <v>NHGRI_4_9</v>
      </c>
      <c r="M157" s="123" t="s">
        <v>957</v>
      </c>
      <c r="N157" s="115" t="s">
        <v>86</v>
      </c>
      <c r="O157" s="115" t="s">
        <v>207</v>
      </c>
      <c r="P157" s="115">
        <v>100</v>
      </c>
      <c r="Q157" s="115">
        <v>500</v>
      </c>
      <c r="S157" s="115" t="s">
        <v>115</v>
      </c>
      <c r="T157" s="115">
        <v>4</v>
      </c>
      <c r="U157" s="115" t="s">
        <v>117</v>
      </c>
      <c r="V157" s="115" t="s">
        <v>117</v>
      </c>
      <c r="W157" s="118">
        <v>4</v>
      </c>
      <c r="X157" s="118">
        <v>10.37</v>
      </c>
      <c r="Y157" s="118">
        <v>1</v>
      </c>
      <c r="Z157" s="118">
        <v>1</v>
      </c>
      <c r="AA157" s="118">
        <v>1</v>
      </c>
      <c r="AB157" s="118">
        <v>1</v>
      </c>
      <c r="AC157" s="118">
        <v>1</v>
      </c>
      <c r="AD157" s="118">
        <v>1</v>
      </c>
      <c r="AE157" s="118">
        <v>1</v>
      </c>
      <c r="AF157" s="118">
        <v>1</v>
      </c>
      <c r="AG157" s="118">
        <v>1</v>
      </c>
      <c r="AH157" s="118">
        <v>1</v>
      </c>
      <c r="AI157" s="118">
        <v>1</v>
      </c>
      <c r="AJ157" s="118">
        <v>1</v>
      </c>
      <c r="AK157" s="118">
        <v>1</v>
      </c>
      <c r="AL157" s="118">
        <v>1</v>
      </c>
      <c r="AM157" s="118">
        <v>1</v>
      </c>
      <c r="AN157" s="118">
        <v>1</v>
      </c>
      <c r="AO157" s="118">
        <v>1</v>
      </c>
      <c r="AP157" s="118">
        <v>1</v>
      </c>
      <c r="AQ157" s="118">
        <v>1</v>
      </c>
      <c r="AR157" s="118">
        <v>0</v>
      </c>
      <c r="AS157" s="118">
        <v>0</v>
      </c>
      <c r="AT157" s="118">
        <v>0</v>
      </c>
      <c r="AU157" s="118">
        <f t="shared" si="14"/>
        <v>0</v>
      </c>
    </row>
    <row r="158" spans="1:50">
      <c r="A158" s="114">
        <v>11</v>
      </c>
      <c r="B158" s="116">
        <v>45940</v>
      </c>
      <c r="G158" s="115" t="s">
        <v>206</v>
      </c>
      <c r="H158" s="115">
        <v>4</v>
      </c>
      <c r="I158" s="117" t="str">
        <f t="shared" si="15"/>
        <v>NHGRI_4</v>
      </c>
      <c r="J158" s="123" t="s">
        <v>783</v>
      </c>
      <c r="K158" s="127">
        <v>10</v>
      </c>
      <c r="L158" s="123" t="str">
        <f t="shared" si="16"/>
        <v>NHGRI_4_10</v>
      </c>
      <c r="M158" s="123" t="s">
        <v>958</v>
      </c>
      <c r="N158" s="115" t="s">
        <v>86</v>
      </c>
      <c r="O158" s="115" t="s">
        <v>207</v>
      </c>
      <c r="P158" s="115">
        <v>100</v>
      </c>
      <c r="Q158" s="115">
        <v>500</v>
      </c>
      <c r="S158" s="115" t="s">
        <v>118</v>
      </c>
      <c r="T158" s="115">
        <v>6</v>
      </c>
      <c r="U158" s="115" t="s">
        <v>117</v>
      </c>
      <c r="V158" s="115" t="s">
        <v>117</v>
      </c>
      <c r="W158" s="118">
        <v>6</v>
      </c>
      <c r="X158" s="118">
        <v>10.57</v>
      </c>
      <c r="Y158" s="118">
        <v>1</v>
      </c>
      <c r="Z158" s="118">
        <v>1</v>
      </c>
      <c r="AA158" s="118">
        <v>1</v>
      </c>
      <c r="AB158" s="118">
        <v>1</v>
      </c>
      <c r="AC158" s="118">
        <v>1</v>
      </c>
      <c r="AD158" s="118">
        <v>1</v>
      </c>
      <c r="AE158" s="118">
        <v>1</v>
      </c>
      <c r="AF158" s="118">
        <v>1</v>
      </c>
      <c r="AG158" s="118">
        <v>1</v>
      </c>
      <c r="AH158" s="118">
        <v>1</v>
      </c>
      <c r="AI158" s="118">
        <v>1</v>
      </c>
      <c r="AJ158" s="118">
        <v>1</v>
      </c>
      <c r="AK158" s="118">
        <v>1</v>
      </c>
      <c r="AL158" s="118">
        <v>1</v>
      </c>
      <c r="AM158" s="118">
        <v>1</v>
      </c>
      <c r="AN158" s="118">
        <v>1</v>
      </c>
      <c r="AO158" s="118">
        <v>1</v>
      </c>
      <c r="AP158" s="118">
        <v>1</v>
      </c>
      <c r="AQ158" s="118">
        <v>1</v>
      </c>
      <c r="AR158" s="118">
        <v>0</v>
      </c>
      <c r="AS158" s="118">
        <v>0</v>
      </c>
      <c r="AT158" s="118">
        <v>0</v>
      </c>
      <c r="AU158" s="118">
        <f t="shared" si="14"/>
        <v>0</v>
      </c>
    </row>
    <row r="159" spans="1:50">
      <c r="A159" s="114">
        <v>11</v>
      </c>
      <c r="B159" s="116">
        <v>45940</v>
      </c>
      <c r="G159" s="115" t="s">
        <v>206</v>
      </c>
      <c r="H159" s="115">
        <v>4</v>
      </c>
      <c r="I159" s="117" t="str">
        <f t="shared" si="15"/>
        <v>NHGRI_4</v>
      </c>
      <c r="J159" s="123" t="s">
        <v>783</v>
      </c>
      <c r="K159" s="127">
        <v>11</v>
      </c>
      <c r="L159" s="123" t="str">
        <f t="shared" si="16"/>
        <v>NHGRI_4_11</v>
      </c>
      <c r="M159" s="123" t="s">
        <v>959</v>
      </c>
      <c r="N159" s="115" t="s">
        <v>86</v>
      </c>
      <c r="O159" s="115" t="s">
        <v>207</v>
      </c>
      <c r="P159" s="115">
        <v>100</v>
      </c>
      <c r="Q159" s="115">
        <v>500</v>
      </c>
      <c r="S159" s="115" t="s">
        <v>119</v>
      </c>
      <c r="T159" s="115">
        <v>4</v>
      </c>
      <c r="U159" s="115" t="s">
        <v>117</v>
      </c>
      <c r="V159" s="115" t="s">
        <v>117</v>
      </c>
      <c r="W159" s="118">
        <v>4</v>
      </c>
      <c r="X159" s="118">
        <v>11.08</v>
      </c>
      <c r="Y159" s="118">
        <v>1</v>
      </c>
      <c r="Z159" s="118">
        <v>1</v>
      </c>
      <c r="AA159" s="118">
        <v>1</v>
      </c>
      <c r="AB159" s="118">
        <v>1</v>
      </c>
      <c r="AC159" s="118">
        <v>1</v>
      </c>
      <c r="AD159" s="118">
        <v>1</v>
      </c>
      <c r="AE159" s="118">
        <v>1</v>
      </c>
      <c r="AF159" s="118">
        <v>1</v>
      </c>
      <c r="AG159" s="118">
        <v>1</v>
      </c>
      <c r="AH159" s="118">
        <v>1</v>
      </c>
      <c r="AI159" s="118">
        <v>1</v>
      </c>
      <c r="AJ159" s="118">
        <v>1</v>
      </c>
      <c r="AK159" s="118">
        <v>1</v>
      </c>
      <c r="AL159" s="118">
        <v>1</v>
      </c>
      <c r="AM159" s="118">
        <v>0</v>
      </c>
      <c r="AN159" s="118">
        <v>0</v>
      </c>
      <c r="AO159" s="118">
        <v>0</v>
      </c>
      <c r="AP159" s="118">
        <v>0</v>
      </c>
      <c r="AQ159" s="118">
        <v>0</v>
      </c>
      <c r="AR159" s="118">
        <v>0</v>
      </c>
      <c r="AS159" s="118">
        <v>0</v>
      </c>
      <c r="AT159" s="118">
        <v>0</v>
      </c>
      <c r="AU159" s="118">
        <f t="shared" si="14"/>
        <v>0</v>
      </c>
    </row>
    <row r="160" spans="1:50">
      <c r="A160" s="114">
        <v>11</v>
      </c>
      <c r="B160" s="116">
        <v>45940</v>
      </c>
      <c r="G160" s="115" t="s">
        <v>206</v>
      </c>
      <c r="H160" s="115">
        <v>4</v>
      </c>
      <c r="I160" s="117" t="str">
        <f t="shared" si="15"/>
        <v>NHGRI_4</v>
      </c>
      <c r="J160" s="123" t="s">
        <v>783</v>
      </c>
      <c r="K160" s="127">
        <v>12</v>
      </c>
      <c r="L160" s="123" t="str">
        <f t="shared" si="16"/>
        <v>NHGRI_4_12</v>
      </c>
      <c r="M160" s="123" t="s">
        <v>960</v>
      </c>
      <c r="N160" s="115" t="s">
        <v>86</v>
      </c>
      <c r="O160" s="115" t="s">
        <v>207</v>
      </c>
      <c r="P160" s="115">
        <v>100</v>
      </c>
      <c r="Q160" s="115">
        <v>500</v>
      </c>
      <c r="S160" s="115" t="s">
        <v>120</v>
      </c>
      <c r="T160" s="115">
        <v>5</v>
      </c>
      <c r="U160" s="115" t="s">
        <v>117</v>
      </c>
      <c r="V160" s="115" t="s">
        <v>117</v>
      </c>
      <c r="W160" s="118">
        <v>5</v>
      </c>
      <c r="X160" s="118">
        <v>11.26</v>
      </c>
      <c r="Y160" s="118">
        <v>1</v>
      </c>
      <c r="Z160" s="118">
        <v>1</v>
      </c>
      <c r="AA160" s="118">
        <v>1</v>
      </c>
      <c r="AB160" s="118">
        <v>1</v>
      </c>
      <c r="AC160" s="118">
        <v>1</v>
      </c>
      <c r="AD160" s="118">
        <v>1</v>
      </c>
      <c r="AE160" s="118">
        <v>1</v>
      </c>
      <c r="AF160" s="118">
        <v>1</v>
      </c>
      <c r="AG160" s="118">
        <v>1</v>
      </c>
      <c r="AH160" s="118">
        <v>1</v>
      </c>
      <c r="AI160" s="118">
        <v>1</v>
      </c>
      <c r="AJ160" s="118">
        <v>1</v>
      </c>
      <c r="AK160" s="118">
        <v>1</v>
      </c>
      <c r="AL160" s="118">
        <v>1</v>
      </c>
      <c r="AM160" s="118">
        <v>1</v>
      </c>
      <c r="AN160" s="118">
        <v>1</v>
      </c>
      <c r="AO160" s="118">
        <v>0</v>
      </c>
      <c r="AP160" s="118">
        <v>0</v>
      </c>
      <c r="AQ160" s="118">
        <v>0</v>
      </c>
      <c r="AR160" s="118">
        <v>0</v>
      </c>
      <c r="AS160" s="118">
        <v>0</v>
      </c>
      <c r="AT160" s="118">
        <v>0</v>
      </c>
      <c r="AU160" s="118">
        <f t="shared" si="14"/>
        <v>0</v>
      </c>
    </row>
    <row r="161" spans="1:50">
      <c r="A161" s="114">
        <v>11</v>
      </c>
      <c r="B161" s="116">
        <v>45940</v>
      </c>
      <c r="G161" s="115" t="s">
        <v>206</v>
      </c>
      <c r="H161" s="115">
        <v>4</v>
      </c>
      <c r="I161" s="117" t="str">
        <f t="shared" si="15"/>
        <v>NHGRI_4</v>
      </c>
      <c r="J161" s="123" t="s">
        <v>783</v>
      </c>
      <c r="K161" s="127">
        <v>13</v>
      </c>
      <c r="L161" s="123" t="str">
        <f t="shared" si="16"/>
        <v>NHGRI_4_13</v>
      </c>
      <c r="M161" s="123" t="s">
        <v>961</v>
      </c>
      <c r="N161" s="115" t="s">
        <v>86</v>
      </c>
      <c r="O161" s="115" t="s">
        <v>207</v>
      </c>
      <c r="P161" s="115">
        <v>100</v>
      </c>
      <c r="Q161" s="115">
        <v>500</v>
      </c>
      <c r="S161" s="115" t="s">
        <v>121</v>
      </c>
      <c r="T161" s="115">
        <v>5</v>
      </c>
      <c r="U161" s="115" t="s">
        <v>117</v>
      </c>
      <c r="V161" s="115" t="s">
        <v>117</v>
      </c>
      <c r="W161" s="118">
        <v>5</v>
      </c>
      <c r="X161" s="118">
        <v>11.46</v>
      </c>
      <c r="Y161" s="118">
        <v>1</v>
      </c>
      <c r="Z161" s="118">
        <v>1</v>
      </c>
      <c r="AA161" s="118">
        <v>1</v>
      </c>
      <c r="AB161" s="118">
        <v>1</v>
      </c>
      <c r="AC161" s="118">
        <v>1</v>
      </c>
      <c r="AD161" s="118">
        <v>1</v>
      </c>
      <c r="AE161" s="118">
        <v>1</v>
      </c>
      <c r="AF161" s="118">
        <v>1</v>
      </c>
      <c r="AG161" s="118">
        <v>1</v>
      </c>
      <c r="AH161" s="118">
        <v>1</v>
      </c>
      <c r="AI161" s="118">
        <v>1</v>
      </c>
      <c r="AJ161" s="118">
        <v>1</v>
      </c>
      <c r="AK161" s="118">
        <v>0</v>
      </c>
      <c r="AL161" s="118">
        <v>0</v>
      </c>
      <c r="AM161" s="118">
        <v>0</v>
      </c>
      <c r="AN161" s="118">
        <v>0</v>
      </c>
      <c r="AO161" s="118">
        <v>0</v>
      </c>
      <c r="AP161" s="118">
        <v>0</v>
      </c>
      <c r="AQ161" s="118">
        <v>0</v>
      </c>
      <c r="AR161" s="118">
        <v>0</v>
      </c>
      <c r="AS161" s="118">
        <v>0</v>
      </c>
      <c r="AT161" s="118">
        <v>0</v>
      </c>
      <c r="AU161" s="118">
        <f t="shared" si="14"/>
        <v>0</v>
      </c>
    </row>
    <row r="162" spans="1:50">
      <c r="A162" s="114">
        <v>11</v>
      </c>
      <c r="B162" s="116">
        <v>45940</v>
      </c>
      <c r="G162" s="115" t="s">
        <v>206</v>
      </c>
      <c r="H162" s="115">
        <v>4</v>
      </c>
      <c r="I162" s="117" t="str">
        <f t="shared" si="15"/>
        <v>NHGRI_4</v>
      </c>
      <c r="J162" s="123" t="s">
        <v>783</v>
      </c>
      <c r="K162" s="127">
        <v>14</v>
      </c>
      <c r="L162" s="123" t="str">
        <f t="shared" si="16"/>
        <v>NHGRI_4_14</v>
      </c>
      <c r="M162" s="123" t="s">
        <v>962</v>
      </c>
      <c r="N162" s="115" t="s">
        <v>86</v>
      </c>
      <c r="O162" s="115" t="s">
        <v>207</v>
      </c>
      <c r="P162" s="115">
        <v>100</v>
      </c>
      <c r="Q162" s="115">
        <v>500</v>
      </c>
      <c r="S162" s="115" t="s">
        <v>175</v>
      </c>
      <c r="T162" s="115">
        <v>6</v>
      </c>
      <c r="U162" s="115" t="s">
        <v>117</v>
      </c>
      <c r="V162" s="115" t="s">
        <v>117</v>
      </c>
      <c r="W162" s="118">
        <v>6</v>
      </c>
      <c r="X162" s="118">
        <v>12.1</v>
      </c>
      <c r="Y162" s="118">
        <v>1</v>
      </c>
      <c r="Z162" s="118">
        <v>1</v>
      </c>
      <c r="AA162" s="118">
        <v>0</v>
      </c>
      <c r="AB162" s="118">
        <v>0</v>
      </c>
      <c r="AC162" s="118">
        <v>0</v>
      </c>
      <c r="AD162" s="118">
        <v>0</v>
      </c>
      <c r="AE162" s="118">
        <v>0</v>
      </c>
      <c r="AF162" s="118">
        <v>0</v>
      </c>
      <c r="AG162" s="118">
        <v>0</v>
      </c>
      <c r="AH162" s="118">
        <v>0</v>
      </c>
      <c r="AI162" s="118">
        <v>0</v>
      </c>
      <c r="AJ162" s="118">
        <v>0</v>
      </c>
      <c r="AK162" s="118">
        <v>0</v>
      </c>
      <c r="AL162" s="118">
        <v>0</v>
      </c>
      <c r="AM162" s="118">
        <v>0</v>
      </c>
      <c r="AN162" s="118">
        <v>0</v>
      </c>
      <c r="AO162" s="118">
        <v>0</v>
      </c>
      <c r="AP162" s="118">
        <v>0</v>
      </c>
      <c r="AQ162" s="118">
        <v>0</v>
      </c>
      <c r="AR162" s="118">
        <v>0</v>
      </c>
      <c r="AS162" s="118">
        <v>0</v>
      </c>
      <c r="AT162" s="118">
        <v>0</v>
      </c>
      <c r="AU162" s="118">
        <f t="shared" si="14"/>
        <v>0</v>
      </c>
    </row>
    <row r="163" spans="1:50">
      <c r="A163" s="114">
        <v>12</v>
      </c>
      <c r="B163" s="116">
        <v>45944</v>
      </c>
      <c r="C163" s="115" t="s">
        <v>166</v>
      </c>
      <c r="D163" s="115" t="s">
        <v>211</v>
      </c>
      <c r="E163" s="115" t="s">
        <v>212</v>
      </c>
      <c r="F163" s="115" t="s">
        <v>48</v>
      </c>
      <c r="G163" s="115" t="s">
        <v>213</v>
      </c>
      <c r="H163" s="115">
        <v>4</v>
      </c>
      <c r="I163" s="117" t="str">
        <f t="shared" si="15"/>
        <v>AB_4</v>
      </c>
      <c r="J163" s="125" t="s">
        <v>774</v>
      </c>
      <c r="K163" s="127">
        <v>1</v>
      </c>
      <c r="L163" s="123" t="str">
        <f t="shared" si="16"/>
        <v>AB_4_1</v>
      </c>
      <c r="M163" s="125" t="s">
        <v>963</v>
      </c>
      <c r="N163" s="115" t="s">
        <v>88</v>
      </c>
      <c r="O163" s="115" t="s">
        <v>214</v>
      </c>
      <c r="P163" s="115">
        <v>100</v>
      </c>
      <c r="Q163" s="115">
        <v>500</v>
      </c>
      <c r="R163" s="115">
        <v>60</v>
      </c>
      <c r="S163" s="115">
        <v>1</v>
      </c>
      <c r="T163" s="115">
        <v>1</v>
      </c>
      <c r="U163" s="115">
        <v>10.029999999999999</v>
      </c>
      <c r="V163" s="115">
        <v>10.14</v>
      </c>
      <c r="W163" s="118">
        <v>1</v>
      </c>
      <c r="X163" s="118">
        <v>10.3</v>
      </c>
      <c r="Y163" s="118">
        <v>2</v>
      </c>
      <c r="Z163" s="118">
        <v>0</v>
      </c>
      <c r="AA163" s="118">
        <v>0</v>
      </c>
      <c r="AB163" s="118">
        <v>0</v>
      </c>
      <c r="AC163" s="118">
        <v>0</v>
      </c>
      <c r="AD163" s="118">
        <v>0</v>
      </c>
      <c r="AE163" s="118">
        <v>0</v>
      </c>
      <c r="AF163" s="118">
        <v>0</v>
      </c>
      <c r="AG163" s="118">
        <v>0</v>
      </c>
      <c r="AH163" s="118">
        <v>0</v>
      </c>
      <c r="AI163" s="118">
        <v>0</v>
      </c>
      <c r="AJ163" s="118">
        <v>0</v>
      </c>
      <c r="AK163" s="118">
        <v>0</v>
      </c>
      <c r="AL163" s="118">
        <v>0</v>
      </c>
      <c r="AM163" s="118">
        <v>0</v>
      </c>
      <c r="AN163" s="118">
        <v>0</v>
      </c>
      <c r="AO163" s="118">
        <v>0</v>
      </c>
      <c r="AP163" s="118">
        <v>0</v>
      </c>
      <c r="AQ163" s="118">
        <v>0</v>
      </c>
      <c r="AR163" s="118">
        <v>0</v>
      </c>
      <c r="AS163" s="118">
        <v>0</v>
      </c>
      <c r="AT163" s="118">
        <v>0</v>
      </c>
      <c r="AU163" s="118">
        <f t="shared" si="14"/>
        <v>0</v>
      </c>
      <c r="AX163" s="114" t="s">
        <v>53</v>
      </c>
    </row>
    <row r="164" spans="1:50">
      <c r="A164" s="114">
        <v>12</v>
      </c>
      <c r="B164" s="116">
        <v>45944</v>
      </c>
      <c r="D164" s="115" t="s">
        <v>215</v>
      </c>
      <c r="E164" s="115" t="s">
        <v>216</v>
      </c>
      <c r="G164" s="115" t="s">
        <v>213</v>
      </c>
      <c r="H164" s="115">
        <v>4</v>
      </c>
      <c r="I164" s="117" t="str">
        <f t="shared" si="15"/>
        <v>AB_4</v>
      </c>
      <c r="J164" s="125" t="s">
        <v>774</v>
      </c>
      <c r="K164" s="127">
        <v>2</v>
      </c>
      <c r="L164" s="123" t="str">
        <f t="shared" si="16"/>
        <v>AB_4_2</v>
      </c>
      <c r="M164" s="125" t="s">
        <v>964</v>
      </c>
      <c r="N164" s="115" t="s">
        <v>88</v>
      </c>
      <c r="O164" s="115" t="s">
        <v>214</v>
      </c>
      <c r="P164" s="115">
        <v>100</v>
      </c>
      <c r="Q164" s="115">
        <v>500</v>
      </c>
      <c r="S164" s="115">
        <v>2</v>
      </c>
      <c r="T164" s="115">
        <v>4</v>
      </c>
      <c r="U164" s="115">
        <v>10.15</v>
      </c>
      <c r="V164" s="115">
        <v>10.34</v>
      </c>
      <c r="W164" s="118">
        <v>4</v>
      </c>
      <c r="X164" s="118">
        <v>10.5</v>
      </c>
      <c r="Y164" s="118">
        <v>1</v>
      </c>
      <c r="Z164" s="118">
        <v>1</v>
      </c>
      <c r="AA164" s="118">
        <v>1</v>
      </c>
      <c r="AB164" s="118">
        <v>1</v>
      </c>
      <c r="AC164" s="118">
        <v>1</v>
      </c>
      <c r="AD164" s="118">
        <v>1</v>
      </c>
      <c r="AE164" s="118">
        <v>1</v>
      </c>
      <c r="AF164" s="118">
        <v>1</v>
      </c>
      <c r="AG164" s="118">
        <v>1</v>
      </c>
      <c r="AH164" s="118">
        <v>1</v>
      </c>
      <c r="AI164" s="118">
        <v>1</v>
      </c>
      <c r="AJ164" s="118">
        <v>0</v>
      </c>
      <c r="AK164" s="118">
        <v>0</v>
      </c>
      <c r="AL164" s="118">
        <v>0</v>
      </c>
      <c r="AM164" s="118">
        <v>0</v>
      </c>
      <c r="AN164" s="118">
        <v>0</v>
      </c>
      <c r="AO164" s="118">
        <v>0</v>
      </c>
      <c r="AP164" s="118">
        <v>0</v>
      </c>
      <c r="AQ164" s="118">
        <v>0</v>
      </c>
      <c r="AR164" s="118">
        <v>0</v>
      </c>
      <c r="AS164" s="118">
        <v>0</v>
      </c>
      <c r="AT164" s="118">
        <v>0</v>
      </c>
      <c r="AU164" s="118">
        <f t="shared" si="14"/>
        <v>0</v>
      </c>
    </row>
    <row r="165" spans="1:50">
      <c r="A165" s="114">
        <v>12</v>
      </c>
      <c r="B165" s="116">
        <v>45944</v>
      </c>
      <c r="E165" s="115" t="s">
        <v>161</v>
      </c>
      <c r="G165" s="115" t="s">
        <v>213</v>
      </c>
      <c r="H165" s="115">
        <v>4</v>
      </c>
      <c r="I165" s="117" t="str">
        <f t="shared" si="15"/>
        <v>AB_4</v>
      </c>
      <c r="J165" s="125" t="s">
        <v>774</v>
      </c>
      <c r="K165" s="127">
        <v>3</v>
      </c>
      <c r="L165" s="123" t="str">
        <f t="shared" si="16"/>
        <v>AB_4_3</v>
      </c>
      <c r="M165" s="125" t="s">
        <v>965</v>
      </c>
      <c r="N165" s="115" t="s">
        <v>88</v>
      </c>
      <c r="O165" s="115" t="s">
        <v>214</v>
      </c>
      <c r="P165" s="115">
        <v>100</v>
      </c>
      <c r="Q165" s="115">
        <v>500</v>
      </c>
      <c r="S165" s="115">
        <v>3</v>
      </c>
      <c r="T165" s="115">
        <v>3</v>
      </c>
      <c r="U165" s="115">
        <v>10.38</v>
      </c>
      <c r="V165" s="115">
        <v>10.49</v>
      </c>
      <c r="W165" s="118">
        <v>3</v>
      </c>
      <c r="X165" s="118">
        <v>11.04</v>
      </c>
      <c r="Y165" s="118">
        <v>2</v>
      </c>
      <c r="Z165" s="118">
        <v>2</v>
      </c>
      <c r="AA165" s="118">
        <v>2</v>
      </c>
      <c r="AB165" s="118">
        <v>2</v>
      </c>
      <c r="AC165" s="118">
        <v>2</v>
      </c>
      <c r="AD165" s="118">
        <v>2</v>
      </c>
      <c r="AE165" s="118">
        <v>2</v>
      </c>
      <c r="AF165" s="118">
        <v>2</v>
      </c>
      <c r="AG165" s="118">
        <v>2</v>
      </c>
      <c r="AH165" s="118">
        <v>2</v>
      </c>
      <c r="AI165" s="118">
        <v>1</v>
      </c>
      <c r="AJ165" s="118">
        <v>0</v>
      </c>
      <c r="AK165" s="118">
        <v>0</v>
      </c>
      <c r="AL165" s="118">
        <v>0</v>
      </c>
      <c r="AM165" s="118">
        <v>0</v>
      </c>
      <c r="AN165" s="118">
        <v>0</v>
      </c>
      <c r="AO165" s="118">
        <v>0</v>
      </c>
      <c r="AP165" s="118">
        <v>0</v>
      </c>
      <c r="AQ165" s="118">
        <v>0</v>
      </c>
      <c r="AR165" s="118">
        <v>0</v>
      </c>
      <c r="AS165" s="118">
        <v>0</v>
      </c>
      <c r="AT165" s="118">
        <v>0</v>
      </c>
      <c r="AU165" s="118">
        <f t="shared" si="14"/>
        <v>0</v>
      </c>
    </row>
    <row r="166" spans="1:50">
      <c r="A166" s="114">
        <v>12</v>
      </c>
      <c r="B166" s="116">
        <v>45944</v>
      </c>
      <c r="E166" s="115" t="s">
        <v>217</v>
      </c>
      <c r="G166" s="115" t="s">
        <v>213</v>
      </c>
      <c r="H166" s="115">
        <v>4</v>
      </c>
      <c r="I166" s="117" t="str">
        <f t="shared" si="15"/>
        <v>AB_4</v>
      </c>
      <c r="J166" s="125" t="s">
        <v>774</v>
      </c>
      <c r="K166" s="127">
        <v>4</v>
      </c>
      <c r="L166" s="123" t="str">
        <f t="shared" si="16"/>
        <v>AB_4_4</v>
      </c>
      <c r="M166" s="125" t="s">
        <v>966</v>
      </c>
      <c r="N166" s="115" t="s">
        <v>88</v>
      </c>
      <c r="O166" s="115" t="s">
        <v>214</v>
      </c>
      <c r="P166" s="115">
        <v>100</v>
      </c>
      <c r="Q166" s="115">
        <v>500</v>
      </c>
      <c r="S166" s="115">
        <v>4</v>
      </c>
      <c r="T166" s="115">
        <v>2</v>
      </c>
      <c r="U166" s="115">
        <v>10.52</v>
      </c>
      <c r="V166" s="115">
        <v>10.58</v>
      </c>
      <c r="W166" s="118">
        <v>2</v>
      </c>
      <c r="X166" s="118">
        <v>11.14</v>
      </c>
      <c r="Y166" s="118">
        <v>1</v>
      </c>
      <c r="Z166" s="118">
        <v>1</v>
      </c>
      <c r="AA166" s="118">
        <v>1</v>
      </c>
      <c r="AB166" s="118">
        <v>1</v>
      </c>
      <c r="AC166" s="118">
        <v>1</v>
      </c>
      <c r="AD166" s="118">
        <v>1</v>
      </c>
      <c r="AE166" s="118">
        <v>1</v>
      </c>
      <c r="AF166" s="118">
        <v>1</v>
      </c>
      <c r="AG166" s="118">
        <v>1</v>
      </c>
      <c r="AH166" s="118">
        <v>1</v>
      </c>
      <c r="AI166" s="118">
        <v>1</v>
      </c>
      <c r="AJ166" s="118">
        <v>1</v>
      </c>
      <c r="AK166" s="118">
        <v>1</v>
      </c>
      <c r="AL166" s="118">
        <v>0</v>
      </c>
      <c r="AM166" s="118">
        <v>0</v>
      </c>
      <c r="AN166" s="118">
        <v>0</v>
      </c>
      <c r="AO166" s="118">
        <v>0</v>
      </c>
      <c r="AP166" s="118">
        <v>0</v>
      </c>
      <c r="AQ166" s="118">
        <v>0</v>
      </c>
      <c r="AR166" s="118">
        <v>0</v>
      </c>
      <c r="AS166" s="118">
        <v>0</v>
      </c>
      <c r="AT166" s="118">
        <v>0</v>
      </c>
      <c r="AU166" s="118">
        <f t="shared" si="14"/>
        <v>0</v>
      </c>
    </row>
    <row r="167" spans="1:50">
      <c r="A167" s="114">
        <v>12</v>
      </c>
      <c r="B167" s="116">
        <v>45944</v>
      </c>
      <c r="G167" s="115" t="s">
        <v>213</v>
      </c>
      <c r="H167" s="115">
        <v>4</v>
      </c>
      <c r="I167" s="117" t="str">
        <f t="shared" si="15"/>
        <v>AB_4</v>
      </c>
      <c r="J167" s="125" t="s">
        <v>774</v>
      </c>
      <c r="K167" s="127">
        <v>5</v>
      </c>
      <c r="L167" s="123" t="str">
        <f t="shared" si="16"/>
        <v>AB_4_5</v>
      </c>
      <c r="M167" s="125" t="s">
        <v>967</v>
      </c>
      <c r="N167" s="115" t="s">
        <v>88</v>
      </c>
      <c r="O167" s="115" t="s">
        <v>214</v>
      </c>
      <c r="P167" s="115">
        <v>100</v>
      </c>
      <c r="Q167" s="115">
        <v>500</v>
      </c>
      <c r="S167" s="115">
        <v>5</v>
      </c>
      <c r="T167" s="115">
        <v>4</v>
      </c>
      <c r="U167" s="115">
        <v>11</v>
      </c>
      <c r="V167" s="115">
        <v>11.11</v>
      </c>
      <c r="W167" s="118">
        <v>4</v>
      </c>
      <c r="X167" s="118">
        <v>11.26</v>
      </c>
      <c r="Y167" s="118">
        <v>3</v>
      </c>
      <c r="Z167" s="118">
        <v>3</v>
      </c>
      <c r="AA167" s="118">
        <v>3</v>
      </c>
      <c r="AB167" s="118">
        <v>3</v>
      </c>
      <c r="AC167" s="118">
        <v>3</v>
      </c>
      <c r="AD167" s="118">
        <v>3</v>
      </c>
      <c r="AE167" s="118">
        <v>3</v>
      </c>
      <c r="AF167" s="118">
        <v>3</v>
      </c>
      <c r="AG167" s="118">
        <v>3</v>
      </c>
      <c r="AH167" s="118">
        <v>3</v>
      </c>
      <c r="AI167" s="118">
        <v>3</v>
      </c>
      <c r="AJ167" s="118">
        <v>2</v>
      </c>
      <c r="AK167" s="118">
        <v>1</v>
      </c>
      <c r="AL167" s="118">
        <v>0</v>
      </c>
      <c r="AM167" s="118">
        <v>0</v>
      </c>
      <c r="AN167" s="118">
        <v>0</v>
      </c>
      <c r="AO167" s="118">
        <v>0</v>
      </c>
      <c r="AP167" s="118">
        <v>0</v>
      </c>
      <c r="AQ167" s="118">
        <v>0</v>
      </c>
      <c r="AR167" s="118">
        <v>0</v>
      </c>
      <c r="AS167" s="118">
        <v>0</v>
      </c>
      <c r="AT167" s="118">
        <v>0</v>
      </c>
      <c r="AU167" s="118">
        <f t="shared" si="14"/>
        <v>0</v>
      </c>
    </row>
    <row r="168" spans="1:50">
      <c r="A168" s="114">
        <v>12</v>
      </c>
      <c r="B168" s="116">
        <v>45944</v>
      </c>
      <c r="G168" s="115" t="s">
        <v>213</v>
      </c>
      <c r="H168" s="115">
        <v>4</v>
      </c>
      <c r="I168" s="117" t="str">
        <f t="shared" si="15"/>
        <v>AB_4</v>
      </c>
      <c r="J168" s="125" t="s">
        <v>774</v>
      </c>
      <c r="K168" s="127">
        <v>6</v>
      </c>
      <c r="L168" s="123" t="str">
        <f t="shared" si="16"/>
        <v>AB_4_6</v>
      </c>
      <c r="M168" s="125" t="s">
        <v>968</v>
      </c>
      <c r="N168" s="115" t="s">
        <v>88</v>
      </c>
      <c r="O168" s="115" t="s">
        <v>214</v>
      </c>
      <c r="P168" s="115">
        <v>100</v>
      </c>
      <c r="Q168" s="115">
        <v>500</v>
      </c>
      <c r="S168" s="115">
        <v>6</v>
      </c>
      <c r="T168" s="115">
        <v>3</v>
      </c>
      <c r="U168" s="115">
        <v>11.16</v>
      </c>
      <c r="V168" s="115">
        <v>11.32</v>
      </c>
      <c r="W168" s="118">
        <v>3</v>
      </c>
      <c r="X168" s="118">
        <v>11.44</v>
      </c>
      <c r="Y168" s="118">
        <v>3</v>
      </c>
      <c r="Z168" s="118">
        <v>3</v>
      </c>
      <c r="AA168" s="118">
        <v>3</v>
      </c>
      <c r="AB168" s="118">
        <v>0</v>
      </c>
      <c r="AC168" s="118">
        <v>0</v>
      </c>
      <c r="AD168" s="118">
        <v>0</v>
      </c>
      <c r="AE168" s="118">
        <v>0</v>
      </c>
      <c r="AF168" s="118">
        <v>0</v>
      </c>
      <c r="AG168" s="118">
        <v>0</v>
      </c>
      <c r="AH168" s="118">
        <v>0</v>
      </c>
      <c r="AI168" s="118">
        <v>0</v>
      </c>
      <c r="AJ168" s="118">
        <v>0</v>
      </c>
      <c r="AK168" s="118">
        <v>0</v>
      </c>
      <c r="AL168" s="118">
        <v>0</v>
      </c>
      <c r="AM168" s="118">
        <v>0</v>
      </c>
      <c r="AN168" s="118">
        <v>0</v>
      </c>
      <c r="AO168" s="118">
        <v>0</v>
      </c>
      <c r="AP168" s="118">
        <v>0</v>
      </c>
      <c r="AQ168" s="118">
        <v>0</v>
      </c>
      <c r="AR168" s="118">
        <v>0</v>
      </c>
      <c r="AS168" s="118">
        <v>0</v>
      </c>
      <c r="AT168" s="118">
        <v>0</v>
      </c>
      <c r="AU168" s="118">
        <f t="shared" si="14"/>
        <v>0</v>
      </c>
    </row>
    <row r="169" spans="1:50">
      <c r="A169" s="114">
        <v>12</v>
      </c>
      <c r="B169" s="116">
        <v>45944</v>
      </c>
      <c r="G169" s="115" t="s">
        <v>213</v>
      </c>
      <c r="H169" s="115">
        <v>4</v>
      </c>
      <c r="I169" s="117" t="str">
        <f t="shared" si="15"/>
        <v>AB_4</v>
      </c>
      <c r="J169" s="125" t="s">
        <v>774</v>
      </c>
      <c r="K169" s="127">
        <v>7</v>
      </c>
      <c r="L169" s="123" t="str">
        <f t="shared" si="16"/>
        <v>AB_4_7</v>
      </c>
      <c r="M169" s="125" t="s">
        <v>969</v>
      </c>
      <c r="N169" s="115" t="s">
        <v>88</v>
      </c>
      <c r="O169" s="115" t="s">
        <v>214</v>
      </c>
      <c r="P169" s="115">
        <v>100</v>
      </c>
      <c r="Q169" s="115">
        <v>500</v>
      </c>
      <c r="S169" s="115">
        <v>7</v>
      </c>
      <c r="T169" s="115">
        <v>3</v>
      </c>
      <c r="U169" s="115">
        <v>11.32</v>
      </c>
      <c r="V169" s="115">
        <v>11.46</v>
      </c>
      <c r="W169" s="118">
        <v>3</v>
      </c>
      <c r="X169" s="118">
        <v>11.59</v>
      </c>
      <c r="Y169" s="118">
        <v>3</v>
      </c>
      <c r="Z169" s="118">
        <v>3</v>
      </c>
      <c r="AA169" s="118">
        <v>0</v>
      </c>
      <c r="AB169" s="118">
        <v>0</v>
      </c>
      <c r="AC169" s="118">
        <v>0</v>
      </c>
      <c r="AD169" s="118">
        <v>0</v>
      </c>
      <c r="AE169" s="118">
        <v>0</v>
      </c>
      <c r="AF169" s="118">
        <v>0</v>
      </c>
      <c r="AG169" s="118">
        <v>0</v>
      </c>
      <c r="AH169" s="118">
        <v>0</v>
      </c>
      <c r="AI169" s="118">
        <v>0</v>
      </c>
      <c r="AJ169" s="118">
        <v>0</v>
      </c>
      <c r="AK169" s="118">
        <v>0</v>
      </c>
      <c r="AL169" s="118">
        <v>0</v>
      </c>
      <c r="AM169" s="118">
        <v>0</v>
      </c>
      <c r="AN169" s="118">
        <v>0</v>
      </c>
      <c r="AO169" s="118">
        <v>0</v>
      </c>
      <c r="AP169" s="118">
        <v>0</v>
      </c>
      <c r="AQ169" s="118">
        <v>0</v>
      </c>
      <c r="AR169" s="118">
        <v>0</v>
      </c>
      <c r="AS169" s="118">
        <v>0</v>
      </c>
      <c r="AT169" s="118">
        <v>0</v>
      </c>
      <c r="AU169" s="118">
        <f t="shared" si="14"/>
        <v>0</v>
      </c>
    </row>
    <row r="170" spans="1:50">
      <c r="A170" s="114">
        <v>12</v>
      </c>
      <c r="B170" s="116">
        <v>45944</v>
      </c>
      <c r="G170" s="115" t="s">
        <v>213</v>
      </c>
      <c r="H170" s="115">
        <v>4</v>
      </c>
      <c r="I170" s="117" t="str">
        <f t="shared" si="15"/>
        <v>AB_4</v>
      </c>
      <c r="J170" s="125" t="s">
        <v>774</v>
      </c>
      <c r="K170" s="127">
        <v>8</v>
      </c>
      <c r="L170" s="123" t="str">
        <f t="shared" si="16"/>
        <v>AB_4_8</v>
      </c>
      <c r="M170" s="125" t="s">
        <v>970</v>
      </c>
      <c r="N170" s="115" t="s">
        <v>88</v>
      </c>
      <c r="O170" s="115" t="s">
        <v>214</v>
      </c>
      <c r="P170" s="115">
        <v>100</v>
      </c>
      <c r="Q170" s="115">
        <v>500</v>
      </c>
      <c r="S170" s="115">
        <v>8</v>
      </c>
      <c r="T170" s="115">
        <v>3</v>
      </c>
      <c r="U170" s="115">
        <v>11.46</v>
      </c>
      <c r="V170" s="115">
        <v>12.01</v>
      </c>
      <c r="W170" s="118">
        <v>3</v>
      </c>
      <c r="X170" s="118">
        <v>12.15</v>
      </c>
      <c r="Y170" s="118">
        <v>3</v>
      </c>
      <c r="Z170" s="118">
        <v>3</v>
      </c>
      <c r="AA170" s="118">
        <v>3</v>
      </c>
      <c r="AB170" s="118">
        <v>3</v>
      </c>
      <c r="AC170" s="118">
        <v>3</v>
      </c>
      <c r="AD170" s="118">
        <v>3</v>
      </c>
      <c r="AE170" s="118">
        <v>3</v>
      </c>
      <c r="AF170" s="118">
        <v>3</v>
      </c>
      <c r="AG170" s="118">
        <v>3</v>
      </c>
      <c r="AH170" s="118">
        <v>3</v>
      </c>
      <c r="AI170" s="118">
        <v>3</v>
      </c>
      <c r="AJ170" s="118">
        <v>3</v>
      </c>
      <c r="AK170" s="118">
        <v>0</v>
      </c>
      <c r="AL170" s="118">
        <v>0</v>
      </c>
      <c r="AM170" s="118">
        <v>0</v>
      </c>
      <c r="AN170" s="118">
        <v>0</v>
      </c>
      <c r="AO170" s="118">
        <v>0</v>
      </c>
      <c r="AP170" s="118">
        <v>0</v>
      </c>
      <c r="AQ170" s="118">
        <v>0</v>
      </c>
      <c r="AR170" s="118">
        <v>0</v>
      </c>
      <c r="AS170" s="118">
        <v>0</v>
      </c>
      <c r="AT170" s="118">
        <v>0</v>
      </c>
      <c r="AU170" s="118">
        <f t="shared" si="14"/>
        <v>0</v>
      </c>
    </row>
    <row r="171" spans="1:50">
      <c r="A171" s="114">
        <v>12</v>
      </c>
      <c r="B171" s="116">
        <v>45944</v>
      </c>
      <c r="G171" s="115" t="s">
        <v>213</v>
      </c>
      <c r="H171" s="115">
        <v>4</v>
      </c>
      <c r="I171" s="117" t="str">
        <f t="shared" si="15"/>
        <v>AB_4</v>
      </c>
      <c r="J171" s="125" t="s">
        <v>774</v>
      </c>
      <c r="K171" s="127">
        <v>9</v>
      </c>
      <c r="L171" s="123" t="str">
        <f t="shared" si="16"/>
        <v>AB_4_9</v>
      </c>
      <c r="M171" s="125" t="s">
        <v>971</v>
      </c>
      <c r="N171" s="115" t="s">
        <v>88</v>
      </c>
      <c r="O171" s="115" t="s">
        <v>214</v>
      </c>
      <c r="P171" s="115">
        <v>100</v>
      </c>
      <c r="Q171" s="115">
        <v>500</v>
      </c>
      <c r="S171" s="115">
        <v>9</v>
      </c>
      <c r="T171" s="115">
        <v>3</v>
      </c>
      <c r="U171" s="115">
        <v>12.03</v>
      </c>
      <c r="V171" s="115">
        <v>12.16</v>
      </c>
      <c r="W171" s="118">
        <v>3</v>
      </c>
      <c r="X171" s="118">
        <v>12.31</v>
      </c>
      <c r="Y171" s="118">
        <v>3</v>
      </c>
      <c r="Z171" s="118">
        <v>3</v>
      </c>
      <c r="AA171" s="118">
        <v>3</v>
      </c>
      <c r="AB171" s="118">
        <v>1</v>
      </c>
      <c r="AC171" s="118">
        <v>1</v>
      </c>
      <c r="AD171" s="118">
        <v>1</v>
      </c>
      <c r="AE171" s="118">
        <v>1</v>
      </c>
      <c r="AF171" s="118">
        <v>1</v>
      </c>
      <c r="AG171" s="118">
        <v>1</v>
      </c>
      <c r="AH171" s="118">
        <v>1</v>
      </c>
      <c r="AI171" s="118">
        <v>1</v>
      </c>
      <c r="AJ171" s="118">
        <v>1</v>
      </c>
      <c r="AK171" s="118">
        <v>1</v>
      </c>
      <c r="AL171" s="118">
        <v>1</v>
      </c>
      <c r="AM171" s="118">
        <v>1</v>
      </c>
      <c r="AN171" s="118">
        <v>0</v>
      </c>
      <c r="AO171" s="118">
        <v>0</v>
      </c>
      <c r="AP171" s="118">
        <v>0</v>
      </c>
      <c r="AQ171" s="118">
        <v>0</v>
      </c>
      <c r="AR171" s="118">
        <v>0</v>
      </c>
      <c r="AS171" s="118">
        <v>0</v>
      </c>
      <c r="AT171" s="118">
        <v>0</v>
      </c>
      <c r="AU171" s="118">
        <f t="shared" si="14"/>
        <v>0</v>
      </c>
    </row>
    <row r="172" spans="1:50">
      <c r="A172" s="114">
        <v>12</v>
      </c>
      <c r="B172" s="116">
        <v>45944</v>
      </c>
      <c r="G172" s="115" t="s">
        <v>213</v>
      </c>
      <c r="H172" s="115">
        <v>4</v>
      </c>
      <c r="I172" s="117" t="str">
        <f t="shared" si="15"/>
        <v>AB_4</v>
      </c>
      <c r="J172" s="125" t="s">
        <v>774</v>
      </c>
      <c r="K172" s="127">
        <v>10</v>
      </c>
      <c r="L172" s="123" t="str">
        <f t="shared" si="16"/>
        <v>AB_4_10</v>
      </c>
      <c r="M172" s="125" t="s">
        <v>972</v>
      </c>
      <c r="N172" s="115" t="s">
        <v>88</v>
      </c>
      <c r="O172" s="115" t="s">
        <v>214</v>
      </c>
      <c r="P172" s="115">
        <v>100</v>
      </c>
      <c r="Q172" s="115">
        <v>500</v>
      </c>
      <c r="R172" s="115">
        <v>70</v>
      </c>
      <c r="S172" s="115">
        <v>1</v>
      </c>
      <c r="T172" s="115">
        <v>2</v>
      </c>
      <c r="U172" s="115">
        <v>9.56</v>
      </c>
      <c r="V172" s="115">
        <v>10.02</v>
      </c>
      <c r="W172" s="118">
        <v>2</v>
      </c>
      <c r="X172" s="118">
        <v>10.17</v>
      </c>
      <c r="Y172" s="118">
        <v>1</v>
      </c>
      <c r="Z172" s="118">
        <v>1</v>
      </c>
      <c r="AA172" s="118">
        <v>1</v>
      </c>
      <c r="AB172" s="118">
        <v>1</v>
      </c>
      <c r="AC172" s="118">
        <v>1</v>
      </c>
      <c r="AD172" s="118">
        <v>1</v>
      </c>
      <c r="AE172" s="118">
        <v>1</v>
      </c>
      <c r="AF172" s="118">
        <v>1</v>
      </c>
      <c r="AG172" s="118">
        <v>1</v>
      </c>
      <c r="AH172" s="118">
        <v>1</v>
      </c>
      <c r="AI172" s="118">
        <v>1</v>
      </c>
      <c r="AJ172" s="118">
        <v>1</v>
      </c>
      <c r="AK172" s="118">
        <v>1</v>
      </c>
      <c r="AL172" s="118">
        <v>1</v>
      </c>
      <c r="AM172" s="118">
        <v>0</v>
      </c>
      <c r="AN172" s="118">
        <v>0</v>
      </c>
      <c r="AO172" s="118">
        <v>0</v>
      </c>
      <c r="AP172" s="118">
        <v>0</v>
      </c>
      <c r="AQ172" s="118">
        <v>0</v>
      </c>
      <c r="AR172" s="118">
        <v>0</v>
      </c>
      <c r="AS172" s="118">
        <v>0</v>
      </c>
      <c r="AT172" s="118">
        <v>0</v>
      </c>
      <c r="AU172" s="118">
        <f t="shared" si="14"/>
        <v>0</v>
      </c>
      <c r="AX172" s="114" t="s">
        <v>67</v>
      </c>
    </row>
    <row r="173" spans="1:50">
      <c r="A173" s="114">
        <v>12</v>
      </c>
      <c r="B173" s="116">
        <v>45944</v>
      </c>
      <c r="G173" s="115" t="s">
        <v>213</v>
      </c>
      <c r="H173" s="115">
        <v>4</v>
      </c>
      <c r="I173" s="117" t="str">
        <f t="shared" si="15"/>
        <v>AB_4</v>
      </c>
      <c r="J173" s="125" t="s">
        <v>774</v>
      </c>
      <c r="K173" s="127">
        <v>11</v>
      </c>
      <c r="L173" s="123" t="str">
        <f t="shared" si="16"/>
        <v>AB_4_11</v>
      </c>
      <c r="M173" s="125" t="s">
        <v>973</v>
      </c>
      <c r="N173" s="115" t="s">
        <v>88</v>
      </c>
      <c r="O173" s="115" t="s">
        <v>214</v>
      </c>
      <c r="P173" s="115">
        <v>100</v>
      </c>
      <c r="Q173" s="115">
        <v>500</v>
      </c>
      <c r="S173" s="115">
        <v>2</v>
      </c>
      <c r="T173" s="115">
        <v>3</v>
      </c>
      <c r="U173" s="115">
        <v>10.07</v>
      </c>
      <c r="V173" s="115">
        <v>10.199999999999999</v>
      </c>
      <c r="W173" s="118">
        <v>3</v>
      </c>
      <c r="X173" s="118">
        <v>10.36</v>
      </c>
      <c r="Y173" s="118">
        <v>2</v>
      </c>
      <c r="Z173" s="118">
        <v>2</v>
      </c>
      <c r="AA173" s="118">
        <v>2</v>
      </c>
      <c r="AB173" s="118">
        <v>2</v>
      </c>
      <c r="AC173" s="118">
        <v>2</v>
      </c>
      <c r="AD173" s="118">
        <v>2</v>
      </c>
      <c r="AE173" s="118">
        <v>2</v>
      </c>
      <c r="AF173" s="118">
        <v>2</v>
      </c>
      <c r="AG173" s="118">
        <v>2</v>
      </c>
      <c r="AH173" s="118">
        <v>2</v>
      </c>
      <c r="AI173" s="118">
        <v>2</v>
      </c>
      <c r="AJ173" s="118">
        <v>2</v>
      </c>
      <c r="AK173" s="118">
        <v>2</v>
      </c>
      <c r="AL173" s="118">
        <v>2</v>
      </c>
      <c r="AM173" s="118">
        <v>2</v>
      </c>
      <c r="AN173" s="118">
        <v>2</v>
      </c>
      <c r="AO173" s="118">
        <v>2</v>
      </c>
      <c r="AP173" s="118">
        <v>2</v>
      </c>
      <c r="AQ173" s="118">
        <v>0</v>
      </c>
      <c r="AR173" s="118">
        <v>0</v>
      </c>
      <c r="AS173" s="118">
        <v>0</v>
      </c>
      <c r="AT173" s="118">
        <v>0</v>
      </c>
      <c r="AU173" s="118">
        <f t="shared" si="14"/>
        <v>0</v>
      </c>
    </row>
    <row r="174" spans="1:50">
      <c r="A174" s="114">
        <v>12</v>
      </c>
      <c r="B174" s="116">
        <v>45944</v>
      </c>
      <c r="G174" s="115" t="s">
        <v>213</v>
      </c>
      <c r="H174" s="115">
        <v>4</v>
      </c>
      <c r="I174" s="117" t="str">
        <f t="shared" si="15"/>
        <v>AB_4</v>
      </c>
      <c r="J174" s="125" t="s">
        <v>774</v>
      </c>
      <c r="K174" s="127">
        <v>12</v>
      </c>
      <c r="L174" s="123" t="str">
        <f t="shared" si="16"/>
        <v>AB_4_12</v>
      </c>
      <c r="M174" s="125" t="s">
        <v>974</v>
      </c>
      <c r="N174" s="115" t="s">
        <v>88</v>
      </c>
      <c r="O174" s="115" t="s">
        <v>214</v>
      </c>
      <c r="P174" s="115">
        <v>100</v>
      </c>
      <c r="Q174" s="115">
        <v>500</v>
      </c>
      <c r="S174" s="115">
        <v>3</v>
      </c>
      <c r="T174" s="115">
        <v>4</v>
      </c>
      <c r="U174" s="115">
        <v>10.26</v>
      </c>
      <c r="V174" s="115">
        <v>10.37</v>
      </c>
      <c r="W174" s="118">
        <v>4</v>
      </c>
      <c r="X174" s="118">
        <v>10.54</v>
      </c>
      <c r="Y174" s="118">
        <v>1</v>
      </c>
      <c r="Z174" s="118">
        <v>1</v>
      </c>
      <c r="AA174" s="118">
        <v>1</v>
      </c>
      <c r="AB174" s="118">
        <v>1</v>
      </c>
      <c r="AC174" s="118">
        <v>1</v>
      </c>
      <c r="AD174" s="118">
        <v>1</v>
      </c>
      <c r="AE174" s="118">
        <v>1</v>
      </c>
      <c r="AF174" s="118">
        <v>1</v>
      </c>
      <c r="AG174" s="118">
        <v>1</v>
      </c>
      <c r="AH174" s="118">
        <v>1</v>
      </c>
      <c r="AI174" s="118">
        <v>1</v>
      </c>
      <c r="AJ174" s="118">
        <v>1</v>
      </c>
      <c r="AK174" s="118">
        <v>1</v>
      </c>
      <c r="AL174" s="118">
        <v>1</v>
      </c>
      <c r="AM174" s="118">
        <v>1</v>
      </c>
      <c r="AN174" s="118">
        <v>0</v>
      </c>
      <c r="AO174" s="118">
        <v>0</v>
      </c>
      <c r="AP174" s="118">
        <v>0</v>
      </c>
      <c r="AQ174" s="118">
        <v>0</v>
      </c>
      <c r="AR174" s="118">
        <v>0</v>
      </c>
      <c r="AS174" s="118">
        <v>0</v>
      </c>
      <c r="AT174" s="118">
        <v>0</v>
      </c>
      <c r="AU174" s="118">
        <f t="shared" si="14"/>
        <v>0</v>
      </c>
    </row>
    <row r="175" spans="1:50">
      <c r="A175" s="114">
        <v>12</v>
      </c>
      <c r="B175" s="116">
        <v>45944</v>
      </c>
      <c r="G175" s="115" t="s">
        <v>213</v>
      </c>
      <c r="H175" s="115">
        <v>4</v>
      </c>
      <c r="I175" s="117" t="str">
        <f t="shared" si="15"/>
        <v>AB_4</v>
      </c>
      <c r="J175" s="125" t="s">
        <v>774</v>
      </c>
      <c r="K175" s="127">
        <v>13</v>
      </c>
      <c r="L175" s="123" t="str">
        <f t="shared" si="16"/>
        <v>AB_4_13</v>
      </c>
      <c r="M175" s="125" t="s">
        <v>975</v>
      </c>
      <c r="N175" s="115" t="s">
        <v>88</v>
      </c>
      <c r="O175" s="115" t="s">
        <v>214</v>
      </c>
      <c r="P175" s="115">
        <v>100</v>
      </c>
      <c r="Q175" s="115">
        <v>500</v>
      </c>
      <c r="S175" s="115">
        <v>4</v>
      </c>
      <c r="T175" s="115">
        <v>2</v>
      </c>
      <c r="U175" s="115">
        <v>10.42</v>
      </c>
      <c r="V175" s="115">
        <v>10.54</v>
      </c>
      <c r="W175" s="118">
        <v>2</v>
      </c>
      <c r="X175" s="118">
        <v>11.09</v>
      </c>
      <c r="Y175" s="118">
        <v>2</v>
      </c>
      <c r="Z175" s="118">
        <v>2</v>
      </c>
      <c r="AA175" s="118">
        <v>2</v>
      </c>
      <c r="AB175" s="118">
        <v>0</v>
      </c>
      <c r="AC175" s="118">
        <v>0</v>
      </c>
      <c r="AD175" s="118">
        <v>0</v>
      </c>
      <c r="AE175" s="118">
        <v>0</v>
      </c>
      <c r="AF175" s="118">
        <v>0</v>
      </c>
      <c r="AG175" s="118">
        <v>0</v>
      </c>
      <c r="AH175" s="118">
        <v>0</v>
      </c>
      <c r="AI175" s="118">
        <v>0</v>
      </c>
      <c r="AJ175" s="118">
        <v>0</v>
      </c>
      <c r="AK175" s="118">
        <v>0</v>
      </c>
      <c r="AL175" s="118">
        <v>0</v>
      </c>
      <c r="AM175" s="118">
        <v>0</v>
      </c>
      <c r="AN175" s="118">
        <v>0</v>
      </c>
      <c r="AO175" s="118">
        <v>0</v>
      </c>
      <c r="AP175" s="118">
        <v>0</v>
      </c>
      <c r="AQ175" s="118">
        <v>0</v>
      </c>
      <c r="AR175" s="118">
        <v>0</v>
      </c>
      <c r="AS175" s="118">
        <v>0</v>
      </c>
      <c r="AT175" s="118">
        <v>0</v>
      </c>
      <c r="AU175" s="118">
        <f t="shared" si="14"/>
        <v>0</v>
      </c>
    </row>
    <row r="176" spans="1:50">
      <c r="A176" s="114">
        <v>12</v>
      </c>
      <c r="B176" s="116">
        <v>45944</v>
      </c>
      <c r="G176" s="115" t="s">
        <v>213</v>
      </c>
      <c r="H176" s="115">
        <v>4</v>
      </c>
      <c r="I176" s="117" t="str">
        <f t="shared" si="15"/>
        <v>AB_4</v>
      </c>
      <c r="J176" s="125" t="s">
        <v>774</v>
      </c>
      <c r="K176" s="127">
        <v>14</v>
      </c>
      <c r="L176" s="123" t="str">
        <f t="shared" si="16"/>
        <v>AB_4_14</v>
      </c>
      <c r="M176" s="125" t="s">
        <v>976</v>
      </c>
      <c r="N176" s="115" t="s">
        <v>88</v>
      </c>
      <c r="O176" s="115" t="s">
        <v>214</v>
      </c>
      <c r="P176" s="115">
        <v>100</v>
      </c>
      <c r="Q176" s="115">
        <v>500</v>
      </c>
      <c r="S176" s="115">
        <v>5</v>
      </c>
      <c r="T176" s="115">
        <v>3</v>
      </c>
      <c r="U176" s="115">
        <v>10.55</v>
      </c>
      <c r="V176" s="115">
        <v>11.09</v>
      </c>
      <c r="W176" s="118">
        <v>3</v>
      </c>
      <c r="X176" s="118">
        <v>11.25</v>
      </c>
      <c r="Y176" s="118">
        <v>1</v>
      </c>
      <c r="Z176" s="118">
        <v>2</v>
      </c>
      <c r="AA176" s="118">
        <v>2</v>
      </c>
      <c r="AB176" s="118">
        <v>2</v>
      </c>
      <c r="AC176" s="118">
        <v>2</v>
      </c>
      <c r="AD176" s="118">
        <v>2</v>
      </c>
      <c r="AE176" s="118">
        <v>2</v>
      </c>
      <c r="AF176" s="118">
        <v>2</v>
      </c>
      <c r="AG176" s="118">
        <v>2</v>
      </c>
      <c r="AH176" s="118">
        <v>2</v>
      </c>
      <c r="AI176" s="118">
        <v>2</v>
      </c>
      <c r="AJ176" s="118">
        <v>2</v>
      </c>
      <c r="AK176" s="118">
        <v>2</v>
      </c>
      <c r="AL176" s="118">
        <v>2</v>
      </c>
      <c r="AM176" s="118">
        <v>2</v>
      </c>
      <c r="AN176" s="118">
        <v>2</v>
      </c>
      <c r="AO176" s="118">
        <v>1</v>
      </c>
      <c r="AP176" s="118">
        <v>1</v>
      </c>
      <c r="AQ176" s="118">
        <v>1</v>
      </c>
      <c r="AR176" s="118">
        <v>1</v>
      </c>
      <c r="AS176" s="118">
        <v>0</v>
      </c>
      <c r="AT176" s="118">
        <v>0</v>
      </c>
      <c r="AU176" s="118">
        <f t="shared" si="14"/>
        <v>0</v>
      </c>
      <c r="AW176" s="115" t="s">
        <v>218</v>
      </c>
    </row>
    <row r="177" spans="1:50">
      <c r="A177" s="114">
        <v>12</v>
      </c>
      <c r="B177" s="116">
        <v>45944</v>
      </c>
      <c r="G177" s="115" t="s">
        <v>213</v>
      </c>
      <c r="H177" s="115">
        <v>4</v>
      </c>
      <c r="I177" s="117" t="str">
        <f t="shared" si="15"/>
        <v>AB_4</v>
      </c>
      <c r="J177" s="125" t="s">
        <v>774</v>
      </c>
      <c r="K177" s="127">
        <v>15</v>
      </c>
      <c r="L177" s="123" t="str">
        <f t="shared" si="16"/>
        <v>AB_4_15</v>
      </c>
      <c r="M177" s="125" t="s">
        <v>977</v>
      </c>
      <c r="N177" s="115" t="s">
        <v>88</v>
      </c>
      <c r="O177" s="115" t="s">
        <v>214</v>
      </c>
      <c r="P177" s="115">
        <v>100</v>
      </c>
      <c r="Q177" s="115">
        <v>500</v>
      </c>
      <c r="S177" s="115">
        <v>6</v>
      </c>
      <c r="T177" s="115">
        <v>3</v>
      </c>
      <c r="U177" s="115">
        <v>11.14</v>
      </c>
      <c r="V177" s="115">
        <v>11.27</v>
      </c>
      <c r="W177" s="118">
        <v>3</v>
      </c>
      <c r="X177" s="118">
        <v>11.43</v>
      </c>
      <c r="Y177" s="118">
        <v>1</v>
      </c>
      <c r="Z177" s="118">
        <v>2</v>
      </c>
      <c r="AA177" s="118">
        <v>2</v>
      </c>
      <c r="AB177" s="118">
        <v>2</v>
      </c>
      <c r="AC177" s="118">
        <v>2</v>
      </c>
      <c r="AD177" s="118">
        <v>2</v>
      </c>
      <c r="AE177" s="118">
        <v>2</v>
      </c>
      <c r="AF177" s="118">
        <v>2</v>
      </c>
      <c r="AG177" s="118">
        <v>2</v>
      </c>
      <c r="AH177" s="118">
        <v>2</v>
      </c>
      <c r="AI177" s="118">
        <v>2</v>
      </c>
      <c r="AJ177" s="118">
        <v>2</v>
      </c>
      <c r="AK177" s="118">
        <v>2</v>
      </c>
      <c r="AL177" s="118">
        <v>2</v>
      </c>
      <c r="AM177" s="118">
        <v>2</v>
      </c>
      <c r="AN177" s="118">
        <v>2</v>
      </c>
      <c r="AO177" s="118">
        <v>1</v>
      </c>
      <c r="AP177" s="118">
        <v>1</v>
      </c>
      <c r="AQ177" s="118">
        <v>1</v>
      </c>
      <c r="AR177" s="118">
        <v>1</v>
      </c>
      <c r="AS177" s="118">
        <v>1</v>
      </c>
      <c r="AT177" s="118">
        <v>1</v>
      </c>
      <c r="AU177" s="118">
        <f t="shared" si="14"/>
        <v>1</v>
      </c>
      <c r="AW177" s="115" t="s">
        <v>219</v>
      </c>
    </row>
    <row r="178" spans="1:50">
      <c r="A178" s="114">
        <v>12</v>
      </c>
      <c r="B178" s="116">
        <v>45944</v>
      </c>
      <c r="G178" s="115" t="s">
        <v>213</v>
      </c>
      <c r="H178" s="115">
        <v>4</v>
      </c>
      <c r="I178" s="117" t="str">
        <f t="shared" si="15"/>
        <v>AB_4</v>
      </c>
      <c r="J178" s="125" t="s">
        <v>774</v>
      </c>
      <c r="K178" s="127">
        <v>16</v>
      </c>
      <c r="L178" s="123" t="str">
        <f t="shared" si="16"/>
        <v>AB_4_16</v>
      </c>
      <c r="M178" s="125" t="s">
        <v>978</v>
      </c>
      <c r="N178" s="115" t="s">
        <v>88</v>
      </c>
      <c r="O178" s="115" t="s">
        <v>214</v>
      </c>
      <c r="P178" s="115">
        <v>100</v>
      </c>
      <c r="Q178" s="115">
        <v>500</v>
      </c>
      <c r="S178" s="115">
        <v>7</v>
      </c>
      <c r="T178" s="115">
        <v>2</v>
      </c>
      <c r="U178" s="115">
        <v>11.3</v>
      </c>
      <c r="V178" s="115">
        <v>11.39</v>
      </c>
      <c r="W178" s="118">
        <v>2</v>
      </c>
      <c r="X178" s="118">
        <v>11.55</v>
      </c>
      <c r="Y178" s="118">
        <v>1</v>
      </c>
      <c r="Z178" s="118">
        <v>1</v>
      </c>
      <c r="AA178" s="118">
        <v>1</v>
      </c>
      <c r="AB178" s="118">
        <v>1</v>
      </c>
      <c r="AC178" s="118">
        <v>1</v>
      </c>
      <c r="AD178" s="118">
        <v>1</v>
      </c>
      <c r="AE178" s="118">
        <v>1</v>
      </c>
      <c r="AF178" s="118">
        <v>1</v>
      </c>
      <c r="AG178" s="118">
        <v>1</v>
      </c>
      <c r="AH178" s="118">
        <v>1</v>
      </c>
      <c r="AI178" s="118">
        <v>1</v>
      </c>
      <c r="AJ178" s="118">
        <v>1</v>
      </c>
      <c r="AK178" s="118">
        <v>1</v>
      </c>
      <c r="AL178" s="118">
        <v>1</v>
      </c>
      <c r="AM178" s="118">
        <v>1</v>
      </c>
      <c r="AN178" s="118">
        <v>1</v>
      </c>
      <c r="AO178" s="118">
        <v>1</v>
      </c>
      <c r="AP178" s="118">
        <v>1</v>
      </c>
      <c r="AQ178" s="118">
        <v>1</v>
      </c>
      <c r="AR178" s="118">
        <v>1</v>
      </c>
      <c r="AS178" s="118">
        <v>1</v>
      </c>
      <c r="AT178" s="118">
        <v>1</v>
      </c>
      <c r="AU178" s="118">
        <f t="shared" si="14"/>
        <v>1</v>
      </c>
      <c r="AW178" s="115" t="s">
        <v>220</v>
      </c>
    </row>
    <row r="179" spans="1:50">
      <c r="A179" s="114">
        <v>12</v>
      </c>
      <c r="B179" s="116">
        <v>45944</v>
      </c>
      <c r="G179" s="115" t="s">
        <v>213</v>
      </c>
      <c r="H179" s="115">
        <v>4</v>
      </c>
      <c r="I179" s="117" t="str">
        <f t="shared" si="15"/>
        <v>AB_4</v>
      </c>
      <c r="J179" s="125" t="s">
        <v>774</v>
      </c>
      <c r="K179" s="127">
        <v>17</v>
      </c>
      <c r="L179" s="123" t="str">
        <f t="shared" si="16"/>
        <v>AB_4_17</v>
      </c>
      <c r="M179" s="125" t="s">
        <v>979</v>
      </c>
      <c r="N179" s="115" t="s">
        <v>88</v>
      </c>
      <c r="O179" s="115" t="s">
        <v>214</v>
      </c>
      <c r="P179" s="115">
        <v>100</v>
      </c>
      <c r="Q179" s="115">
        <v>500</v>
      </c>
      <c r="S179" s="115">
        <v>8</v>
      </c>
      <c r="T179" s="115">
        <v>3</v>
      </c>
      <c r="U179" s="115">
        <v>11.41</v>
      </c>
      <c r="V179" s="115">
        <v>11.53</v>
      </c>
      <c r="W179" s="118">
        <v>3</v>
      </c>
      <c r="X179" s="118">
        <v>12.08</v>
      </c>
      <c r="Y179" s="118">
        <v>1</v>
      </c>
      <c r="Z179" s="118">
        <v>1</v>
      </c>
      <c r="AA179" s="118">
        <v>1</v>
      </c>
      <c r="AB179" s="118">
        <v>1</v>
      </c>
      <c r="AC179" s="118">
        <v>1</v>
      </c>
      <c r="AD179" s="118">
        <v>1</v>
      </c>
      <c r="AE179" s="118">
        <v>1</v>
      </c>
      <c r="AF179" s="118">
        <v>1</v>
      </c>
      <c r="AG179" s="118">
        <v>1</v>
      </c>
      <c r="AH179" s="118">
        <v>1</v>
      </c>
      <c r="AI179" s="118">
        <v>1</v>
      </c>
      <c r="AJ179" s="118">
        <v>1</v>
      </c>
      <c r="AK179" s="118">
        <v>1</v>
      </c>
      <c r="AL179" s="118">
        <v>1</v>
      </c>
      <c r="AM179" s="118">
        <v>1</v>
      </c>
      <c r="AN179" s="118">
        <v>0</v>
      </c>
      <c r="AO179" s="118">
        <v>0</v>
      </c>
      <c r="AP179" s="118">
        <v>0</v>
      </c>
      <c r="AQ179" s="118">
        <v>0</v>
      </c>
      <c r="AR179" s="118">
        <v>0</v>
      </c>
      <c r="AS179" s="118">
        <v>0</v>
      </c>
      <c r="AT179" s="118">
        <v>0</v>
      </c>
      <c r="AU179" s="118">
        <f t="shared" si="14"/>
        <v>0</v>
      </c>
    </row>
    <row r="180" spans="1:50">
      <c r="A180" s="114">
        <v>12</v>
      </c>
      <c r="B180" s="116">
        <v>45944</v>
      </c>
      <c r="G180" s="115" t="s">
        <v>213</v>
      </c>
      <c r="H180" s="115">
        <v>4</v>
      </c>
      <c r="I180" s="117" t="str">
        <f t="shared" si="15"/>
        <v>AB_4</v>
      </c>
      <c r="J180" s="125" t="s">
        <v>774</v>
      </c>
      <c r="K180" s="127">
        <v>18</v>
      </c>
      <c r="L180" s="123" t="str">
        <f t="shared" si="16"/>
        <v>AB_4_18</v>
      </c>
      <c r="M180" s="125" t="s">
        <v>980</v>
      </c>
      <c r="N180" s="115" t="s">
        <v>88</v>
      </c>
      <c r="O180" s="115" t="s">
        <v>214</v>
      </c>
      <c r="P180" s="115">
        <v>100</v>
      </c>
      <c r="Q180" s="115">
        <v>500</v>
      </c>
      <c r="S180" s="115">
        <v>9</v>
      </c>
      <c r="T180" s="115">
        <v>4</v>
      </c>
      <c r="U180" s="115">
        <v>11.56</v>
      </c>
      <c r="V180" s="115">
        <v>12.09</v>
      </c>
      <c r="W180" s="118">
        <v>4</v>
      </c>
      <c r="X180" s="118">
        <v>12.25</v>
      </c>
      <c r="Y180" s="118">
        <v>1</v>
      </c>
      <c r="Z180" s="118">
        <v>1</v>
      </c>
      <c r="AA180" s="118">
        <v>1</v>
      </c>
      <c r="AB180" s="118">
        <v>1</v>
      </c>
      <c r="AC180" s="118">
        <v>1</v>
      </c>
      <c r="AD180" s="118">
        <v>1</v>
      </c>
      <c r="AE180" s="118">
        <v>1</v>
      </c>
      <c r="AF180" s="118">
        <v>1</v>
      </c>
      <c r="AG180" s="118">
        <v>1</v>
      </c>
      <c r="AH180" s="118">
        <v>1</v>
      </c>
      <c r="AI180" s="118">
        <v>1</v>
      </c>
      <c r="AJ180" s="118">
        <v>1</v>
      </c>
      <c r="AK180" s="118">
        <v>1</v>
      </c>
      <c r="AL180" s="118">
        <v>0</v>
      </c>
      <c r="AM180" s="118">
        <v>0</v>
      </c>
      <c r="AN180" s="118">
        <v>0</v>
      </c>
      <c r="AO180" s="118">
        <v>0</v>
      </c>
      <c r="AP180" s="118">
        <v>0</v>
      </c>
      <c r="AQ180" s="118">
        <v>0</v>
      </c>
      <c r="AR180" s="118">
        <v>0</v>
      </c>
      <c r="AS180" s="118">
        <v>0</v>
      </c>
      <c r="AT180" s="118">
        <v>0</v>
      </c>
      <c r="AU180" s="118">
        <f t="shared" si="14"/>
        <v>0</v>
      </c>
    </row>
    <row r="181" spans="1:50">
      <c r="A181" s="114">
        <v>13</v>
      </c>
      <c r="B181" s="116">
        <v>45946</v>
      </c>
      <c r="C181" s="115" t="s">
        <v>166</v>
      </c>
      <c r="D181" s="115" t="s">
        <v>221</v>
      </c>
      <c r="E181" s="115" t="s">
        <v>222</v>
      </c>
      <c r="F181" s="115" t="s">
        <v>48</v>
      </c>
      <c r="G181" s="115" t="s">
        <v>223</v>
      </c>
      <c r="H181" s="115">
        <v>5</v>
      </c>
      <c r="I181" s="117" t="str">
        <f t="shared" ref="I181:I244" si="17">_xlfn.CONCAT(N181 &amp; "_" &amp; H181)</f>
        <v>NHGRI_5</v>
      </c>
      <c r="J181" s="123" t="s">
        <v>784</v>
      </c>
      <c r="K181" s="127">
        <v>1</v>
      </c>
      <c r="L181" s="123" t="str">
        <f t="shared" si="16"/>
        <v>NHGRI_5_1</v>
      </c>
      <c r="M181" s="123" t="s">
        <v>981</v>
      </c>
      <c r="N181" s="115" t="s">
        <v>86</v>
      </c>
      <c r="O181" s="115" t="s">
        <v>224</v>
      </c>
      <c r="P181" s="115">
        <v>100</v>
      </c>
      <c r="Q181" s="115">
        <v>500</v>
      </c>
      <c r="R181" s="115">
        <v>70</v>
      </c>
      <c r="S181" s="115">
        <v>1</v>
      </c>
      <c r="T181" s="115">
        <v>2</v>
      </c>
      <c r="U181" s="115">
        <v>10.36</v>
      </c>
      <c r="V181" s="115">
        <v>10.45</v>
      </c>
      <c r="W181" s="118">
        <v>2</v>
      </c>
      <c r="X181" s="118">
        <v>11.02</v>
      </c>
      <c r="Y181" s="118">
        <v>2</v>
      </c>
      <c r="Z181" s="118">
        <v>2</v>
      </c>
      <c r="AA181" s="118">
        <v>0</v>
      </c>
      <c r="AB181" s="118">
        <v>0</v>
      </c>
      <c r="AC181" s="118">
        <v>0</v>
      </c>
      <c r="AD181" s="118">
        <v>0</v>
      </c>
      <c r="AE181" s="118">
        <v>0</v>
      </c>
      <c r="AF181" s="118">
        <v>0</v>
      </c>
      <c r="AG181" s="118">
        <v>0</v>
      </c>
      <c r="AH181" s="118">
        <v>0</v>
      </c>
      <c r="AI181" s="118">
        <v>0</v>
      </c>
      <c r="AJ181" s="118">
        <v>0</v>
      </c>
      <c r="AK181" s="118">
        <v>0</v>
      </c>
      <c r="AL181" s="118">
        <v>0</v>
      </c>
      <c r="AM181" s="118">
        <v>0</v>
      </c>
      <c r="AN181" s="118">
        <v>0</v>
      </c>
      <c r="AO181" s="118">
        <v>0</v>
      </c>
      <c r="AP181" s="118">
        <v>0</v>
      </c>
      <c r="AQ181" s="118">
        <v>0</v>
      </c>
      <c r="AR181" s="118">
        <v>0</v>
      </c>
      <c r="AS181" s="118">
        <v>0</v>
      </c>
      <c r="AT181" s="118">
        <v>0</v>
      </c>
      <c r="AU181" s="118">
        <f t="shared" si="14"/>
        <v>0</v>
      </c>
      <c r="AX181" s="114" t="s">
        <v>53</v>
      </c>
    </row>
    <row r="182" spans="1:50">
      <c r="A182" s="114">
        <v>13</v>
      </c>
      <c r="B182" s="116">
        <v>45946</v>
      </c>
      <c r="D182" s="115" t="s">
        <v>225</v>
      </c>
      <c r="E182" s="115" t="s">
        <v>110</v>
      </c>
      <c r="G182" s="115" t="s">
        <v>223</v>
      </c>
      <c r="H182" s="115">
        <v>5</v>
      </c>
      <c r="I182" s="117" t="str">
        <f t="shared" si="17"/>
        <v>NHGRI_5</v>
      </c>
      <c r="J182" s="123" t="s">
        <v>784</v>
      </c>
      <c r="K182" s="127">
        <v>2</v>
      </c>
      <c r="L182" s="123" t="str">
        <f t="shared" si="16"/>
        <v>NHGRI_5_2</v>
      </c>
      <c r="M182" s="123" t="s">
        <v>982</v>
      </c>
      <c r="N182" s="115" t="s">
        <v>86</v>
      </c>
      <c r="O182" s="115" t="s">
        <v>224</v>
      </c>
      <c r="P182" s="115">
        <v>100</v>
      </c>
      <c r="Q182" s="115">
        <v>500</v>
      </c>
      <c r="S182" s="115">
        <v>2</v>
      </c>
      <c r="T182" s="115">
        <v>5</v>
      </c>
      <c r="U182" s="115">
        <v>10.46</v>
      </c>
      <c r="V182" s="115">
        <v>11.07</v>
      </c>
      <c r="W182" s="118">
        <v>5</v>
      </c>
      <c r="X182" s="118">
        <v>11.22</v>
      </c>
      <c r="Y182" s="118">
        <v>4</v>
      </c>
      <c r="Z182" s="118">
        <v>3</v>
      </c>
      <c r="AA182" s="118">
        <v>3</v>
      </c>
      <c r="AB182" s="118">
        <v>1</v>
      </c>
      <c r="AC182" s="118">
        <v>1</v>
      </c>
      <c r="AD182" s="118">
        <v>1</v>
      </c>
      <c r="AE182" s="118">
        <v>1</v>
      </c>
      <c r="AF182" s="118">
        <v>1</v>
      </c>
      <c r="AG182" s="118">
        <v>1</v>
      </c>
      <c r="AH182" s="118">
        <v>1</v>
      </c>
      <c r="AI182" s="118">
        <v>1</v>
      </c>
      <c r="AJ182" s="118">
        <v>1</v>
      </c>
      <c r="AK182" s="118">
        <v>0</v>
      </c>
      <c r="AL182" s="118">
        <v>0</v>
      </c>
      <c r="AM182" s="118">
        <v>0</v>
      </c>
      <c r="AN182" s="118">
        <v>0</v>
      </c>
      <c r="AO182" s="118">
        <v>0</v>
      </c>
      <c r="AP182" s="118">
        <v>0</v>
      </c>
      <c r="AQ182" s="118">
        <v>0</v>
      </c>
      <c r="AR182" s="118">
        <v>0</v>
      </c>
      <c r="AS182" s="118">
        <v>0</v>
      </c>
      <c r="AT182" s="118">
        <v>0</v>
      </c>
      <c r="AU182" s="118">
        <f t="shared" si="14"/>
        <v>0</v>
      </c>
    </row>
    <row r="183" spans="1:50">
      <c r="A183" s="114">
        <v>13</v>
      </c>
      <c r="B183" s="116">
        <v>45946</v>
      </c>
      <c r="E183" s="115" t="s">
        <v>226</v>
      </c>
      <c r="G183" s="115" t="s">
        <v>223</v>
      </c>
      <c r="H183" s="115">
        <v>5</v>
      </c>
      <c r="I183" s="117" t="str">
        <f t="shared" si="17"/>
        <v>NHGRI_5</v>
      </c>
      <c r="J183" s="117" t="s">
        <v>784</v>
      </c>
      <c r="K183" s="127">
        <v>3</v>
      </c>
      <c r="L183" s="123" t="str">
        <f t="shared" si="16"/>
        <v>NHGRI_5_3</v>
      </c>
      <c r="M183" s="117" t="s">
        <v>983</v>
      </c>
      <c r="N183" s="115" t="s">
        <v>86</v>
      </c>
      <c r="O183" s="115" t="s">
        <v>224</v>
      </c>
      <c r="P183" s="115">
        <v>100</v>
      </c>
      <c r="Q183" s="115">
        <v>500</v>
      </c>
      <c r="S183" s="115">
        <v>3</v>
      </c>
      <c r="T183" s="115">
        <v>3</v>
      </c>
      <c r="U183" s="115">
        <v>11.08</v>
      </c>
      <c r="V183" s="115">
        <v>11.22</v>
      </c>
      <c r="W183" s="118">
        <v>3</v>
      </c>
      <c r="X183" s="118">
        <v>11.38</v>
      </c>
      <c r="Y183" s="118">
        <v>2</v>
      </c>
      <c r="Z183" s="118">
        <v>2</v>
      </c>
      <c r="AA183" s="118">
        <v>2</v>
      </c>
      <c r="AB183" s="118">
        <v>2</v>
      </c>
      <c r="AC183" s="118">
        <v>2</v>
      </c>
      <c r="AD183" s="118">
        <v>2</v>
      </c>
      <c r="AE183" s="118">
        <v>2</v>
      </c>
      <c r="AF183" s="118">
        <v>2</v>
      </c>
      <c r="AG183" s="118">
        <v>2</v>
      </c>
      <c r="AH183" s="118">
        <v>2</v>
      </c>
      <c r="AI183" s="118">
        <v>2</v>
      </c>
      <c r="AJ183" s="118">
        <v>2</v>
      </c>
      <c r="AK183" s="118">
        <v>2</v>
      </c>
      <c r="AL183" s="118">
        <v>2</v>
      </c>
      <c r="AM183" s="118">
        <v>1</v>
      </c>
      <c r="AN183" s="118">
        <v>1</v>
      </c>
      <c r="AO183" s="118">
        <v>1</v>
      </c>
      <c r="AP183" s="118">
        <v>1</v>
      </c>
      <c r="AQ183" s="118">
        <v>1</v>
      </c>
      <c r="AR183" s="118">
        <v>1</v>
      </c>
      <c r="AS183" s="118">
        <v>1</v>
      </c>
      <c r="AT183" s="118">
        <v>1</v>
      </c>
      <c r="AU183" s="118">
        <f t="shared" si="14"/>
        <v>1</v>
      </c>
      <c r="AV183" s="115" t="s">
        <v>227</v>
      </c>
      <c r="AW183" s="115" t="s">
        <v>228</v>
      </c>
    </row>
    <row r="184" spans="1:50">
      <c r="A184" s="114">
        <v>13</v>
      </c>
      <c r="B184" s="116">
        <v>45946</v>
      </c>
      <c r="E184" s="115" t="s">
        <v>229</v>
      </c>
      <c r="G184" s="115" t="s">
        <v>223</v>
      </c>
      <c r="H184" s="115">
        <v>5</v>
      </c>
      <c r="I184" s="117" t="str">
        <f t="shared" si="17"/>
        <v>NHGRI_5</v>
      </c>
      <c r="J184" s="123" t="s">
        <v>784</v>
      </c>
      <c r="K184" s="127">
        <v>4</v>
      </c>
      <c r="L184" s="123" t="str">
        <f t="shared" si="16"/>
        <v>NHGRI_5_4</v>
      </c>
      <c r="M184" s="123" t="s">
        <v>984</v>
      </c>
      <c r="N184" s="115" t="s">
        <v>86</v>
      </c>
      <c r="O184" s="115" t="s">
        <v>224</v>
      </c>
      <c r="P184" s="115">
        <v>100</v>
      </c>
      <c r="Q184" s="115">
        <v>500</v>
      </c>
      <c r="S184" s="115">
        <v>4</v>
      </c>
      <c r="T184" s="115">
        <v>5</v>
      </c>
      <c r="U184" s="115">
        <v>11.25</v>
      </c>
      <c r="V184" s="115">
        <v>11.45</v>
      </c>
      <c r="W184" s="118">
        <v>5</v>
      </c>
      <c r="X184" s="118">
        <v>12.01</v>
      </c>
      <c r="Y184" s="118">
        <v>3</v>
      </c>
      <c r="Z184" s="118">
        <v>3</v>
      </c>
      <c r="AA184" s="118">
        <v>0</v>
      </c>
      <c r="AB184" s="118">
        <v>0</v>
      </c>
      <c r="AC184" s="118">
        <v>0</v>
      </c>
      <c r="AD184" s="118">
        <v>0</v>
      </c>
      <c r="AE184" s="118">
        <v>0</v>
      </c>
      <c r="AF184" s="118">
        <v>0</v>
      </c>
      <c r="AG184" s="118">
        <v>0</v>
      </c>
      <c r="AH184" s="118">
        <v>0</v>
      </c>
      <c r="AI184" s="118">
        <v>0</v>
      </c>
      <c r="AJ184" s="118">
        <v>0</v>
      </c>
      <c r="AK184" s="118">
        <v>0</v>
      </c>
      <c r="AL184" s="118">
        <v>0</v>
      </c>
      <c r="AM184" s="118">
        <v>0</v>
      </c>
      <c r="AN184" s="118">
        <v>0</v>
      </c>
      <c r="AO184" s="118">
        <v>0</v>
      </c>
      <c r="AP184" s="118">
        <v>0</v>
      </c>
      <c r="AQ184" s="118">
        <v>0</v>
      </c>
      <c r="AR184" s="118">
        <v>0</v>
      </c>
      <c r="AS184" s="118">
        <v>0</v>
      </c>
      <c r="AT184" s="118">
        <v>0</v>
      </c>
      <c r="AU184" s="118">
        <f t="shared" si="14"/>
        <v>0</v>
      </c>
    </row>
    <row r="185" spans="1:50">
      <c r="A185" s="114">
        <v>13</v>
      </c>
      <c r="B185" s="116">
        <v>45946</v>
      </c>
      <c r="G185" s="115" t="s">
        <v>223</v>
      </c>
      <c r="H185" s="115">
        <v>5</v>
      </c>
      <c r="I185" s="117" t="str">
        <f t="shared" si="17"/>
        <v>NHGRI_5</v>
      </c>
      <c r="J185" s="123" t="s">
        <v>784</v>
      </c>
      <c r="K185" s="127">
        <v>5</v>
      </c>
      <c r="L185" s="123" t="str">
        <f t="shared" si="16"/>
        <v>NHGRI_5_5</v>
      </c>
      <c r="M185" s="123" t="s">
        <v>985</v>
      </c>
      <c r="N185" s="115" t="s">
        <v>86</v>
      </c>
      <c r="O185" s="115" t="s">
        <v>224</v>
      </c>
      <c r="P185" s="115">
        <v>100</v>
      </c>
      <c r="Q185" s="115">
        <v>500</v>
      </c>
      <c r="S185" s="115">
        <v>5</v>
      </c>
      <c r="T185" s="115">
        <v>5</v>
      </c>
      <c r="U185" s="115">
        <v>11.47</v>
      </c>
      <c r="V185" s="115">
        <v>12.08</v>
      </c>
      <c r="W185" s="118">
        <v>5</v>
      </c>
      <c r="X185" s="118">
        <v>12.24</v>
      </c>
      <c r="Y185" s="118">
        <v>2</v>
      </c>
      <c r="Z185" s="118">
        <v>2</v>
      </c>
      <c r="AA185" s="118">
        <v>1</v>
      </c>
      <c r="AB185" s="118">
        <v>1</v>
      </c>
      <c r="AC185" s="118">
        <v>1</v>
      </c>
      <c r="AD185" s="118">
        <v>1</v>
      </c>
      <c r="AE185" s="118">
        <v>1</v>
      </c>
      <c r="AF185" s="118">
        <v>1</v>
      </c>
      <c r="AG185" s="118">
        <v>1</v>
      </c>
      <c r="AH185" s="118">
        <v>1</v>
      </c>
      <c r="AI185" s="118">
        <v>1</v>
      </c>
      <c r="AJ185" s="118">
        <v>1</v>
      </c>
      <c r="AK185" s="118">
        <v>1</v>
      </c>
      <c r="AL185" s="118">
        <v>0</v>
      </c>
      <c r="AM185" s="118">
        <v>0</v>
      </c>
      <c r="AN185" s="118">
        <v>0</v>
      </c>
      <c r="AO185" s="118">
        <v>0</v>
      </c>
      <c r="AP185" s="118">
        <v>0</v>
      </c>
      <c r="AQ185" s="118">
        <v>0</v>
      </c>
      <c r="AR185" s="118">
        <v>0</v>
      </c>
      <c r="AS185" s="118">
        <v>0</v>
      </c>
      <c r="AT185" s="118">
        <v>0</v>
      </c>
      <c r="AU185" s="118">
        <f t="shared" si="14"/>
        <v>0</v>
      </c>
    </row>
    <row r="186" spans="1:50">
      <c r="A186" s="114">
        <v>13</v>
      </c>
      <c r="B186" s="116">
        <v>45946</v>
      </c>
      <c r="G186" s="115" t="s">
        <v>223</v>
      </c>
      <c r="H186" s="115">
        <v>5</v>
      </c>
      <c r="I186" s="117" t="str">
        <f t="shared" si="17"/>
        <v>NHGRI_5</v>
      </c>
      <c r="J186" s="123" t="s">
        <v>784</v>
      </c>
      <c r="K186" s="127">
        <v>6</v>
      </c>
      <c r="L186" s="123" t="str">
        <f t="shared" si="16"/>
        <v>NHGRI_5_6</v>
      </c>
      <c r="M186" s="123" t="s">
        <v>986</v>
      </c>
      <c r="N186" s="115" t="s">
        <v>86</v>
      </c>
      <c r="O186" s="115" t="s">
        <v>224</v>
      </c>
      <c r="P186" s="115">
        <v>100</v>
      </c>
      <c r="Q186" s="115">
        <v>500</v>
      </c>
      <c r="R186" s="115">
        <v>70</v>
      </c>
      <c r="S186" s="115">
        <v>1</v>
      </c>
      <c r="T186" s="115">
        <v>1</v>
      </c>
      <c r="U186" s="115">
        <v>10.34</v>
      </c>
      <c r="V186" s="115">
        <v>10.45</v>
      </c>
      <c r="W186" s="118">
        <v>1</v>
      </c>
      <c r="X186" s="118">
        <v>11</v>
      </c>
      <c r="Y186" s="118">
        <v>0</v>
      </c>
      <c r="Z186" s="118">
        <v>0</v>
      </c>
      <c r="AA186" s="118">
        <v>0</v>
      </c>
      <c r="AB186" s="118">
        <v>0</v>
      </c>
      <c r="AC186" s="118">
        <v>0</v>
      </c>
      <c r="AD186" s="118">
        <v>0</v>
      </c>
      <c r="AE186" s="118">
        <v>0</v>
      </c>
      <c r="AF186" s="118">
        <v>0</v>
      </c>
      <c r="AG186" s="118">
        <v>0</v>
      </c>
      <c r="AH186" s="118">
        <v>0</v>
      </c>
      <c r="AI186" s="118">
        <v>0</v>
      </c>
      <c r="AJ186" s="118">
        <v>0</v>
      </c>
      <c r="AK186" s="118">
        <v>0</v>
      </c>
      <c r="AL186" s="118">
        <v>0</v>
      </c>
      <c r="AM186" s="118">
        <v>0</v>
      </c>
      <c r="AN186" s="118">
        <v>0</v>
      </c>
      <c r="AO186" s="118">
        <v>0</v>
      </c>
      <c r="AP186" s="118">
        <v>0</v>
      </c>
      <c r="AQ186" s="118">
        <v>0</v>
      </c>
      <c r="AR186" s="118">
        <v>0</v>
      </c>
      <c r="AS186" s="118">
        <v>0</v>
      </c>
      <c r="AT186" s="118">
        <v>0</v>
      </c>
      <c r="AU186" s="118">
        <f t="shared" si="14"/>
        <v>0</v>
      </c>
      <c r="AX186" s="114" t="s">
        <v>67</v>
      </c>
    </row>
    <row r="187" spans="1:50">
      <c r="A187" s="114">
        <v>13</v>
      </c>
      <c r="B187" s="116">
        <v>45946</v>
      </c>
      <c r="G187" s="115" t="s">
        <v>223</v>
      </c>
      <c r="H187" s="115">
        <v>5</v>
      </c>
      <c r="I187" s="117" t="str">
        <f t="shared" si="17"/>
        <v>NHGRI_5</v>
      </c>
      <c r="J187" s="123" t="s">
        <v>784</v>
      </c>
      <c r="K187" s="127">
        <v>7</v>
      </c>
      <c r="L187" s="123" t="str">
        <f t="shared" si="16"/>
        <v>NHGRI_5_7</v>
      </c>
      <c r="M187" s="123" t="s">
        <v>987</v>
      </c>
      <c r="N187" s="115" t="s">
        <v>86</v>
      </c>
      <c r="O187" s="115" t="s">
        <v>224</v>
      </c>
      <c r="P187" s="115">
        <v>100</v>
      </c>
      <c r="Q187" s="115">
        <v>500</v>
      </c>
      <c r="S187" s="115">
        <v>2</v>
      </c>
      <c r="T187" s="115">
        <v>3</v>
      </c>
      <c r="U187" s="115">
        <v>10.47</v>
      </c>
      <c r="V187" s="115">
        <v>11</v>
      </c>
      <c r="W187" s="118">
        <v>3</v>
      </c>
      <c r="X187" s="118">
        <v>11.15</v>
      </c>
      <c r="Y187" s="118">
        <v>0</v>
      </c>
      <c r="Z187" s="118">
        <v>0</v>
      </c>
      <c r="AA187" s="118">
        <v>0</v>
      </c>
      <c r="AB187" s="118">
        <v>0</v>
      </c>
      <c r="AC187" s="118">
        <v>0</v>
      </c>
      <c r="AD187" s="118">
        <v>0</v>
      </c>
      <c r="AE187" s="118">
        <v>0</v>
      </c>
      <c r="AF187" s="118">
        <v>0</v>
      </c>
      <c r="AG187" s="118">
        <v>0</v>
      </c>
      <c r="AH187" s="118">
        <v>0</v>
      </c>
      <c r="AI187" s="118">
        <v>0</v>
      </c>
      <c r="AJ187" s="118">
        <v>0</v>
      </c>
      <c r="AK187" s="118">
        <v>0</v>
      </c>
      <c r="AL187" s="118">
        <v>0</v>
      </c>
      <c r="AM187" s="118">
        <v>0</v>
      </c>
      <c r="AN187" s="118">
        <v>0</v>
      </c>
      <c r="AO187" s="118">
        <v>0</v>
      </c>
      <c r="AP187" s="118">
        <v>0</v>
      </c>
      <c r="AQ187" s="118">
        <v>0</v>
      </c>
      <c r="AR187" s="118">
        <v>0</v>
      </c>
      <c r="AS187" s="118">
        <v>0</v>
      </c>
      <c r="AT187" s="118">
        <v>0</v>
      </c>
      <c r="AU187" s="118">
        <f t="shared" si="14"/>
        <v>0</v>
      </c>
    </row>
    <row r="188" spans="1:50">
      <c r="A188" s="114">
        <v>13</v>
      </c>
      <c r="B188" s="116">
        <v>45946</v>
      </c>
      <c r="G188" s="115" t="s">
        <v>223</v>
      </c>
      <c r="H188" s="115">
        <v>5</v>
      </c>
      <c r="I188" s="117" t="str">
        <f t="shared" si="17"/>
        <v>NHGRI_5</v>
      </c>
      <c r="J188" s="123" t="s">
        <v>784</v>
      </c>
      <c r="K188" s="127">
        <v>8</v>
      </c>
      <c r="L188" s="123" t="str">
        <f t="shared" si="16"/>
        <v>NHGRI_5_8</v>
      </c>
      <c r="M188" s="123" t="s">
        <v>988</v>
      </c>
      <c r="N188" s="115" t="s">
        <v>86</v>
      </c>
      <c r="O188" s="115" t="s">
        <v>224</v>
      </c>
      <c r="P188" s="115">
        <v>100</v>
      </c>
      <c r="Q188" s="115">
        <v>500</v>
      </c>
      <c r="S188" s="115">
        <v>3</v>
      </c>
      <c r="T188" s="115">
        <v>3</v>
      </c>
      <c r="U188" s="115">
        <v>11.03</v>
      </c>
      <c r="V188" s="115">
        <v>11.12</v>
      </c>
      <c r="W188" s="118">
        <v>3</v>
      </c>
      <c r="X188" s="118">
        <v>11.27</v>
      </c>
      <c r="Y188" s="118">
        <v>0</v>
      </c>
      <c r="Z188" s="118">
        <v>0</v>
      </c>
      <c r="AA188" s="118">
        <v>0</v>
      </c>
      <c r="AB188" s="118">
        <v>0</v>
      </c>
      <c r="AC188" s="118">
        <v>0</v>
      </c>
      <c r="AD188" s="118">
        <v>0</v>
      </c>
      <c r="AE188" s="118">
        <v>0</v>
      </c>
      <c r="AF188" s="118">
        <v>0</v>
      </c>
      <c r="AG188" s="118">
        <v>0</v>
      </c>
      <c r="AH188" s="118">
        <v>0</v>
      </c>
      <c r="AI188" s="118">
        <v>0</v>
      </c>
      <c r="AJ188" s="118">
        <v>0</v>
      </c>
      <c r="AK188" s="118">
        <v>0</v>
      </c>
      <c r="AL188" s="118">
        <v>0</v>
      </c>
      <c r="AM188" s="118">
        <v>0</v>
      </c>
      <c r="AN188" s="118">
        <v>0</v>
      </c>
      <c r="AO188" s="118">
        <v>0</v>
      </c>
      <c r="AP188" s="118">
        <v>0</v>
      </c>
      <c r="AQ188" s="118">
        <v>0</v>
      </c>
      <c r="AR188" s="118">
        <v>0</v>
      </c>
      <c r="AS188" s="118">
        <v>0</v>
      </c>
      <c r="AT188" s="118">
        <v>0</v>
      </c>
      <c r="AU188" s="118">
        <f t="shared" si="14"/>
        <v>0</v>
      </c>
    </row>
    <row r="189" spans="1:50">
      <c r="A189" s="114">
        <v>13</v>
      </c>
      <c r="B189" s="116">
        <v>45946</v>
      </c>
      <c r="G189" s="115" t="s">
        <v>223</v>
      </c>
      <c r="H189" s="115">
        <v>5</v>
      </c>
      <c r="I189" s="117" t="str">
        <f t="shared" si="17"/>
        <v>NHGRI_5</v>
      </c>
      <c r="J189" s="123" t="s">
        <v>784</v>
      </c>
      <c r="K189" s="127">
        <v>9</v>
      </c>
      <c r="L189" s="123" t="str">
        <f t="shared" si="16"/>
        <v>NHGRI_5_9</v>
      </c>
      <c r="M189" s="123" t="s">
        <v>989</v>
      </c>
      <c r="N189" s="115" t="s">
        <v>86</v>
      </c>
      <c r="O189" s="115" t="s">
        <v>224</v>
      </c>
      <c r="P189" s="115">
        <v>100</v>
      </c>
      <c r="Q189" s="115">
        <v>500</v>
      </c>
      <c r="S189" s="115">
        <v>4</v>
      </c>
      <c r="T189" s="115">
        <v>1</v>
      </c>
      <c r="U189" s="115">
        <v>11.14</v>
      </c>
      <c r="V189" s="115">
        <v>11.23</v>
      </c>
      <c r="W189" s="118">
        <v>1</v>
      </c>
      <c r="X189" s="118">
        <v>11.28</v>
      </c>
      <c r="Y189" s="118">
        <v>0</v>
      </c>
      <c r="Z189" s="118">
        <v>0</v>
      </c>
      <c r="AA189" s="118">
        <v>0</v>
      </c>
      <c r="AB189" s="118">
        <v>0</v>
      </c>
      <c r="AC189" s="118">
        <v>0</v>
      </c>
      <c r="AD189" s="118">
        <v>0</v>
      </c>
      <c r="AE189" s="118">
        <v>0</v>
      </c>
      <c r="AF189" s="118">
        <v>0</v>
      </c>
      <c r="AG189" s="118">
        <v>0</v>
      </c>
      <c r="AH189" s="118">
        <v>0</v>
      </c>
      <c r="AI189" s="118">
        <v>0</v>
      </c>
      <c r="AJ189" s="118">
        <v>0</v>
      </c>
      <c r="AK189" s="118">
        <v>0</v>
      </c>
      <c r="AL189" s="118">
        <v>0</v>
      </c>
      <c r="AM189" s="118">
        <v>0</v>
      </c>
      <c r="AN189" s="118">
        <v>0</v>
      </c>
      <c r="AO189" s="118">
        <v>0</v>
      </c>
      <c r="AP189" s="118">
        <v>0</v>
      </c>
      <c r="AQ189" s="118">
        <v>0</v>
      </c>
      <c r="AR189" s="118">
        <v>0</v>
      </c>
      <c r="AS189" s="118">
        <v>0</v>
      </c>
      <c r="AT189" s="118">
        <v>0</v>
      </c>
      <c r="AU189" s="118">
        <f t="shared" si="14"/>
        <v>0</v>
      </c>
    </row>
    <row r="190" spans="1:50">
      <c r="A190" s="114">
        <v>13</v>
      </c>
      <c r="B190" s="116">
        <v>45946</v>
      </c>
      <c r="G190" s="115" t="s">
        <v>223</v>
      </c>
      <c r="H190" s="115">
        <v>5</v>
      </c>
      <c r="I190" s="117" t="str">
        <f t="shared" si="17"/>
        <v>NHGRI_5</v>
      </c>
      <c r="J190" s="123" t="s">
        <v>784</v>
      </c>
      <c r="K190" s="127">
        <v>10</v>
      </c>
      <c r="L190" s="123" t="str">
        <f t="shared" si="16"/>
        <v>NHGRI_5_10</v>
      </c>
      <c r="M190" s="123" t="s">
        <v>990</v>
      </c>
      <c r="N190" s="115" t="s">
        <v>86</v>
      </c>
      <c r="O190" s="115" t="s">
        <v>224</v>
      </c>
      <c r="P190" s="115">
        <v>100</v>
      </c>
      <c r="Q190" s="115">
        <v>500</v>
      </c>
      <c r="S190" s="115">
        <v>5</v>
      </c>
      <c r="T190" s="115">
        <v>2</v>
      </c>
      <c r="U190" s="115">
        <v>11.26</v>
      </c>
      <c r="V190" s="115">
        <v>11.42</v>
      </c>
      <c r="W190" s="118">
        <v>2</v>
      </c>
      <c r="X190" s="118">
        <v>11.57</v>
      </c>
      <c r="Y190" s="118">
        <v>0</v>
      </c>
      <c r="Z190" s="118">
        <v>0</v>
      </c>
      <c r="AA190" s="118">
        <v>0</v>
      </c>
      <c r="AB190" s="118">
        <v>0</v>
      </c>
      <c r="AC190" s="118">
        <v>0</v>
      </c>
      <c r="AD190" s="118">
        <v>0</v>
      </c>
      <c r="AE190" s="118">
        <v>0</v>
      </c>
      <c r="AF190" s="118">
        <v>0</v>
      </c>
      <c r="AG190" s="118">
        <v>0</v>
      </c>
      <c r="AH190" s="118">
        <v>0</v>
      </c>
      <c r="AI190" s="118">
        <v>0</v>
      </c>
      <c r="AJ190" s="118">
        <v>0</v>
      </c>
      <c r="AK190" s="118">
        <v>0</v>
      </c>
      <c r="AL190" s="118">
        <v>0</v>
      </c>
      <c r="AM190" s="118">
        <v>0</v>
      </c>
      <c r="AN190" s="118">
        <v>0</v>
      </c>
      <c r="AO190" s="118">
        <v>0</v>
      </c>
      <c r="AP190" s="118">
        <v>0</v>
      </c>
      <c r="AQ190" s="118">
        <v>0</v>
      </c>
      <c r="AR190" s="118">
        <v>0</v>
      </c>
      <c r="AS190" s="118">
        <v>0</v>
      </c>
      <c r="AT190" s="118">
        <v>0</v>
      </c>
      <c r="AU190" s="118">
        <f t="shared" si="14"/>
        <v>0</v>
      </c>
    </row>
    <row r="191" spans="1:50">
      <c r="A191" s="114">
        <v>14</v>
      </c>
      <c r="B191" s="116">
        <v>45950</v>
      </c>
      <c r="C191" s="115" t="s">
        <v>166</v>
      </c>
      <c r="D191" s="115" t="s">
        <v>230</v>
      </c>
      <c r="F191" s="115" t="s">
        <v>231</v>
      </c>
      <c r="G191" s="115" t="s">
        <v>232</v>
      </c>
      <c r="H191" s="115">
        <v>6</v>
      </c>
      <c r="I191" s="117" t="str">
        <f t="shared" si="17"/>
        <v>NHGRI_6</v>
      </c>
      <c r="J191" s="123" t="s">
        <v>785</v>
      </c>
      <c r="K191" s="127">
        <v>1</v>
      </c>
      <c r="L191" s="123" t="str">
        <f t="shared" si="16"/>
        <v>NHGRI_6_1</v>
      </c>
      <c r="M191" s="123" t="s">
        <v>991</v>
      </c>
      <c r="N191" s="115" t="s">
        <v>86</v>
      </c>
      <c r="O191" s="115" t="s">
        <v>233</v>
      </c>
      <c r="P191" s="115">
        <v>100</v>
      </c>
      <c r="Q191" s="115">
        <v>500</v>
      </c>
      <c r="R191" s="115">
        <v>70</v>
      </c>
      <c r="S191" s="115">
        <v>1</v>
      </c>
      <c r="T191" s="115">
        <v>5</v>
      </c>
      <c r="U191" s="115">
        <v>10.18</v>
      </c>
      <c r="V191" s="115">
        <v>10.38</v>
      </c>
      <c r="W191" s="118">
        <v>5</v>
      </c>
      <c r="X191" s="118">
        <v>10.52</v>
      </c>
      <c r="Y191" s="118">
        <v>2</v>
      </c>
      <c r="Z191" s="118">
        <v>2</v>
      </c>
      <c r="AA191" s="118">
        <v>2</v>
      </c>
      <c r="AB191" s="118">
        <v>2</v>
      </c>
      <c r="AC191" s="118">
        <v>2</v>
      </c>
      <c r="AD191" s="118">
        <v>2</v>
      </c>
      <c r="AE191" s="118">
        <v>2</v>
      </c>
      <c r="AF191" s="118">
        <v>2</v>
      </c>
      <c r="AG191" s="118">
        <v>2</v>
      </c>
      <c r="AH191" s="118">
        <v>2</v>
      </c>
      <c r="AI191" s="118">
        <v>2</v>
      </c>
      <c r="AJ191" s="118">
        <v>2</v>
      </c>
      <c r="AK191" s="118">
        <v>0</v>
      </c>
      <c r="AL191" s="118">
        <v>0</v>
      </c>
      <c r="AM191" s="118">
        <v>0</v>
      </c>
      <c r="AN191" s="118">
        <v>0</v>
      </c>
      <c r="AO191" s="118">
        <v>0</v>
      </c>
      <c r="AP191" s="118">
        <v>0</v>
      </c>
      <c r="AQ191" s="118">
        <v>0</v>
      </c>
      <c r="AR191" s="118">
        <v>0</v>
      </c>
      <c r="AS191" s="118">
        <v>0</v>
      </c>
      <c r="AT191" s="118">
        <v>0</v>
      </c>
      <c r="AU191" s="118">
        <f t="shared" si="14"/>
        <v>0</v>
      </c>
      <c r="AX191" s="114" t="s">
        <v>53</v>
      </c>
    </row>
    <row r="192" spans="1:50">
      <c r="A192" s="114">
        <v>14</v>
      </c>
      <c r="B192" s="116">
        <v>45950</v>
      </c>
      <c r="D192" s="115" t="s">
        <v>234</v>
      </c>
      <c r="G192" s="115" t="s">
        <v>235</v>
      </c>
      <c r="H192" s="115">
        <v>6</v>
      </c>
      <c r="I192" s="117" t="str">
        <f t="shared" si="17"/>
        <v>NHGRI_6</v>
      </c>
      <c r="J192" s="123" t="s">
        <v>785</v>
      </c>
      <c r="K192" s="127">
        <v>2</v>
      </c>
      <c r="L192" s="123" t="str">
        <f t="shared" si="16"/>
        <v>NHGRI_6_2</v>
      </c>
      <c r="M192" s="123" t="s">
        <v>992</v>
      </c>
      <c r="N192" s="115" t="s">
        <v>86</v>
      </c>
      <c r="O192" s="115" t="s">
        <v>233</v>
      </c>
      <c r="P192" s="115">
        <v>100</v>
      </c>
      <c r="Q192" s="115">
        <v>500</v>
      </c>
      <c r="S192" s="115">
        <v>2</v>
      </c>
      <c r="T192" s="115">
        <v>5</v>
      </c>
      <c r="U192" s="115">
        <v>10.4</v>
      </c>
      <c r="V192" s="115">
        <v>10.56</v>
      </c>
      <c r="W192" s="118">
        <v>5</v>
      </c>
      <c r="X192" s="118">
        <v>11.14</v>
      </c>
      <c r="Y192" s="118">
        <v>0</v>
      </c>
      <c r="Z192" s="118">
        <v>0</v>
      </c>
      <c r="AA192" s="118">
        <v>0</v>
      </c>
      <c r="AB192" s="118">
        <v>0</v>
      </c>
      <c r="AC192" s="118">
        <v>0</v>
      </c>
      <c r="AD192" s="118">
        <v>0</v>
      </c>
      <c r="AE192" s="118">
        <v>0</v>
      </c>
      <c r="AF192" s="118">
        <v>0</v>
      </c>
      <c r="AG192" s="118">
        <v>0</v>
      </c>
      <c r="AH192" s="118">
        <v>0</v>
      </c>
      <c r="AI192" s="118">
        <v>0</v>
      </c>
      <c r="AJ192" s="118">
        <v>0</v>
      </c>
      <c r="AK192" s="118">
        <v>0</v>
      </c>
      <c r="AL192" s="118">
        <v>0</v>
      </c>
      <c r="AM192" s="118">
        <v>0</v>
      </c>
      <c r="AN192" s="118">
        <v>0</v>
      </c>
      <c r="AO192" s="118">
        <v>0</v>
      </c>
      <c r="AP192" s="118">
        <v>0</v>
      </c>
      <c r="AQ192" s="118">
        <v>0</v>
      </c>
      <c r="AR192" s="118">
        <v>0</v>
      </c>
      <c r="AS192" s="118">
        <v>0</v>
      </c>
      <c r="AT192" s="118">
        <v>0</v>
      </c>
      <c r="AU192" s="118">
        <f t="shared" si="14"/>
        <v>0</v>
      </c>
    </row>
    <row r="193" spans="1:50">
      <c r="A193" s="114">
        <v>14</v>
      </c>
      <c r="B193" s="116">
        <v>45950</v>
      </c>
      <c r="D193" s="115" t="s">
        <v>236</v>
      </c>
      <c r="G193" s="115" t="s">
        <v>237</v>
      </c>
      <c r="H193" s="115">
        <v>6</v>
      </c>
      <c r="I193" s="117" t="str">
        <f t="shared" si="17"/>
        <v>NHGRI_6</v>
      </c>
      <c r="J193" s="117" t="s">
        <v>785</v>
      </c>
      <c r="K193" s="127">
        <v>3</v>
      </c>
      <c r="L193" s="123" t="str">
        <f t="shared" si="16"/>
        <v>NHGRI_6_3</v>
      </c>
      <c r="M193" s="117" t="s">
        <v>993</v>
      </c>
      <c r="N193" s="115" t="s">
        <v>86</v>
      </c>
      <c r="O193" s="115" t="s">
        <v>233</v>
      </c>
      <c r="P193" s="115">
        <v>100</v>
      </c>
      <c r="Q193" s="115">
        <v>500</v>
      </c>
      <c r="S193" s="115">
        <v>3</v>
      </c>
      <c r="T193" s="115">
        <v>5</v>
      </c>
      <c r="U193" s="115">
        <v>11.05</v>
      </c>
      <c r="V193" s="115">
        <v>11.2</v>
      </c>
      <c r="W193" s="118">
        <v>5</v>
      </c>
      <c r="X193" s="118">
        <v>11.35</v>
      </c>
      <c r="Y193" s="118">
        <v>1</v>
      </c>
      <c r="Z193" s="118">
        <v>1</v>
      </c>
      <c r="AA193" s="118">
        <v>1</v>
      </c>
      <c r="AB193" s="118">
        <v>1</v>
      </c>
      <c r="AC193" s="118">
        <v>1</v>
      </c>
      <c r="AD193" s="118">
        <v>1</v>
      </c>
      <c r="AE193" s="118">
        <v>1</v>
      </c>
      <c r="AF193" s="118">
        <v>1</v>
      </c>
      <c r="AG193" s="118">
        <v>1</v>
      </c>
      <c r="AH193" s="118">
        <v>1</v>
      </c>
      <c r="AI193" s="118">
        <v>1</v>
      </c>
      <c r="AJ193" s="118">
        <v>1</v>
      </c>
      <c r="AK193" s="118">
        <v>1</v>
      </c>
      <c r="AL193" s="118">
        <v>1</v>
      </c>
      <c r="AM193" s="118">
        <v>1</v>
      </c>
      <c r="AN193" s="118">
        <v>1</v>
      </c>
      <c r="AO193" s="118">
        <v>1</v>
      </c>
      <c r="AP193" s="118">
        <v>1</v>
      </c>
      <c r="AQ193" s="118">
        <v>1</v>
      </c>
      <c r="AR193" s="118">
        <v>1</v>
      </c>
      <c r="AS193" s="118">
        <v>1</v>
      </c>
      <c r="AT193" s="118">
        <v>1</v>
      </c>
      <c r="AU193" s="118">
        <f t="shared" si="14"/>
        <v>1</v>
      </c>
      <c r="AV193" s="115" t="s">
        <v>238</v>
      </c>
      <c r="AW193" s="115" t="s">
        <v>239</v>
      </c>
    </row>
    <row r="194" spans="1:50">
      <c r="A194" s="114">
        <v>14</v>
      </c>
      <c r="B194" s="116">
        <v>45950</v>
      </c>
      <c r="D194" s="115" t="s">
        <v>240</v>
      </c>
      <c r="G194" s="115" t="s">
        <v>241</v>
      </c>
      <c r="H194" s="115">
        <v>6</v>
      </c>
      <c r="I194" s="117" t="str">
        <f t="shared" si="17"/>
        <v>NHGRI_6</v>
      </c>
      <c r="J194" s="123" t="s">
        <v>785</v>
      </c>
      <c r="K194" s="127">
        <v>4</v>
      </c>
      <c r="L194" s="123" t="str">
        <f t="shared" si="16"/>
        <v>NHGRI_6_4</v>
      </c>
      <c r="M194" s="123" t="s">
        <v>994</v>
      </c>
      <c r="N194" s="115" t="s">
        <v>86</v>
      </c>
      <c r="O194" s="115" t="s">
        <v>233</v>
      </c>
      <c r="P194" s="115">
        <v>100</v>
      </c>
      <c r="Q194" s="115">
        <v>500</v>
      </c>
      <c r="S194" s="115">
        <v>4</v>
      </c>
      <c r="T194" s="115">
        <v>5</v>
      </c>
      <c r="U194" s="115">
        <v>11.24</v>
      </c>
      <c r="V194" s="115">
        <v>11.41</v>
      </c>
      <c r="W194" s="118">
        <v>5</v>
      </c>
      <c r="X194" s="118">
        <v>11.56</v>
      </c>
      <c r="Y194" s="118">
        <v>1</v>
      </c>
      <c r="Z194" s="118">
        <v>1</v>
      </c>
      <c r="AA194" s="118">
        <v>1</v>
      </c>
      <c r="AB194" s="118">
        <v>1</v>
      </c>
      <c r="AC194" s="118">
        <v>1</v>
      </c>
      <c r="AD194" s="118">
        <v>1</v>
      </c>
      <c r="AE194" s="118">
        <v>1</v>
      </c>
      <c r="AF194" s="118">
        <v>1</v>
      </c>
      <c r="AG194" s="118">
        <v>1</v>
      </c>
      <c r="AH194" s="118">
        <v>1</v>
      </c>
      <c r="AI194" s="118">
        <v>1</v>
      </c>
      <c r="AJ194" s="118">
        <v>0</v>
      </c>
      <c r="AK194" s="118">
        <v>0</v>
      </c>
      <c r="AL194" s="118">
        <v>0</v>
      </c>
      <c r="AM194" s="118">
        <v>0</v>
      </c>
      <c r="AN194" s="118">
        <v>0</v>
      </c>
      <c r="AO194" s="118">
        <v>0</v>
      </c>
      <c r="AP194" s="118">
        <v>0</v>
      </c>
      <c r="AQ194" s="118">
        <v>0</v>
      </c>
      <c r="AR194" s="118">
        <v>0</v>
      </c>
      <c r="AS194" s="118">
        <v>0</v>
      </c>
      <c r="AT194" s="118">
        <v>0</v>
      </c>
      <c r="AU194" s="118">
        <f t="shared" si="14"/>
        <v>0</v>
      </c>
    </row>
    <row r="195" spans="1:50">
      <c r="A195" s="114">
        <v>14</v>
      </c>
      <c r="B195" s="116">
        <v>45950</v>
      </c>
      <c r="G195" s="115" t="s">
        <v>242</v>
      </c>
      <c r="H195" s="115">
        <v>6</v>
      </c>
      <c r="I195" s="117" t="str">
        <f t="shared" si="17"/>
        <v>NHGRI_6</v>
      </c>
      <c r="J195" s="123" t="s">
        <v>785</v>
      </c>
      <c r="K195" s="127">
        <v>5</v>
      </c>
      <c r="L195" s="123" t="str">
        <f t="shared" si="16"/>
        <v>NHGRI_6_5</v>
      </c>
      <c r="M195" s="123" t="s">
        <v>995</v>
      </c>
      <c r="N195" s="115" t="s">
        <v>86</v>
      </c>
      <c r="O195" s="115" t="s">
        <v>233</v>
      </c>
      <c r="P195" s="115">
        <v>100</v>
      </c>
      <c r="Q195" s="115">
        <v>500</v>
      </c>
      <c r="S195" s="115">
        <v>5</v>
      </c>
      <c r="T195" s="115">
        <v>5</v>
      </c>
      <c r="U195" s="115">
        <v>11.43</v>
      </c>
      <c r="V195" s="115">
        <v>12.02</v>
      </c>
      <c r="W195" s="118">
        <v>5</v>
      </c>
      <c r="X195" s="118">
        <v>12.2</v>
      </c>
      <c r="Y195" s="118">
        <v>1</v>
      </c>
      <c r="Z195" s="118">
        <v>1</v>
      </c>
      <c r="AA195" s="118">
        <v>1</v>
      </c>
      <c r="AB195" s="118">
        <v>1</v>
      </c>
      <c r="AC195" s="118">
        <v>1</v>
      </c>
      <c r="AD195" s="118">
        <v>1</v>
      </c>
      <c r="AE195" s="118">
        <v>1</v>
      </c>
      <c r="AF195" s="118">
        <v>1</v>
      </c>
      <c r="AG195" s="118">
        <v>1</v>
      </c>
      <c r="AH195" s="118">
        <v>1</v>
      </c>
      <c r="AI195" s="118">
        <v>1</v>
      </c>
      <c r="AJ195" s="118">
        <v>1</v>
      </c>
      <c r="AK195" s="118">
        <v>1</v>
      </c>
      <c r="AL195" s="118">
        <v>1</v>
      </c>
      <c r="AM195" s="118">
        <v>1</v>
      </c>
      <c r="AN195" s="118">
        <v>1</v>
      </c>
      <c r="AO195" s="118">
        <v>0</v>
      </c>
      <c r="AP195" s="118">
        <v>0</v>
      </c>
      <c r="AQ195" s="118">
        <v>0</v>
      </c>
      <c r="AR195" s="118">
        <v>0</v>
      </c>
      <c r="AS195" s="118">
        <v>0</v>
      </c>
      <c r="AT195" s="118">
        <v>0</v>
      </c>
      <c r="AU195" s="118">
        <f t="shared" si="14"/>
        <v>0</v>
      </c>
    </row>
    <row r="196" spans="1:50">
      <c r="A196" s="114">
        <v>14</v>
      </c>
      <c r="B196" s="116">
        <v>45950</v>
      </c>
      <c r="G196" s="115" t="s">
        <v>243</v>
      </c>
      <c r="H196" s="115">
        <v>6</v>
      </c>
      <c r="I196" s="117" t="str">
        <f t="shared" si="17"/>
        <v>NHGRI_6</v>
      </c>
      <c r="J196" s="123" t="s">
        <v>785</v>
      </c>
      <c r="K196" s="127">
        <v>6</v>
      </c>
      <c r="L196" s="123" t="str">
        <f t="shared" si="16"/>
        <v>NHGRI_6_6</v>
      </c>
      <c r="M196" s="123" t="s">
        <v>996</v>
      </c>
      <c r="N196" s="115" t="s">
        <v>86</v>
      </c>
      <c r="O196" s="115" t="s">
        <v>233</v>
      </c>
      <c r="P196" s="115">
        <v>100</v>
      </c>
      <c r="Q196" s="115">
        <v>500</v>
      </c>
      <c r="S196" s="115">
        <v>6</v>
      </c>
      <c r="T196" s="115">
        <v>5</v>
      </c>
      <c r="U196" s="115">
        <v>12.11</v>
      </c>
      <c r="V196" s="115">
        <v>12.27</v>
      </c>
      <c r="W196" s="118">
        <v>5</v>
      </c>
      <c r="X196" s="118">
        <v>12.43</v>
      </c>
      <c r="Y196" s="118">
        <v>1</v>
      </c>
      <c r="Z196" s="118">
        <v>1</v>
      </c>
      <c r="AA196" s="118">
        <v>1</v>
      </c>
      <c r="AB196" s="118">
        <v>1</v>
      </c>
      <c r="AC196" s="118">
        <v>1</v>
      </c>
      <c r="AD196" s="118">
        <v>1</v>
      </c>
      <c r="AE196" s="118">
        <v>1</v>
      </c>
      <c r="AF196" s="118">
        <v>1</v>
      </c>
      <c r="AG196" s="118">
        <v>1</v>
      </c>
      <c r="AH196" s="118">
        <v>1</v>
      </c>
      <c r="AI196" s="118">
        <v>1</v>
      </c>
      <c r="AJ196" s="118">
        <v>1</v>
      </c>
      <c r="AK196" s="118">
        <v>1</v>
      </c>
      <c r="AL196" s="118">
        <v>0</v>
      </c>
      <c r="AM196" s="118">
        <v>0</v>
      </c>
      <c r="AN196" s="118">
        <v>0</v>
      </c>
      <c r="AO196" s="118">
        <v>0</v>
      </c>
      <c r="AP196" s="118">
        <v>0</v>
      </c>
      <c r="AQ196" s="118">
        <v>0</v>
      </c>
      <c r="AR196" s="118">
        <v>0</v>
      </c>
      <c r="AS196" s="118">
        <v>0</v>
      </c>
      <c r="AT196" s="118">
        <v>0</v>
      </c>
      <c r="AU196" s="118">
        <f t="shared" si="14"/>
        <v>0</v>
      </c>
    </row>
    <row r="197" spans="1:50">
      <c r="A197" s="114">
        <v>14</v>
      </c>
      <c r="B197" s="116">
        <v>45950</v>
      </c>
      <c r="G197" s="115" t="s">
        <v>232</v>
      </c>
      <c r="H197" s="115">
        <v>6</v>
      </c>
      <c r="I197" s="117" t="str">
        <f t="shared" si="17"/>
        <v>NHGRI_6</v>
      </c>
      <c r="J197" s="117" t="s">
        <v>785</v>
      </c>
      <c r="K197" s="127">
        <v>7</v>
      </c>
      <c r="L197" s="123" t="str">
        <f t="shared" si="16"/>
        <v>NHGRI_6_7</v>
      </c>
      <c r="M197" s="117" t="s">
        <v>997</v>
      </c>
      <c r="N197" s="115" t="s">
        <v>86</v>
      </c>
      <c r="O197" s="115" t="s">
        <v>233</v>
      </c>
      <c r="P197" s="115">
        <v>100</v>
      </c>
      <c r="Q197" s="115">
        <v>500</v>
      </c>
      <c r="R197" s="115">
        <v>76</v>
      </c>
      <c r="S197" s="115">
        <v>1</v>
      </c>
      <c r="T197" s="115">
        <v>3</v>
      </c>
      <c r="U197" s="115">
        <v>10.11</v>
      </c>
      <c r="V197" s="115">
        <v>10.23</v>
      </c>
      <c r="W197" s="118">
        <v>3</v>
      </c>
      <c r="X197" s="118">
        <v>10.39</v>
      </c>
      <c r="Y197" s="118">
        <v>2</v>
      </c>
      <c r="Z197" s="118">
        <v>2</v>
      </c>
      <c r="AA197" s="118">
        <v>2</v>
      </c>
      <c r="AB197" s="118">
        <v>2</v>
      </c>
      <c r="AC197" s="118">
        <v>2</v>
      </c>
      <c r="AD197" s="118">
        <v>2</v>
      </c>
      <c r="AE197" s="118">
        <v>2</v>
      </c>
      <c r="AF197" s="118">
        <v>2</v>
      </c>
      <c r="AG197" s="118">
        <v>2</v>
      </c>
      <c r="AH197" s="118">
        <v>2</v>
      </c>
      <c r="AI197" s="118">
        <v>2</v>
      </c>
      <c r="AJ197" s="118">
        <v>2</v>
      </c>
      <c r="AK197" s="118">
        <v>2</v>
      </c>
      <c r="AL197" s="118">
        <v>2</v>
      </c>
      <c r="AM197" s="118">
        <v>2</v>
      </c>
      <c r="AN197" s="118">
        <v>2</v>
      </c>
      <c r="AO197" s="118">
        <v>2</v>
      </c>
      <c r="AP197" s="118">
        <v>2</v>
      </c>
      <c r="AQ197" s="118">
        <v>2</v>
      </c>
      <c r="AR197" s="118">
        <v>2</v>
      </c>
      <c r="AS197" s="118">
        <v>2</v>
      </c>
      <c r="AT197" s="118">
        <v>2</v>
      </c>
      <c r="AU197" s="118">
        <f t="shared" ref="AU197:AU260" si="18">AT197</f>
        <v>2</v>
      </c>
      <c r="AV197" s="115" t="s">
        <v>244</v>
      </c>
      <c r="AW197" s="115" t="s">
        <v>245</v>
      </c>
      <c r="AX197" s="114" t="s">
        <v>67</v>
      </c>
    </row>
    <row r="198" spans="1:50">
      <c r="A198" s="114">
        <v>14</v>
      </c>
      <c r="B198" s="116">
        <v>45950</v>
      </c>
      <c r="G198" s="115" t="s">
        <v>232</v>
      </c>
      <c r="H198" s="115">
        <v>6</v>
      </c>
      <c r="I198" s="117" t="str">
        <f t="shared" si="17"/>
        <v>NHGRI_6</v>
      </c>
      <c r="J198" s="123" t="s">
        <v>785</v>
      </c>
      <c r="K198" s="127">
        <v>8</v>
      </c>
      <c r="L198" s="123" t="str">
        <f t="shared" si="16"/>
        <v>NHGRI_6_8</v>
      </c>
      <c r="M198" s="123" t="s">
        <v>998</v>
      </c>
      <c r="N198" s="115" t="s">
        <v>86</v>
      </c>
      <c r="O198" s="115" t="s">
        <v>233</v>
      </c>
      <c r="P198" s="115">
        <v>100</v>
      </c>
      <c r="Q198" s="115">
        <v>500</v>
      </c>
      <c r="S198" s="115">
        <v>2</v>
      </c>
      <c r="T198" s="115">
        <v>2</v>
      </c>
      <c r="U198" s="115">
        <v>10.25</v>
      </c>
      <c r="V198" s="115">
        <v>10.31</v>
      </c>
      <c r="W198" s="118">
        <v>2</v>
      </c>
      <c r="X198" s="118">
        <v>10.47</v>
      </c>
      <c r="Y198" s="118">
        <v>1</v>
      </c>
      <c r="Z198" s="118">
        <v>1</v>
      </c>
      <c r="AA198" s="118">
        <v>1</v>
      </c>
      <c r="AB198" s="118">
        <v>1</v>
      </c>
      <c r="AC198" s="118">
        <v>1</v>
      </c>
      <c r="AD198" s="118">
        <v>1</v>
      </c>
      <c r="AE198" s="118">
        <v>1</v>
      </c>
      <c r="AF198" s="118">
        <v>1</v>
      </c>
      <c r="AG198" s="118">
        <v>1</v>
      </c>
      <c r="AH198" s="118">
        <v>1</v>
      </c>
      <c r="AI198" s="118">
        <v>1</v>
      </c>
      <c r="AJ198" s="118">
        <v>1</v>
      </c>
      <c r="AK198" s="118">
        <v>1</v>
      </c>
      <c r="AL198" s="118">
        <v>1</v>
      </c>
      <c r="AM198" s="118">
        <v>1</v>
      </c>
      <c r="AN198" s="118">
        <v>0</v>
      </c>
      <c r="AO198" s="118">
        <v>0</v>
      </c>
      <c r="AP198" s="118">
        <v>0</v>
      </c>
      <c r="AQ198" s="118">
        <v>0</v>
      </c>
      <c r="AR198" s="118">
        <v>0</v>
      </c>
      <c r="AS198" s="118">
        <v>0</v>
      </c>
      <c r="AT198" s="118">
        <v>0</v>
      </c>
      <c r="AU198" s="118">
        <f t="shared" si="18"/>
        <v>0</v>
      </c>
    </row>
    <row r="199" spans="1:50">
      <c r="A199" s="114">
        <v>14</v>
      </c>
      <c r="B199" s="116">
        <v>45950</v>
      </c>
      <c r="G199" s="115" t="s">
        <v>232</v>
      </c>
      <c r="H199" s="115">
        <v>6</v>
      </c>
      <c r="I199" s="117" t="str">
        <f t="shared" si="17"/>
        <v>NHGRI_6</v>
      </c>
      <c r="J199" s="123" t="s">
        <v>785</v>
      </c>
      <c r="K199" s="127">
        <v>9</v>
      </c>
      <c r="L199" s="123" t="str">
        <f t="shared" si="16"/>
        <v>NHGRI_6_9</v>
      </c>
      <c r="M199" s="123" t="s">
        <v>999</v>
      </c>
      <c r="N199" s="115" t="s">
        <v>86</v>
      </c>
      <c r="O199" s="115" t="s">
        <v>233</v>
      </c>
      <c r="P199" s="115">
        <v>100</v>
      </c>
      <c r="Q199" s="115">
        <v>500</v>
      </c>
      <c r="S199" s="115">
        <v>3</v>
      </c>
      <c r="T199" s="115">
        <v>4</v>
      </c>
      <c r="U199" s="115">
        <v>10.42</v>
      </c>
      <c r="V199" s="115">
        <v>10.55</v>
      </c>
      <c r="W199" s="118">
        <v>4</v>
      </c>
      <c r="X199" s="118">
        <v>11.12</v>
      </c>
      <c r="Y199" s="118">
        <v>3</v>
      </c>
      <c r="Z199" s="118">
        <v>3</v>
      </c>
      <c r="AA199" s="118">
        <v>3</v>
      </c>
      <c r="AB199" s="118">
        <v>3</v>
      </c>
      <c r="AC199" s="118">
        <v>3</v>
      </c>
      <c r="AD199" s="118">
        <v>3</v>
      </c>
      <c r="AE199" s="118">
        <v>3</v>
      </c>
      <c r="AF199" s="118">
        <v>3</v>
      </c>
      <c r="AG199" s="118">
        <v>3</v>
      </c>
      <c r="AH199" s="118">
        <v>3</v>
      </c>
      <c r="AI199" s="118">
        <v>3</v>
      </c>
      <c r="AJ199" s="118">
        <v>3</v>
      </c>
      <c r="AK199" s="118">
        <v>3</v>
      </c>
      <c r="AL199" s="118">
        <v>3</v>
      </c>
      <c r="AM199" s="118">
        <v>2</v>
      </c>
      <c r="AN199" s="118">
        <v>2</v>
      </c>
      <c r="AO199" s="118">
        <v>2</v>
      </c>
      <c r="AP199" s="118">
        <v>1</v>
      </c>
      <c r="AQ199" s="118">
        <v>0</v>
      </c>
      <c r="AR199" s="118">
        <v>0</v>
      </c>
      <c r="AS199" s="118">
        <v>0</v>
      </c>
      <c r="AT199" s="118">
        <v>0</v>
      </c>
      <c r="AU199" s="118">
        <f t="shared" si="18"/>
        <v>0</v>
      </c>
    </row>
    <row r="200" spans="1:50">
      <c r="A200" s="114">
        <v>14</v>
      </c>
      <c r="B200" s="116">
        <v>45950</v>
      </c>
      <c r="G200" s="115" t="s">
        <v>232</v>
      </c>
      <c r="H200" s="115">
        <v>6</v>
      </c>
      <c r="I200" s="117" t="str">
        <f t="shared" si="17"/>
        <v>NHGRI_6</v>
      </c>
      <c r="J200" s="117" t="s">
        <v>785</v>
      </c>
      <c r="K200" s="127">
        <v>10</v>
      </c>
      <c r="L200" s="123" t="str">
        <f t="shared" si="16"/>
        <v>NHGRI_6_10</v>
      </c>
      <c r="M200" s="117" t="s">
        <v>1000</v>
      </c>
      <c r="N200" s="115" t="s">
        <v>86</v>
      </c>
      <c r="O200" s="115" t="s">
        <v>233</v>
      </c>
      <c r="P200" s="115">
        <v>100</v>
      </c>
      <c r="Q200" s="115">
        <v>500</v>
      </c>
      <c r="S200" s="115">
        <v>4</v>
      </c>
      <c r="T200" s="115">
        <v>3</v>
      </c>
      <c r="U200" s="115">
        <v>11.07</v>
      </c>
      <c r="V200" s="115">
        <v>11.16</v>
      </c>
      <c r="W200" s="118">
        <v>3</v>
      </c>
      <c r="X200" s="118">
        <v>11.33</v>
      </c>
      <c r="Y200" s="118">
        <v>1</v>
      </c>
      <c r="Z200" s="118">
        <v>1</v>
      </c>
      <c r="AA200" s="118">
        <v>1</v>
      </c>
      <c r="AB200" s="118">
        <v>1</v>
      </c>
      <c r="AC200" s="118">
        <v>1</v>
      </c>
      <c r="AD200" s="118">
        <v>1</v>
      </c>
      <c r="AE200" s="118">
        <v>1</v>
      </c>
      <c r="AF200" s="118">
        <v>1</v>
      </c>
      <c r="AG200" s="118">
        <v>1</v>
      </c>
      <c r="AH200" s="118">
        <v>1</v>
      </c>
      <c r="AI200" s="118">
        <v>1</v>
      </c>
      <c r="AJ200" s="118">
        <v>1</v>
      </c>
      <c r="AK200" s="118">
        <v>1</v>
      </c>
      <c r="AL200" s="118">
        <v>1</v>
      </c>
      <c r="AM200" s="118">
        <v>1</v>
      </c>
      <c r="AN200" s="118">
        <v>1</v>
      </c>
      <c r="AO200" s="118">
        <v>1</v>
      </c>
      <c r="AP200" s="118">
        <v>1</v>
      </c>
      <c r="AQ200" s="118">
        <v>1</v>
      </c>
      <c r="AR200" s="118">
        <v>1</v>
      </c>
      <c r="AS200" s="118">
        <v>1</v>
      </c>
      <c r="AT200" s="118">
        <v>1</v>
      </c>
      <c r="AU200" s="118">
        <f t="shared" si="18"/>
        <v>1</v>
      </c>
      <c r="AV200" s="115" t="s">
        <v>244</v>
      </c>
      <c r="AW200" s="115" t="s">
        <v>246</v>
      </c>
    </row>
    <row r="201" spans="1:50">
      <c r="A201" s="114">
        <v>14</v>
      </c>
      <c r="B201" s="116">
        <v>45950</v>
      </c>
      <c r="G201" s="115" t="s">
        <v>247</v>
      </c>
      <c r="H201" s="115">
        <v>6</v>
      </c>
      <c r="I201" s="117" t="str">
        <f t="shared" si="17"/>
        <v>NHGRI_6</v>
      </c>
      <c r="J201" s="117" t="s">
        <v>785</v>
      </c>
      <c r="K201" s="127">
        <v>11</v>
      </c>
      <c r="L201" s="123" t="str">
        <f t="shared" si="16"/>
        <v>NHGRI_6_11</v>
      </c>
      <c r="M201" s="117" t="s">
        <v>1001</v>
      </c>
      <c r="N201" s="115" t="s">
        <v>86</v>
      </c>
      <c r="O201" s="115" t="s">
        <v>233</v>
      </c>
      <c r="P201" s="115">
        <v>100</v>
      </c>
      <c r="Q201" s="115">
        <v>500</v>
      </c>
      <c r="S201" s="115">
        <v>5</v>
      </c>
      <c r="T201" s="115">
        <v>3</v>
      </c>
      <c r="U201" s="115">
        <v>11.27</v>
      </c>
      <c r="V201" s="115">
        <v>11.39</v>
      </c>
      <c r="W201" s="118">
        <v>3</v>
      </c>
      <c r="X201" s="118">
        <v>11.55</v>
      </c>
      <c r="Y201" s="118">
        <v>1</v>
      </c>
      <c r="Z201" s="118">
        <v>1</v>
      </c>
      <c r="AA201" s="118">
        <v>1</v>
      </c>
      <c r="AB201" s="118">
        <v>1</v>
      </c>
      <c r="AC201" s="118">
        <v>1</v>
      </c>
      <c r="AD201" s="118">
        <v>1</v>
      </c>
      <c r="AE201" s="118">
        <v>1</v>
      </c>
      <c r="AF201" s="118">
        <v>1</v>
      </c>
      <c r="AG201" s="118">
        <v>1</v>
      </c>
      <c r="AH201" s="118">
        <v>1</v>
      </c>
      <c r="AI201" s="118">
        <v>1</v>
      </c>
      <c r="AJ201" s="118">
        <v>1</v>
      </c>
      <c r="AK201" s="118">
        <v>1</v>
      </c>
      <c r="AL201" s="118">
        <v>1</v>
      </c>
      <c r="AM201" s="118">
        <v>1</v>
      </c>
      <c r="AN201" s="118">
        <v>1</v>
      </c>
      <c r="AO201" s="118">
        <v>1</v>
      </c>
      <c r="AP201" s="118">
        <v>1</v>
      </c>
      <c r="AQ201" s="118">
        <v>1</v>
      </c>
      <c r="AR201" s="118">
        <v>1</v>
      </c>
      <c r="AS201" s="118">
        <v>1</v>
      </c>
      <c r="AT201" s="118">
        <v>1</v>
      </c>
      <c r="AU201" s="118">
        <f t="shared" si="18"/>
        <v>1</v>
      </c>
      <c r="AV201" s="115" t="s">
        <v>244</v>
      </c>
      <c r="AW201" s="115" t="s">
        <v>248</v>
      </c>
    </row>
    <row r="202" spans="1:50">
      <c r="A202" s="114">
        <v>14</v>
      </c>
      <c r="B202" s="116">
        <v>45950</v>
      </c>
      <c r="G202" s="115" t="s">
        <v>247</v>
      </c>
      <c r="H202" s="115">
        <v>6</v>
      </c>
      <c r="I202" s="117" t="str">
        <f t="shared" si="17"/>
        <v>NHGRI_6</v>
      </c>
      <c r="J202" s="123" t="s">
        <v>785</v>
      </c>
      <c r="K202" s="127">
        <v>12</v>
      </c>
      <c r="L202" s="123" t="str">
        <f t="shared" si="16"/>
        <v>NHGRI_6_12</v>
      </c>
      <c r="M202" s="123" t="s">
        <v>1002</v>
      </c>
      <c r="N202" s="115" t="s">
        <v>86</v>
      </c>
      <c r="O202" s="115" t="s">
        <v>233</v>
      </c>
      <c r="P202" s="115">
        <v>100</v>
      </c>
      <c r="Q202" s="115">
        <v>500</v>
      </c>
      <c r="S202" s="115">
        <v>6</v>
      </c>
      <c r="T202" s="115">
        <v>3</v>
      </c>
      <c r="U202" s="115">
        <v>11.41</v>
      </c>
      <c r="V202" s="115">
        <v>11.49</v>
      </c>
      <c r="W202" s="118">
        <v>3</v>
      </c>
      <c r="X202" s="118">
        <v>12.05</v>
      </c>
      <c r="Y202" s="118">
        <v>1</v>
      </c>
      <c r="Z202" s="118">
        <v>1</v>
      </c>
      <c r="AA202" s="118">
        <v>1</v>
      </c>
      <c r="AB202" s="118">
        <v>1</v>
      </c>
      <c r="AC202" s="118">
        <v>1</v>
      </c>
      <c r="AD202" s="118">
        <v>1</v>
      </c>
      <c r="AE202" s="118">
        <v>1</v>
      </c>
      <c r="AF202" s="118">
        <v>1</v>
      </c>
      <c r="AG202" s="118">
        <v>1</v>
      </c>
      <c r="AH202" s="118">
        <v>1</v>
      </c>
      <c r="AI202" s="118">
        <v>1</v>
      </c>
      <c r="AJ202" s="118">
        <v>1</v>
      </c>
      <c r="AK202" s="118">
        <v>1</v>
      </c>
      <c r="AL202" s="118">
        <v>0</v>
      </c>
      <c r="AM202" s="118">
        <v>0</v>
      </c>
      <c r="AN202" s="118">
        <v>0</v>
      </c>
      <c r="AO202" s="118">
        <v>0</v>
      </c>
      <c r="AP202" s="118">
        <v>0</v>
      </c>
      <c r="AQ202" s="118">
        <v>0</v>
      </c>
      <c r="AR202" s="118">
        <v>0</v>
      </c>
      <c r="AS202" s="118">
        <v>0</v>
      </c>
      <c r="AT202" s="118">
        <v>0</v>
      </c>
      <c r="AU202" s="118">
        <f t="shared" si="18"/>
        <v>0</v>
      </c>
    </row>
    <row r="203" spans="1:50">
      <c r="A203" s="114">
        <v>14</v>
      </c>
      <c r="B203" s="116">
        <v>45950</v>
      </c>
      <c r="G203" s="115" t="s">
        <v>247</v>
      </c>
      <c r="H203" s="115">
        <v>6</v>
      </c>
      <c r="I203" s="117" t="str">
        <f t="shared" si="17"/>
        <v>NHGRI_6</v>
      </c>
      <c r="J203" s="123" t="s">
        <v>785</v>
      </c>
      <c r="K203" s="127">
        <v>13</v>
      </c>
      <c r="L203" s="123" t="str">
        <f t="shared" si="16"/>
        <v>NHGRI_6_13</v>
      </c>
      <c r="M203" s="123" t="s">
        <v>1003</v>
      </c>
      <c r="N203" s="115" t="s">
        <v>86</v>
      </c>
      <c r="O203" s="115" t="s">
        <v>233</v>
      </c>
      <c r="P203" s="115">
        <v>100</v>
      </c>
      <c r="Q203" s="115">
        <v>500</v>
      </c>
      <c r="S203" s="115">
        <v>7</v>
      </c>
      <c r="T203" s="115">
        <v>3</v>
      </c>
      <c r="U203" s="115">
        <v>11.55</v>
      </c>
      <c r="V203" s="115">
        <v>12.07</v>
      </c>
      <c r="W203" s="118">
        <v>3</v>
      </c>
      <c r="X203" s="118">
        <v>11.23</v>
      </c>
      <c r="Y203" s="118">
        <v>1</v>
      </c>
      <c r="Z203" s="118">
        <v>1</v>
      </c>
      <c r="AA203" s="118">
        <v>1</v>
      </c>
      <c r="AB203" s="118">
        <v>1</v>
      </c>
      <c r="AC203" s="118">
        <v>1</v>
      </c>
      <c r="AD203" s="118">
        <v>1</v>
      </c>
      <c r="AE203" s="118">
        <v>1</v>
      </c>
      <c r="AF203" s="118">
        <v>1</v>
      </c>
      <c r="AG203" s="118">
        <v>1</v>
      </c>
      <c r="AH203" s="118">
        <v>1</v>
      </c>
      <c r="AI203" s="118">
        <v>1</v>
      </c>
      <c r="AJ203" s="118">
        <v>1</v>
      </c>
      <c r="AK203" s="118">
        <v>1</v>
      </c>
      <c r="AL203" s="118">
        <v>1</v>
      </c>
      <c r="AM203" s="118">
        <v>0</v>
      </c>
      <c r="AN203" s="118">
        <v>0</v>
      </c>
      <c r="AO203" s="118">
        <v>0</v>
      </c>
      <c r="AP203" s="118">
        <v>0</v>
      </c>
      <c r="AQ203" s="118">
        <v>0</v>
      </c>
      <c r="AR203" s="118">
        <v>0</v>
      </c>
      <c r="AS203" s="118">
        <v>0</v>
      </c>
      <c r="AT203" s="118">
        <v>0</v>
      </c>
      <c r="AU203" s="118">
        <f t="shared" si="18"/>
        <v>0</v>
      </c>
    </row>
    <row r="204" spans="1:50">
      <c r="A204" s="114">
        <v>14</v>
      </c>
      <c r="B204" s="116">
        <v>45950</v>
      </c>
      <c r="G204" s="115" t="s">
        <v>247</v>
      </c>
      <c r="H204" s="115">
        <v>6</v>
      </c>
      <c r="I204" s="117" t="str">
        <f t="shared" si="17"/>
        <v>NHGRI_6</v>
      </c>
      <c r="J204" s="123" t="s">
        <v>785</v>
      </c>
      <c r="K204" s="127">
        <v>14</v>
      </c>
      <c r="L204" s="123" t="str">
        <f t="shared" si="16"/>
        <v>NHGRI_6_14</v>
      </c>
      <c r="M204" s="123" t="s">
        <v>1004</v>
      </c>
      <c r="N204" s="115" t="s">
        <v>86</v>
      </c>
      <c r="O204" s="115" t="s">
        <v>233</v>
      </c>
      <c r="P204" s="115">
        <v>100</v>
      </c>
      <c r="Q204" s="115">
        <v>500</v>
      </c>
      <c r="S204" s="115">
        <v>8</v>
      </c>
      <c r="T204" s="115">
        <v>3</v>
      </c>
      <c r="U204" s="115">
        <v>12.1</v>
      </c>
      <c r="V204" s="115">
        <v>12.25</v>
      </c>
      <c r="W204" s="118">
        <v>3</v>
      </c>
      <c r="X204" s="118">
        <v>12.4</v>
      </c>
      <c r="Y204" s="118">
        <v>1</v>
      </c>
      <c r="Z204" s="118">
        <v>1</v>
      </c>
      <c r="AA204" s="118">
        <v>1</v>
      </c>
      <c r="AB204" s="118">
        <v>1</v>
      </c>
      <c r="AC204" s="118">
        <v>1</v>
      </c>
      <c r="AD204" s="118">
        <v>1</v>
      </c>
      <c r="AE204" s="118">
        <v>1</v>
      </c>
      <c r="AF204" s="118">
        <v>1</v>
      </c>
      <c r="AG204" s="118">
        <v>1</v>
      </c>
      <c r="AH204" s="118">
        <v>1</v>
      </c>
      <c r="AI204" s="118">
        <v>1</v>
      </c>
      <c r="AJ204" s="118">
        <v>1</v>
      </c>
      <c r="AK204" s="118">
        <v>1</v>
      </c>
      <c r="AL204" s="118">
        <v>1</v>
      </c>
      <c r="AM204" s="118">
        <v>0</v>
      </c>
      <c r="AN204" s="118">
        <v>0</v>
      </c>
      <c r="AO204" s="118">
        <v>0</v>
      </c>
      <c r="AP204" s="118">
        <v>0</v>
      </c>
      <c r="AQ204" s="118">
        <v>0</v>
      </c>
      <c r="AR204" s="118">
        <v>0</v>
      </c>
      <c r="AS204" s="118">
        <v>0</v>
      </c>
      <c r="AT204" s="118">
        <v>0</v>
      </c>
      <c r="AU204" s="118">
        <f t="shared" si="18"/>
        <v>0</v>
      </c>
    </row>
    <row r="205" spans="1:50">
      <c r="A205" s="114">
        <v>14</v>
      </c>
      <c r="B205" s="116">
        <v>45950</v>
      </c>
      <c r="G205" s="115" t="s">
        <v>247</v>
      </c>
      <c r="H205" s="115">
        <v>6</v>
      </c>
      <c r="I205" s="117" t="str">
        <f t="shared" si="17"/>
        <v>NHGRI_6</v>
      </c>
      <c r="J205" s="117" t="s">
        <v>785</v>
      </c>
      <c r="K205" s="127">
        <v>15</v>
      </c>
      <c r="L205" s="123" t="str">
        <f t="shared" si="16"/>
        <v>NHGRI_6_15</v>
      </c>
      <c r="M205" s="117" t="s">
        <v>1005</v>
      </c>
      <c r="N205" s="115" t="s">
        <v>86</v>
      </c>
      <c r="O205" s="115" t="s">
        <v>233</v>
      </c>
      <c r="P205" s="115">
        <v>100</v>
      </c>
      <c r="Q205" s="115">
        <v>500</v>
      </c>
      <c r="S205" s="115">
        <v>9</v>
      </c>
      <c r="T205" s="115">
        <v>2</v>
      </c>
      <c r="U205" s="115">
        <v>12.32</v>
      </c>
      <c r="V205" s="115">
        <v>12.38</v>
      </c>
      <c r="W205" s="118">
        <v>2</v>
      </c>
      <c r="X205" s="118">
        <v>12.53</v>
      </c>
      <c r="Y205" s="118">
        <v>1</v>
      </c>
      <c r="Z205" s="118">
        <v>1</v>
      </c>
      <c r="AA205" s="118">
        <v>1</v>
      </c>
      <c r="AB205" s="118">
        <v>1</v>
      </c>
      <c r="AC205" s="118">
        <v>1</v>
      </c>
      <c r="AD205" s="118">
        <v>1</v>
      </c>
      <c r="AE205" s="118">
        <v>1</v>
      </c>
      <c r="AF205" s="118">
        <v>1</v>
      </c>
      <c r="AG205" s="118">
        <v>1</v>
      </c>
      <c r="AH205" s="118">
        <v>1</v>
      </c>
      <c r="AI205" s="118">
        <v>1</v>
      </c>
      <c r="AJ205" s="118">
        <v>1</v>
      </c>
      <c r="AK205" s="118">
        <v>1</v>
      </c>
      <c r="AL205" s="118">
        <v>1</v>
      </c>
      <c r="AM205" s="118">
        <v>1</v>
      </c>
      <c r="AN205" s="118">
        <v>1</v>
      </c>
      <c r="AO205" s="118">
        <v>1</v>
      </c>
      <c r="AP205" s="118">
        <v>1</v>
      </c>
      <c r="AQ205" s="118">
        <v>1</v>
      </c>
      <c r="AR205" s="118">
        <v>1</v>
      </c>
      <c r="AS205" s="118">
        <v>0</v>
      </c>
      <c r="AT205" s="118">
        <v>0</v>
      </c>
      <c r="AU205" s="118">
        <f t="shared" si="18"/>
        <v>0</v>
      </c>
      <c r="AW205" s="115" t="s">
        <v>249</v>
      </c>
    </row>
    <row r="206" spans="1:50">
      <c r="A206" s="114">
        <v>14</v>
      </c>
      <c r="B206" s="116">
        <v>45950</v>
      </c>
      <c r="H206" s="115">
        <v>6</v>
      </c>
      <c r="I206" s="117" t="str">
        <f t="shared" si="17"/>
        <v>NHGRI_6</v>
      </c>
      <c r="J206" s="117" t="s">
        <v>785</v>
      </c>
      <c r="K206" s="127">
        <v>16</v>
      </c>
      <c r="L206" s="123" t="str">
        <f t="shared" si="16"/>
        <v>NHGRI_6_16</v>
      </c>
      <c r="M206" s="117" t="s">
        <v>1006</v>
      </c>
      <c r="N206" s="115" t="s">
        <v>86</v>
      </c>
      <c r="O206" s="115" t="s">
        <v>233</v>
      </c>
      <c r="P206" s="115">
        <v>100</v>
      </c>
      <c r="Q206" s="115">
        <v>500</v>
      </c>
      <c r="S206" s="115" t="s">
        <v>115</v>
      </c>
      <c r="T206" s="115">
        <v>5</v>
      </c>
      <c r="U206" s="115" t="s">
        <v>117</v>
      </c>
      <c r="V206" s="115" t="s">
        <v>117</v>
      </c>
      <c r="W206" s="118">
        <v>5</v>
      </c>
      <c r="X206" s="118">
        <v>10.46</v>
      </c>
      <c r="Y206" s="118">
        <v>2</v>
      </c>
      <c r="Z206" s="118">
        <v>2</v>
      </c>
      <c r="AA206" s="118">
        <v>2</v>
      </c>
      <c r="AB206" s="118">
        <v>2</v>
      </c>
      <c r="AC206" s="118">
        <v>2</v>
      </c>
      <c r="AD206" s="118">
        <v>2</v>
      </c>
      <c r="AE206" s="118">
        <v>2</v>
      </c>
      <c r="AF206" s="118">
        <v>2</v>
      </c>
      <c r="AG206" s="118">
        <v>2</v>
      </c>
      <c r="AH206" s="118">
        <v>2</v>
      </c>
      <c r="AI206" s="118">
        <v>2</v>
      </c>
      <c r="AJ206" s="118">
        <v>2</v>
      </c>
      <c r="AK206" s="118">
        <v>2</v>
      </c>
      <c r="AL206" s="118">
        <v>1</v>
      </c>
      <c r="AM206" s="118">
        <v>1</v>
      </c>
      <c r="AN206" s="118">
        <v>1</v>
      </c>
      <c r="AO206" s="118">
        <v>1</v>
      </c>
      <c r="AP206" s="118">
        <v>1</v>
      </c>
      <c r="AQ206" s="118">
        <v>1</v>
      </c>
      <c r="AR206" s="118">
        <v>1</v>
      </c>
      <c r="AS206" s="118">
        <v>1</v>
      </c>
      <c r="AT206" s="118">
        <v>1</v>
      </c>
      <c r="AU206" s="118">
        <f t="shared" si="18"/>
        <v>1</v>
      </c>
      <c r="AV206" s="115" t="s">
        <v>244</v>
      </c>
      <c r="AW206" s="115" t="s">
        <v>250</v>
      </c>
    </row>
    <row r="207" spans="1:50">
      <c r="A207" s="114">
        <v>14</v>
      </c>
      <c r="B207" s="116">
        <v>45950</v>
      </c>
      <c r="H207" s="115">
        <v>6</v>
      </c>
      <c r="I207" s="117" t="str">
        <f t="shared" si="17"/>
        <v>NHGRI_6</v>
      </c>
      <c r="J207" s="123" t="s">
        <v>785</v>
      </c>
      <c r="K207" s="127">
        <v>17</v>
      </c>
      <c r="L207" s="123" t="str">
        <f t="shared" si="16"/>
        <v>NHGRI_6_17</v>
      </c>
      <c r="M207" s="123" t="s">
        <v>1007</v>
      </c>
      <c r="N207" s="115" t="s">
        <v>86</v>
      </c>
      <c r="O207" s="115" t="s">
        <v>233</v>
      </c>
      <c r="P207" s="115">
        <v>100</v>
      </c>
      <c r="Q207" s="115">
        <v>500</v>
      </c>
      <c r="S207" s="115" t="s">
        <v>118</v>
      </c>
      <c r="T207" s="115">
        <v>4</v>
      </c>
      <c r="U207" s="115" t="s">
        <v>117</v>
      </c>
      <c r="V207" s="115" t="s">
        <v>117</v>
      </c>
      <c r="W207" s="118">
        <v>4</v>
      </c>
      <c r="X207" s="118">
        <v>11.13</v>
      </c>
      <c r="Y207" s="118">
        <v>2</v>
      </c>
      <c r="Z207" s="118">
        <v>2</v>
      </c>
      <c r="AA207" s="118">
        <v>2</v>
      </c>
      <c r="AB207" s="118">
        <v>2</v>
      </c>
      <c r="AC207" s="118">
        <v>2</v>
      </c>
      <c r="AD207" s="118">
        <v>2</v>
      </c>
      <c r="AE207" s="118">
        <v>2</v>
      </c>
      <c r="AF207" s="118">
        <v>2</v>
      </c>
      <c r="AG207" s="118">
        <v>2</v>
      </c>
      <c r="AH207" s="118">
        <v>2</v>
      </c>
      <c r="AI207" s="118">
        <v>2</v>
      </c>
      <c r="AJ207" s="118">
        <v>2</v>
      </c>
      <c r="AK207" s="118">
        <v>2</v>
      </c>
      <c r="AL207" s="118">
        <v>2</v>
      </c>
      <c r="AM207" s="118">
        <v>2</v>
      </c>
      <c r="AN207" s="118">
        <v>2</v>
      </c>
      <c r="AO207" s="118">
        <v>2</v>
      </c>
      <c r="AP207" s="118">
        <v>1</v>
      </c>
      <c r="AQ207" s="118">
        <v>1</v>
      </c>
      <c r="AR207" s="118">
        <v>0</v>
      </c>
      <c r="AS207" s="118">
        <v>0</v>
      </c>
      <c r="AT207" s="118">
        <v>0</v>
      </c>
      <c r="AU207" s="118">
        <f t="shared" si="18"/>
        <v>0</v>
      </c>
    </row>
    <row r="208" spans="1:50">
      <c r="A208" s="114">
        <v>14</v>
      </c>
      <c r="B208" s="116">
        <v>45950</v>
      </c>
      <c r="H208" s="115">
        <v>6</v>
      </c>
      <c r="I208" s="117" t="str">
        <f t="shared" si="17"/>
        <v>NHGRI_6</v>
      </c>
      <c r="J208" s="123" t="s">
        <v>785</v>
      </c>
      <c r="K208" s="127">
        <v>18</v>
      </c>
      <c r="L208" s="123" t="str">
        <f t="shared" si="16"/>
        <v>NHGRI_6_18</v>
      </c>
      <c r="M208" s="123" t="s">
        <v>1008</v>
      </c>
      <c r="N208" s="115" t="s">
        <v>86</v>
      </c>
      <c r="O208" s="115" t="s">
        <v>233</v>
      </c>
      <c r="P208" s="115">
        <v>100</v>
      </c>
      <c r="Q208" s="115">
        <v>500</v>
      </c>
      <c r="S208" s="115" t="s">
        <v>119</v>
      </c>
      <c r="T208" s="115">
        <v>5</v>
      </c>
      <c r="U208" s="115" t="s">
        <v>117</v>
      </c>
      <c r="V208" s="115" t="s">
        <v>117</v>
      </c>
      <c r="W208" s="118">
        <v>5</v>
      </c>
      <c r="X208" s="118">
        <v>11.34</v>
      </c>
      <c r="Y208" s="118">
        <v>1</v>
      </c>
      <c r="Z208" s="118">
        <v>1</v>
      </c>
      <c r="AA208" s="118">
        <v>1</v>
      </c>
      <c r="AB208" s="118">
        <v>1</v>
      </c>
      <c r="AC208" s="118">
        <v>1</v>
      </c>
      <c r="AD208" s="118">
        <v>1</v>
      </c>
      <c r="AE208" s="118">
        <v>1</v>
      </c>
      <c r="AF208" s="118">
        <v>1</v>
      </c>
      <c r="AG208" s="118">
        <v>1</v>
      </c>
      <c r="AH208" s="118">
        <v>1</v>
      </c>
      <c r="AI208" s="118">
        <v>1</v>
      </c>
      <c r="AJ208" s="118">
        <v>1</v>
      </c>
      <c r="AK208" s="118">
        <v>1</v>
      </c>
      <c r="AL208" s="118">
        <v>0</v>
      </c>
      <c r="AM208" s="118">
        <v>0</v>
      </c>
      <c r="AN208" s="118">
        <v>0</v>
      </c>
      <c r="AO208" s="118">
        <v>0</v>
      </c>
      <c r="AP208" s="118">
        <v>0</v>
      </c>
      <c r="AQ208" s="118">
        <v>0</v>
      </c>
      <c r="AR208" s="118">
        <v>0</v>
      </c>
      <c r="AS208" s="118">
        <v>0</v>
      </c>
      <c r="AT208" s="118">
        <v>0</v>
      </c>
      <c r="AU208" s="118">
        <f t="shared" si="18"/>
        <v>0</v>
      </c>
    </row>
    <row r="209" spans="1:50">
      <c r="A209" s="114">
        <v>14</v>
      </c>
      <c r="B209" s="116">
        <v>45950</v>
      </c>
      <c r="H209" s="115">
        <v>6</v>
      </c>
      <c r="I209" s="117" t="str">
        <f t="shared" si="17"/>
        <v>NHGRI_6</v>
      </c>
      <c r="J209" s="123" t="s">
        <v>785</v>
      </c>
      <c r="K209" s="127">
        <v>19</v>
      </c>
      <c r="L209" s="123" t="str">
        <f t="shared" si="16"/>
        <v>NHGRI_6_19</v>
      </c>
      <c r="M209" s="123" t="s">
        <v>1009</v>
      </c>
      <c r="N209" s="115" t="s">
        <v>86</v>
      </c>
      <c r="O209" s="115" t="s">
        <v>233</v>
      </c>
      <c r="P209" s="115">
        <v>100</v>
      </c>
      <c r="Q209" s="115">
        <v>500</v>
      </c>
      <c r="S209" s="115" t="s">
        <v>120</v>
      </c>
      <c r="T209" s="115">
        <v>5</v>
      </c>
      <c r="U209" s="115" t="s">
        <v>117</v>
      </c>
      <c r="V209" s="115" t="s">
        <v>117</v>
      </c>
      <c r="W209" s="118">
        <v>5</v>
      </c>
      <c r="X209" s="118">
        <v>11.57</v>
      </c>
      <c r="Y209" s="118">
        <v>0</v>
      </c>
      <c r="Z209" s="118">
        <v>0</v>
      </c>
      <c r="AA209" s="118">
        <v>0</v>
      </c>
      <c r="AB209" s="118">
        <v>0</v>
      </c>
      <c r="AC209" s="118">
        <v>0</v>
      </c>
      <c r="AD209" s="118">
        <v>0</v>
      </c>
      <c r="AE209" s="118">
        <v>0</v>
      </c>
      <c r="AF209" s="118">
        <v>0</v>
      </c>
      <c r="AG209" s="118">
        <v>0</v>
      </c>
      <c r="AH209" s="118">
        <v>0</v>
      </c>
      <c r="AI209" s="118">
        <v>0</v>
      </c>
      <c r="AJ209" s="118">
        <v>0</v>
      </c>
      <c r="AK209" s="118">
        <v>0</v>
      </c>
      <c r="AL209" s="118">
        <v>0</v>
      </c>
      <c r="AM209" s="118">
        <v>0</v>
      </c>
      <c r="AN209" s="118">
        <v>0</v>
      </c>
      <c r="AO209" s="118">
        <v>0</v>
      </c>
      <c r="AP209" s="118">
        <v>0</v>
      </c>
      <c r="AQ209" s="118">
        <v>0</v>
      </c>
      <c r="AR209" s="118">
        <v>0</v>
      </c>
      <c r="AS209" s="118">
        <v>0</v>
      </c>
      <c r="AT209" s="118">
        <v>0</v>
      </c>
      <c r="AU209" s="118">
        <f t="shared" si="18"/>
        <v>0</v>
      </c>
    </row>
    <row r="210" spans="1:50">
      <c r="A210" s="114">
        <v>14</v>
      </c>
      <c r="B210" s="116">
        <v>45950</v>
      </c>
      <c r="H210" s="115">
        <v>6</v>
      </c>
      <c r="I210" s="117" t="str">
        <f t="shared" si="17"/>
        <v>NHGRI_6</v>
      </c>
      <c r="J210" s="123" t="s">
        <v>785</v>
      </c>
      <c r="K210" s="127">
        <v>20</v>
      </c>
      <c r="L210" s="123" t="str">
        <f t="shared" si="16"/>
        <v>NHGRI_6_20</v>
      </c>
      <c r="M210" s="123" t="s">
        <v>1010</v>
      </c>
      <c r="N210" s="115" t="s">
        <v>86</v>
      </c>
      <c r="O210" s="115" t="s">
        <v>233</v>
      </c>
      <c r="P210" s="115">
        <v>100</v>
      </c>
      <c r="Q210" s="115">
        <v>500</v>
      </c>
      <c r="S210" s="115" t="s">
        <v>121</v>
      </c>
      <c r="T210" s="115">
        <v>3</v>
      </c>
      <c r="U210" s="115" t="s">
        <v>117</v>
      </c>
      <c r="V210" s="115" t="s">
        <v>117</v>
      </c>
      <c r="W210" s="118">
        <v>3</v>
      </c>
      <c r="X210" s="118">
        <v>12.19</v>
      </c>
      <c r="Y210" s="118">
        <v>1</v>
      </c>
      <c r="Z210" s="118">
        <v>1</v>
      </c>
      <c r="AA210" s="118">
        <v>1</v>
      </c>
      <c r="AB210" s="118">
        <v>1</v>
      </c>
      <c r="AC210" s="118">
        <v>1</v>
      </c>
      <c r="AD210" s="118">
        <v>1</v>
      </c>
      <c r="AE210" s="118">
        <v>1</v>
      </c>
      <c r="AF210" s="118">
        <v>1</v>
      </c>
      <c r="AG210" s="118">
        <v>1</v>
      </c>
      <c r="AH210" s="118">
        <v>1</v>
      </c>
      <c r="AI210" s="118">
        <v>1</v>
      </c>
      <c r="AJ210" s="118">
        <v>1</v>
      </c>
      <c r="AK210" s="118">
        <v>1</v>
      </c>
      <c r="AL210" s="118">
        <v>0</v>
      </c>
      <c r="AM210" s="118">
        <v>0</v>
      </c>
      <c r="AN210" s="118">
        <v>0</v>
      </c>
      <c r="AO210" s="118">
        <v>0</v>
      </c>
      <c r="AP210" s="118">
        <v>0</v>
      </c>
      <c r="AQ210" s="118">
        <v>0</v>
      </c>
      <c r="AR210" s="118">
        <v>0</v>
      </c>
      <c r="AS210" s="118">
        <v>0</v>
      </c>
      <c r="AT210" s="118">
        <v>0</v>
      </c>
      <c r="AU210" s="118">
        <f t="shared" si="18"/>
        <v>0</v>
      </c>
    </row>
    <row r="211" spans="1:50">
      <c r="A211" s="114">
        <v>14</v>
      </c>
      <c r="B211" s="116">
        <v>45950</v>
      </c>
      <c r="H211" s="115">
        <v>6</v>
      </c>
      <c r="I211" s="117" t="str">
        <f t="shared" si="17"/>
        <v>NHGRI_6</v>
      </c>
      <c r="J211" s="123" t="s">
        <v>785</v>
      </c>
      <c r="K211" s="127">
        <v>21</v>
      </c>
      <c r="L211" s="123" t="str">
        <f t="shared" si="16"/>
        <v>NHGRI_6_21</v>
      </c>
      <c r="M211" s="123" t="s">
        <v>1011</v>
      </c>
      <c r="N211" s="115" t="s">
        <v>86</v>
      </c>
      <c r="O211" s="115" t="s">
        <v>233</v>
      </c>
      <c r="P211" s="115">
        <v>100</v>
      </c>
      <c r="Q211" s="115">
        <v>500</v>
      </c>
      <c r="S211" s="115" t="s">
        <v>175</v>
      </c>
      <c r="T211" s="115">
        <v>5</v>
      </c>
      <c r="U211" s="115" t="s">
        <v>117</v>
      </c>
      <c r="V211" s="115" t="s">
        <v>117</v>
      </c>
      <c r="W211" s="118">
        <v>5</v>
      </c>
      <c r="X211" s="118">
        <v>12.38</v>
      </c>
      <c r="Y211" s="118">
        <v>1</v>
      </c>
      <c r="Z211" s="118">
        <v>1</v>
      </c>
      <c r="AA211" s="118">
        <v>1</v>
      </c>
      <c r="AB211" s="118">
        <v>1</v>
      </c>
      <c r="AC211" s="118">
        <v>1</v>
      </c>
      <c r="AD211" s="118">
        <v>1</v>
      </c>
      <c r="AE211" s="118">
        <v>1</v>
      </c>
      <c r="AF211" s="118">
        <v>1</v>
      </c>
      <c r="AG211" s="118">
        <v>1</v>
      </c>
      <c r="AH211" s="118">
        <v>1</v>
      </c>
      <c r="AI211" s="118">
        <v>1</v>
      </c>
      <c r="AJ211" s="118">
        <v>1</v>
      </c>
      <c r="AK211" s="118">
        <v>1</v>
      </c>
      <c r="AL211" s="118">
        <v>0</v>
      </c>
      <c r="AM211" s="118">
        <v>0</v>
      </c>
      <c r="AN211" s="118">
        <v>0</v>
      </c>
      <c r="AO211" s="118">
        <v>0</v>
      </c>
      <c r="AP211" s="118">
        <v>0</v>
      </c>
      <c r="AQ211" s="118">
        <v>0</v>
      </c>
      <c r="AR211" s="118">
        <v>0</v>
      </c>
      <c r="AS211" s="118">
        <v>0</v>
      </c>
      <c r="AT211" s="118">
        <v>0</v>
      </c>
      <c r="AU211" s="118">
        <f t="shared" si="18"/>
        <v>0</v>
      </c>
    </row>
    <row r="212" spans="1:50">
      <c r="A212" s="114">
        <v>14</v>
      </c>
      <c r="B212" s="116">
        <v>45950</v>
      </c>
      <c r="H212" s="115">
        <v>6</v>
      </c>
      <c r="I212" s="117" t="str">
        <f t="shared" si="17"/>
        <v>NHGRI_6</v>
      </c>
      <c r="J212" s="123" t="s">
        <v>785</v>
      </c>
      <c r="K212" s="127">
        <v>22</v>
      </c>
      <c r="L212" s="123" t="str">
        <f t="shared" si="16"/>
        <v>NHGRI_6_22</v>
      </c>
      <c r="M212" s="123" t="s">
        <v>1012</v>
      </c>
      <c r="N212" s="115" t="s">
        <v>86</v>
      </c>
      <c r="O212" s="115" t="s">
        <v>233</v>
      </c>
      <c r="P212" s="115">
        <v>100</v>
      </c>
      <c r="Q212" s="115">
        <v>500</v>
      </c>
      <c r="S212" s="115" t="s">
        <v>176</v>
      </c>
      <c r="T212" s="115">
        <v>4</v>
      </c>
      <c r="U212" s="115" t="s">
        <v>117</v>
      </c>
      <c r="V212" s="115" t="s">
        <v>117</v>
      </c>
      <c r="W212" s="118">
        <v>4</v>
      </c>
      <c r="X212" s="118">
        <v>12.54</v>
      </c>
      <c r="Y212" s="118">
        <v>0</v>
      </c>
      <c r="Z212" s="118">
        <v>0</v>
      </c>
      <c r="AA212" s="118">
        <v>0</v>
      </c>
      <c r="AB212" s="118">
        <v>0</v>
      </c>
      <c r="AC212" s="118">
        <v>0</v>
      </c>
      <c r="AD212" s="118">
        <v>0</v>
      </c>
      <c r="AE212" s="118">
        <v>0</v>
      </c>
      <c r="AF212" s="118">
        <v>0</v>
      </c>
      <c r="AG212" s="118">
        <v>0</v>
      </c>
      <c r="AH212" s="118">
        <v>0</v>
      </c>
      <c r="AI212" s="118">
        <v>0</v>
      </c>
      <c r="AJ212" s="118">
        <v>0</v>
      </c>
      <c r="AK212" s="118">
        <v>0</v>
      </c>
      <c r="AL212" s="118">
        <v>0</v>
      </c>
      <c r="AM212" s="118">
        <v>0</v>
      </c>
      <c r="AN212" s="118">
        <v>0</v>
      </c>
      <c r="AO212" s="118">
        <v>0</v>
      </c>
      <c r="AP212" s="118">
        <v>0</v>
      </c>
      <c r="AQ212" s="118">
        <v>0</v>
      </c>
      <c r="AR212" s="118">
        <v>0</v>
      </c>
      <c r="AS212" s="118">
        <v>0</v>
      </c>
      <c r="AT212" s="118">
        <v>0</v>
      </c>
      <c r="AU212" s="118">
        <f t="shared" si="18"/>
        <v>0</v>
      </c>
    </row>
    <row r="213" spans="1:50">
      <c r="A213" s="114">
        <v>15</v>
      </c>
      <c r="B213" s="116">
        <v>45952</v>
      </c>
      <c r="C213" s="115" t="s">
        <v>251</v>
      </c>
      <c r="D213" s="115" t="s">
        <v>252</v>
      </c>
      <c r="F213" s="115" t="s">
        <v>231</v>
      </c>
      <c r="G213" s="115" t="s">
        <v>253</v>
      </c>
      <c r="H213" s="115">
        <v>5</v>
      </c>
      <c r="I213" s="117" t="str">
        <f t="shared" si="17"/>
        <v>AB_5</v>
      </c>
      <c r="J213" s="125" t="s">
        <v>775</v>
      </c>
      <c r="K213" s="127">
        <v>1</v>
      </c>
      <c r="L213" s="123" t="str">
        <f t="shared" si="16"/>
        <v>AB_5_1</v>
      </c>
      <c r="M213" s="125" t="s">
        <v>1013</v>
      </c>
      <c r="N213" s="115" t="s">
        <v>88</v>
      </c>
      <c r="O213" s="115" t="s">
        <v>254</v>
      </c>
      <c r="P213" s="115">
        <v>100</v>
      </c>
      <c r="Q213" s="115">
        <v>500</v>
      </c>
      <c r="R213" s="115">
        <v>100</v>
      </c>
      <c r="S213" s="115">
        <v>1</v>
      </c>
      <c r="T213" s="115">
        <v>3</v>
      </c>
      <c r="U213" s="115">
        <v>10.25</v>
      </c>
      <c r="V213" s="115">
        <v>10.34</v>
      </c>
      <c r="W213" s="118">
        <v>3</v>
      </c>
      <c r="X213" s="118">
        <v>10.51</v>
      </c>
      <c r="Y213" s="118">
        <v>1</v>
      </c>
      <c r="Z213" s="118">
        <v>1</v>
      </c>
      <c r="AA213" s="118">
        <v>1</v>
      </c>
      <c r="AB213" s="118">
        <v>1</v>
      </c>
      <c r="AC213" s="118">
        <v>1</v>
      </c>
      <c r="AD213" s="118">
        <v>1</v>
      </c>
      <c r="AE213" s="118">
        <v>1</v>
      </c>
      <c r="AF213" s="118">
        <v>1</v>
      </c>
      <c r="AG213" s="118">
        <v>1</v>
      </c>
      <c r="AH213" s="118">
        <v>1</v>
      </c>
      <c r="AI213" s="118">
        <v>1</v>
      </c>
      <c r="AJ213" s="118">
        <v>1</v>
      </c>
      <c r="AK213" s="118">
        <v>1</v>
      </c>
      <c r="AL213" s="118">
        <v>1</v>
      </c>
      <c r="AM213" s="118">
        <v>1</v>
      </c>
      <c r="AN213" s="118">
        <v>1</v>
      </c>
      <c r="AO213" s="118">
        <v>1</v>
      </c>
      <c r="AP213" s="118">
        <v>1</v>
      </c>
      <c r="AQ213" s="118">
        <v>1</v>
      </c>
      <c r="AR213" s="118">
        <v>1</v>
      </c>
      <c r="AS213" s="118">
        <v>1</v>
      </c>
      <c r="AT213" s="118">
        <v>1</v>
      </c>
      <c r="AU213" s="118">
        <f t="shared" si="18"/>
        <v>1</v>
      </c>
      <c r="AV213" s="115" t="s">
        <v>244</v>
      </c>
      <c r="AW213" s="115" t="s">
        <v>255</v>
      </c>
      <c r="AX213" s="114" t="s">
        <v>67</v>
      </c>
    </row>
    <row r="214" spans="1:50">
      <c r="A214" s="114">
        <v>15</v>
      </c>
      <c r="B214" s="116">
        <v>45952</v>
      </c>
      <c r="D214" s="115" t="s">
        <v>256</v>
      </c>
      <c r="G214" s="115" t="s">
        <v>253</v>
      </c>
      <c r="H214" s="115">
        <v>5</v>
      </c>
      <c r="I214" s="117" t="str">
        <f t="shared" si="17"/>
        <v>AB_5</v>
      </c>
      <c r="J214" s="125" t="s">
        <v>775</v>
      </c>
      <c r="K214" s="127">
        <v>2</v>
      </c>
      <c r="L214" s="123" t="str">
        <f t="shared" si="16"/>
        <v>AB_5_2</v>
      </c>
      <c r="M214" s="125" t="s">
        <v>1014</v>
      </c>
      <c r="N214" s="115" t="s">
        <v>88</v>
      </c>
      <c r="O214" s="115" t="s">
        <v>254</v>
      </c>
      <c r="P214" s="115">
        <v>100</v>
      </c>
      <c r="Q214" s="115">
        <v>500</v>
      </c>
      <c r="R214" s="115">
        <v>100</v>
      </c>
      <c r="S214" s="115">
        <v>2</v>
      </c>
      <c r="T214" s="115">
        <v>3</v>
      </c>
      <c r="U214" s="115">
        <v>10.36</v>
      </c>
      <c r="V214" s="115">
        <v>10.46</v>
      </c>
      <c r="W214" s="118">
        <v>3</v>
      </c>
      <c r="X214" s="118">
        <v>11.03</v>
      </c>
      <c r="Y214" s="118">
        <v>1</v>
      </c>
      <c r="Z214" s="118">
        <v>1</v>
      </c>
      <c r="AA214" s="118">
        <v>1</v>
      </c>
      <c r="AB214" s="118">
        <v>1</v>
      </c>
      <c r="AC214" s="118">
        <v>1</v>
      </c>
      <c r="AD214" s="118">
        <v>1</v>
      </c>
      <c r="AE214" s="118">
        <v>1</v>
      </c>
      <c r="AF214" s="118">
        <v>1</v>
      </c>
      <c r="AG214" s="118">
        <v>1</v>
      </c>
      <c r="AH214" s="118">
        <v>1</v>
      </c>
      <c r="AI214" s="118">
        <v>1</v>
      </c>
      <c r="AJ214" s="118">
        <v>1</v>
      </c>
      <c r="AK214" s="118">
        <v>1</v>
      </c>
      <c r="AL214" s="118">
        <v>1</v>
      </c>
      <c r="AM214" s="118">
        <v>1</v>
      </c>
      <c r="AN214" s="118">
        <v>0</v>
      </c>
      <c r="AO214" s="118">
        <v>0</v>
      </c>
      <c r="AP214" s="118">
        <v>0</v>
      </c>
      <c r="AQ214" s="118">
        <v>0</v>
      </c>
      <c r="AR214" s="118">
        <v>0</v>
      </c>
      <c r="AS214" s="118">
        <v>0</v>
      </c>
      <c r="AT214" s="118">
        <v>0</v>
      </c>
      <c r="AU214" s="118">
        <f t="shared" si="18"/>
        <v>0</v>
      </c>
    </row>
    <row r="215" spans="1:50">
      <c r="A215" s="114">
        <v>15</v>
      </c>
      <c r="B215" s="116">
        <v>45952</v>
      </c>
      <c r="G215" s="115" t="s">
        <v>253</v>
      </c>
      <c r="H215" s="115">
        <v>5</v>
      </c>
      <c r="I215" s="117" t="str">
        <f t="shared" si="17"/>
        <v>AB_5</v>
      </c>
      <c r="J215" s="125" t="s">
        <v>775</v>
      </c>
      <c r="K215" s="127">
        <v>3</v>
      </c>
      <c r="L215" s="123" t="str">
        <f t="shared" si="16"/>
        <v>AB_5_3</v>
      </c>
      <c r="M215" s="125" t="s">
        <v>1015</v>
      </c>
      <c r="N215" s="115" t="s">
        <v>88</v>
      </c>
      <c r="O215" s="115" t="s">
        <v>254</v>
      </c>
      <c r="P215" s="115">
        <v>100</v>
      </c>
      <c r="Q215" s="115">
        <v>500</v>
      </c>
      <c r="R215" s="115">
        <v>80</v>
      </c>
      <c r="S215" s="115">
        <v>3</v>
      </c>
      <c r="T215" s="115">
        <v>3</v>
      </c>
      <c r="U215" s="115">
        <v>10.5</v>
      </c>
      <c r="V215" s="115">
        <v>10.59</v>
      </c>
      <c r="W215" s="118">
        <v>3</v>
      </c>
      <c r="X215" s="118">
        <v>11.17</v>
      </c>
      <c r="Y215" s="118">
        <v>0</v>
      </c>
      <c r="Z215" s="118">
        <v>0</v>
      </c>
      <c r="AA215" s="118">
        <v>0</v>
      </c>
      <c r="AB215" s="118">
        <v>0</v>
      </c>
      <c r="AC215" s="118">
        <v>0</v>
      </c>
      <c r="AD215" s="118">
        <v>0</v>
      </c>
      <c r="AE215" s="118">
        <v>0</v>
      </c>
      <c r="AF215" s="118">
        <v>0</v>
      </c>
      <c r="AG215" s="118">
        <v>0</v>
      </c>
      <c r="AH215" s="118">
        <v>0</v>
      </c>
      <c r="AI215" s="118">
        <v>0</v>
      </c>
      <c r="AJ215" s="118">
        <v>0</v>
      </c>
      <c r="AK215" s="118">
        <v>0</v>
      </c>
      <c r="AL215" s="118">
        <v>0</v>
      </c>
      <c r="AM215" s="118">
        <v>0</v>
      </c>
      <c r="AN215" s="118">
        <v>0</v>
      </c>
      <c r="AO215" s="118">
        <v>0</v>
      </c>
      <c r="AP215" s="118">
        <v>0</v>
      </c>
      <c r="AQ215" s="118">
        <v>0</v>
      </c>
      <c r="AR215" s="118">
        <v>0</v>
      </c>
      <c r="AS215" s="118">
        <v>0</v>
      </c>
      <c r="AT215" s="118">
        <v>0</v>
      </c>
      <c r="AU215" s="118">
        <f t="shared" si="18"/>
        <v>0</v>
      </c>
    </row>
    <row r="216" spans="1:50">
      <c r="A216" s="114">
        <v>15</v>
      </c>
      <c r="B216" s="116">
        <v>45952</v>
      </c>
      <c r="G216" s="115" t="s">
        <v>253</v>
      </c>
      <c r="H216" s="115">
        <v>5</v>
      </c>
      <c r="I216" s="117" t="str">
        <f t="shared" si="17"/>
        <v>AB_5</v>
      </c>
      <c r="J216" s="125" t="s">
        <v>775</v>
      </c>
      <c r="K216" s="127">
        <v>4</v>
      </c>
      <c r="L216" s="123" t="str">
        <f t="shared" ref="L216:L279" si="19">_xlfn.CONCAT(J216 &amp; "_" &amp; K216)</f>
        <v>AB_5_4</v>
      </c>
      <c r="M216" s="125" t="s">
        <v>1016</v>
      </c>
      <c r="N216" s="115" t="s">
        <v>88</v>
      </c>
      <c r="O216" s="115" t="s">
        <v>254</v>
      </c>
      <c r="P216" s="115">
        <v>100</v>
      </c>
      <c r="Q216" s="115">
        <v>500</v>
      </c>
      <c r="R216" s="115">
        <v>80</v>
      </c>
      <c r="S216" s="115">
        <v>4</v>
      </c>
      <c r="T216" s="115">
        <v>3</v>
      </c>
      <c r="U216" s="115">
        <v>11.08</v>
      </c>
      <c r="V216" s="115">
        <v>11.19</v>
      </c>
      <c r="W216" s="118">
        <v>3</v>
      </c>
      <c r="X216" s="118">
        <v>11.34</v>
      </c>
      <c r="Y216" s="118">
        <v>1</v>
      </c>
      <c r="Z216" s="118">
        <v>1</v>
      </c>
      <c r="AA216" s="118">
        <v>1</v>
      </c>
      <c r="AB216" s="118">
        <v>1</v>
      </c>
      <c r="AC216" s="118">
        <v>1</v>
      </c>
      <c r="AD216" s="118">
        <v>1</v>
      </c>
      <c r="AE216" s="118">
        <v>1</v>
      </c>
      <c r="AF216" s="118">
        <v>1</v>
      </c>
      <c r="AG216" s="118">
        <v>1</v>
      </c>
      <c r="AH216" s="118">
        <v>1</v>
      </c>
      <c r="AI216" s="118">
        <v>1</v>
      </c>
      <c r="AJ216" s="118">
        <v>1</v>
      </c>
      <c r="AK216" s="118">
        <v>1</v>
      </c>
      <c r="AL216" s="118">
        <v>0</v>
      </c>
      <c r="AM216" s="118">
        <v>0</v>
      </c>
      <c r="AN216" s="118">
        <v>0</v>
      </c>
      <c r="AO216" s="118">
        <v>0</v>
      </c>
      <c r="AP216" s="118">
        <v>0</v>
      </c>
      <c r="AQ216" s="118">
        <v>0</v>
      </c>
      <c r="AR216" s="118">
        <v>0</v>
      </c>
      <c r="AS216" s="118">
        <v>0</v>
      </c>
      <c r="AT216" s="118">
        <v>0</v>
      </c>
      <c r="AU216" s="118">
        <f t="shared" si="18"/>
        <v>0</v>
      </c>
    </row>
    <row r="217" spans="1:50">
      <c r="A217" s="114">
        <v>15</v>
      </c>
      <c r="B217" s="116">
        <v>45952</v>
      </c>
      <c r="G217" s="115" t="s">
        <v>253</v>
      </c>
      <c r="H217" s="115">
        <v>5</v>
      </c>
      <c r="I217" s="117" t="str">
        <f t="shared" si="17"/>
        <v>AB_5</v>
      </c>
      <c r="J217" s="125" t="s">
        <v>775</v>
      </c>
      <c r="K217" s="127">
        <v>5</v>
      </c>
      <c r="L217" s="123" t="str">
        <f t="shared" si="19"/>
        <v>AB_5_5</v>
      </c>
      <c r="M217" s="125" t="s">
        <v>1017</v>
      </c>
      <c r="N217" s="115" t="s">
        <v>88</v>
      </c>
      <c r="O217" s="115" t="s">
        <v>254</v>
      </c>
      <c r="P217" s="115">
        <v>100</v>
      </c>
      <c r="Q217" s="115">
        <v>500</v>
      </c>
      <c r="R217" s="115">
        <v>80</v>
      </c>
      <c r="S217" s="115">
        <v>5</v>
      </c>
      <c r="T217" s="115">
        <v>1</v>
      </c>
      <c r="U217" s="115">
        <v>11.22</v>
      </c>
      <c r="V217" s="115">
        <v>11.25</v>
      </c>
      <c r="W217" s="118">
        <v>1</v>
      </c>
      <c r="X217" s="118">
        <v>11.4</v>
      </c>
      <c r="Y217" s="118">
        <v>0</v>
      </c>
      <c r="Z217" s="118">
        <v>0</v>
      </c>
      <c r="AA217" s="118">
        <v>0</v>
      </c>
      <c r="AB217" s="118">
        <v>0</v>
      </c>
      <c r="AC217" s="118">
        <v>0</v>
      </c>
      <c r="AD217" s="118">
        <v>0</v>
      </c>
      <c r="AE217" s="118">
        <v>0</v>
      </c>
      <c r="AF217" s="118">
        <v>0</v>
      </c>
      <c r="AG217" s="118">
        <v>0</v>
      </c>
      <c r="AH217" s="118">
        <v>0</v>
      </c>
      <c r="AI217" s="118">
        <v>0</v>
      </c>
      <c r="AJ217" s="118">
        <v>0</v>
      </c>
      <c r="AK217" s="118">
        <v>0</v>
      </c>
      <c r="AL217" s="118">
        <v>0</v>
      </c>
      <c r="AM217" s="118">
        <v>0</v>
      </c>
      <c r="AN217" s="118">
        <v>0</v>
      </c>
      <c r="AO217" s="118">
        <v>0</v>
      </c>
      <c r="AP217" s="118">
        <v>0</v>
      </c>
      <c r="AQ217" s="118">
        <v>0</v>
      </c>
      <c r="AR217" s="118">
        <v>0</v>
      </c>
      <c r="AS217" s="118">
        <v>0</v>
      </c>
      <c r="AT217" s="118">
        <v>0</v>
      </c>
      <c r="AU217" s="118">
        <f t="shared" si="18"/>
        <v>0</v>
      </c>
    </row>
    <row r="218" spans="1:50">
      <c r="A218" s="114">
        <v>15</v>
      </c>
      <c r="B218" s="116">
        <v>45952</v>
      </c>
      <c r="G218" s="115" t="s">
        <v>253</v>
      </c>
      <c r="H218" s="115">
        <v>5</v>
      </c>
      <c r="I218" s="117" t="str">
        <f t="shared" si="17"/>
        <v>AB_5</v>
      </c>
      <c r="J218" s="125" t="s">
        <v>775</v>
      </c>
      <c r="K218" s="127">
        <v>6</v>
      </c>
      <c r="L218" s="123" t="str">
        <f t="shared" si="19"/>
        <v>AB_5_6</v>
      </c>
      <c r="M218" s="125" t="s">
        <v>1018</v>
      </c>
      <c r="N218" s="115" t="s">
        <v>88</v>
      </c>
      <c r="O218" s="115" t="s">
        <v>254</v>
      </c>
      <c r="P218" s="115">
        <v>100</v>
      </c>
      <c r="Q218" s="115">
        <v>500</v>
      </c>
      <c r="R218" s="115">
        <v>80</v>
      </c>
      <c r="S218" s="115">
        <v>6</v>
      </c>
      <c r="T218" s="115">
        <v>3</v>
      </c>
      <c r="U218" s="115">
        <v>11.29</v>
      </c>
      <c r="V218" s="115">
        <v>11.4</v>
      </c>
      <c r="W218" s="118">
        <v>3</v>
      </c>
      <c r="X218" s="118">
        <v>11.55</v>
      </c>
      <c r="Y218" s="118">
        <v>0</v>
      </c>
      <c r="Z218" s="118">
        <v>0</v>
      </c>
      <c r="AA218" s="118">
        <v>0</v>
      </c>
      <c r="AB218" s="118">
        <v>0</v>
      </c>
      <c r="AC218" s="118">
        <v>0</v>
      </c>
      <c r="AD218" s="118">
        <v>0</v>
      </c>
      <c r="AE218" s="118">
        <v>0</v>
      </c>
      <c r="AF218" s="118">
        <v>0</v>
      </c>
      <c r="AG218" s="118">
        <v>0</v>
      </c>
      <c r="AH218" s="118">
        <v>0</v>
      </c>
      <c r="AI218" s="118">
        <v>0</v>
      </c>
      <c r="AJ218" s="118">
        <v>0</v>
      </c>
      <c r="AK218" s="118">
        <v>0</v>
      </c>
      <c r="AL218" s="118">
        <v>0</v>
      </c>
      <c r="AM218" s="118">
        <v>0</v>
      </c>
      <c r="AN218" s="118">
        <v>0</v>
      </c>
      <c r="AO218" s="118">
        <v>0</v>
      </c>
      <c r="AP218" s="118">
        <v>0</v>
      </c>
      <c r="AQ218" s="118">
        <v>0</v>
      </c>
      <c r="AR218" s="118">
        <v>0</v>
      </c>
      <c r="AS218" s="118">
        <v>0</v>
      </c>
      <c r="AT218" s="118">
        <v>0</v>
      </c>
      <c r="AU218" s="118">
        <f t="shared" si="18"/>
        <v>0</v>
      </c>
    </row>
    <row r="219" spans="1:50">
      <c r="A219" s="114">
        <v>15</v>
      </c>
      <c r="B219" s="116">
        <v>45952</v>
      </c>
      <c r="G219" s="115" t="s">
        <v>253</v>
      </c>
      <c r="H219" s="115">
        <v>5</v>
      </c>
      <c r="I219" s="117" t="str">
        <f t="shared" si="17"/>
        <v>AB_5</v>
      </c>
      <c r="J219" s="125" t="s">
        <v>775</v>
      </c>
      <c r="K219" s="127">
        <v>7</v>
      </c>
      <c r="L219" s="123" t="str">
        <f t="shared" si="19"/>
        <v>AB_5_7</v>
      </c>
      <c r="M219" s="125" t="s">
        <v>1019</v>
      </c>
      <c r="N219" s="115" t="s">
        <v>88</v>
      </c>
      <c r="O219" s="115" t="s">
        <v>254</v>
      </c>
      <c r="P219" s="115">
        <v>100</v>
      </c>
      <c r="Q219" s="115">
        <v>500</v>
      </c>
      <c r="R219" s="115">
        <v>80</v>
      </c>
      <c r="S219" s="115">
        <v>7</v>
      </c>
      <c r="T219" s="115">
        <v>3</v>
      </c>
      <c r="U219" s="115">
        <v>11.46</v>
      </c>
      <c r="V219" s="115">
        <v>11.56</v>
      </c>
      <c r="W219" s="118">
        <v>3</v>
      </c>
      <c r="X219" s="118">
        <v>12.14</v>
      </c>
      <c r="Y219" s="118">
        <v>0</v>
      </c>
      <c r="Z219" s="118">
        <v>0</v>
      </c>
      <c r="AA219" s="118">
        <v>0</v>
      </c>
      <c r="AB219" s="118">
        <v>0</v>
      </c>
      <c r="AC219" s="118">
        <v>0</v>
      </c>
      <c r="AD219" s="118">
        <v>0</v>
      </c>
      <c r="AE219" s="118">
        <v>0</v>
      </c>
      <c r="AF219" s="118">
        <v>0</v>
      </c>
      <c r="AG219" s="118">
        <v>0</v>
      </c>
      <c r="AH219" s="118">
        <v>0</v>
      </c>
      <c r="AI219" s="118">
        <v>0</v>
      </c>
      <c r="AJ219" s="118">
        <v>0</v>
      </c>
      <c r="AK219" s="118">
        <v>0</v>
      </c>
      <c r="AL219" s="118">
        <v>0</v>
      </c>
      <c r="AM219" s="118">
        <v>0</v>
      </c>
      <c r="AN219" s="118">
        <v>0</v>
      </c>
      <c r="AO219" s="118">
        <v>0</v>
      </c>
      <c r="AP219" s="118">
        <v>0</v>
      </c>
      <c r="AQ219" s="118">
        <v>0</v>
      </c>
      <c r="AR219" s="118">
        <v>0</v>
      </c>
      <c r="AS219" s="118">
        <v>0</v>
      </c>
      <c r="AT219" s="118">
        <v>0</v>
      </c>
      <c r="AU219" s="118">
        <f t="shared" si="18"/>
        <v>0</v>
      </c>
    </row>
    <row r="220" spans="1:50">
      <c r="A220" s="114">
        <v>15</v>
      </c>
      <c r="B220" s="116">
        <v>45952</v>
      </c>
      <c r="G220" s="115" t="s">
        <v>253</v>
      </c>
      <c r="H220" s="115">
        <v>5</v>
      </c>
      <c r="I220" s="117" t="str">
        <f t="shared" si="17"/>
        <v>AB_5</v>
      </c>
      <c r="J220" s="125" t="s">
        <v>775</v>
      </c>
      <c r="K220" s="127">
        <v>8</v>
      </c>
      <c r="L220" s="123" t="str">
        <f t="shared" si="19"/>
        <v>AB_5_8</v>
      </c>
      <c r="M220" s="125" t="s">
        <v>1020</v>
      </c>
      <c r="N220" s="115" t="s">
        <v>88</v>
      </c>
      <c r="O220" s="115" t="s">
        <v>254</v>
      </c>
      <c r="P220" s="115">
        <v>100</v>
      </c>
      <c r="Q220" s="115">
        <v>500</v>
      </c>
      <c r="R220" s="115">
        <v>80</v>
      </c>
      <c r="S220" s="115">
        <v>8</v>
      </c>
      <c r="T220" s="115">
        <v>2</v>
      </c>
      <c r="U220" s="115">
        <v>11.59</v>
      </c>
      <c r="V220" s="115">
        <v>12.08</v>
      </c>
      <c r="W220" s="118">
        <v>2</v>
      </c>
      <c r="X220" s="118">
        <v>12.2</v>
      </c>
      <c r="Y220" s="118">
        <v>0</v>
      </c>
      <c r="Z220" s="118">
        <v>0</v>
      </c>
      <c r="AA220" s="118">
        <v>0</v>
      </c>
      <c r="AB220" s="118">
        <v>0</v>
      </c>
      <c r="AC220" s="118">
        <v>0</v>
      </c>
      <c r="AD220" s="118">
        <v>0</v>
      </c>
      <c r="AE220" s="118">
        <v>0</v>
      </c>
      <c r="AF220" s="118">
        <v>0</v>
      </c>
      <c r="AG220" s="118">
        <v>0</v>
      </c>
      <c r="AH220" s="118">
        <v>0</v>
      </c>
      <c r="AI220" s="118">
        <v>0</v>
      </c>
      <c r="AJ220" s="118">
        <v>0</v>
      </c>
      <c r="AK220" s="118">
        <v>0</v>
      </c>
      <c r="AL220" s="118">
        <v>0</v>
      </c>
      <c r="AM220" s="118">
        <v>0</v>
      </c>
      <c r="AN220" s="118">
        <v>0</v>
      </c>
      <c r="AO220" s="118">
        <v>0</v>
      </c>
      <c r="AP220" s="118">
        <v>0</v>
      </c>
      <c r="AQ220" s="118">
        <v>0</v>
      </c>
      <c r="AR220" s="118">
        <v>0</v>
      </c>
      <c r="AS220" s="118">
        <v>0</v>
      </c>
      <c r="AT220" s="118">
        <v>0</v>
      </c>
      <c r="AU220" s="118">
        <f t="shared" si="18"/>
        <v>0</v>
      </c>
    </row>
    <row r="221" spans="1:50">
      <c r="A221" s="114">
        <v>15</v>
      </c>
      <c r="B221" s="116">
        <v>45952</v>
      </c>
      <c r="G221" s="115" t="s">
        <v>253</v>
      </c>
      <c r="H221" s="115">
        <v>5</v>
      </c>
      <c r="I221" s="117" t="str">
        <f t="shared" si="17"/>
        <v>AB_5</v>
      </c>
      <c r="J221" s="125" t="s">
        <v>775</v>
      </c>
      <c r="K221" s="127">
        <v>9</v>
      </c>
      <c r="L221" s="123" t="str">
        <f t="shared" si="19"/>
        <v>AB_5_9</v>
      </c>
      <c r="M221" s="125" t="s">
        <v>1021</v>
      </c>
      <c r="N221" s="115" t="s">
        <v>88</v>
      </c>
      <c r="O221" s="115" t="s">
        <v>254</v>
      </c>
      <c r="P221" s="115">
        <v>100</v>
      </c>
      <c r="Q221" s="115">
        <v>500</v>
      </c>
      <c r="R221" s="115">
        <v>80</v>
      </c>
      <c r="S221" s="115">
        <v>9</v>
      </c>
      <c r="T221" s="115">
        <v>3</v>
      </c>
      <c r="U221" s="115">
        <v>12.08</v>
      </c>
      <c r="V221" s="115">
        <v>12.19</v>
      </c>
      <c r="W221" s="118">
        <v>3</v>
      </c>
      <c r="X221" s="118">
        <v>12.35</v>
      </c>
      <c r="Y221" s="118">
        <v>0</v>
      </c>
      <c r="Z221" s="118">
        <v>0</v>
      </c>
      <c r="AA221" s="118">
        <v>0</v>
      </c>
      <c r="AB221" s="118">
        <v>0</v>
      </c>
      <c r="AC221" s="118">
        <v>0</v>
      </c>
      <c r="AD221" s="118">
        <v>0</v>
      </c>
      <c r="AE221" s="118">
        <v>0</v>
      </c>
      <c r="AF221" s="118">
        <v>0</v>
      </c>
      <c r="AG221" s="118">
        <v>0</v>
      </c>
      <c r="AH221" s="118">
        <v>0</v>
      </c>
      <c r="AI221" s="118">
        <v>0</v>
      </c>
      <c r="AJ221" s="118">
        <v>0</v>
      </c>
      <c r="AK221" s="118">
        <v>0</v>
      </c>
      <c r="AL221" s="118">
        <v>0</v>
      </c>
      <c r="AM221" s="118">
        <v>0</v>
      </c>
      <c r="AN221" s="118">
        <v>0</v>
      </c>
      <c r="AO221" s="118">
        <v>0</v>
      </c>
      <c r="AP221" s="118">
        <v>0</v>
      </c>
      <c r="AQ221" s="118">
        <v>0</v>
      </c>
      <c r="AR221" s="118">
        <v>0</v>
      </c>
      <c r="AS221" s="118">
        <v>0</v>
      </c>
      <c r="AT221" s="118">
        <v>0</v>
      </c>
      <c r="AU221" s="118">
        <f t="shared" si="18"/>
        <v>0</v>
      </c>
    </row>
    <row r="222" spans="1:50">
      <c r="A222" s="114">
        <v>15</v>
      </c>
      <c r="B222" s="116">
        <v>45952</v>
      </c>
      <c r="G222" s="115" t="s">
        <v>253</v>
      </c>
      <c r="H222" s="115">
        <v>5</v>
      </c>
      <c r="I222" s="117" t="str">
        <f t="shared" si="17"/>
        <v>AB_5</v>
      </c>
      <c r="J222" s="125" t="s">
        <v>775</v>
      </c>
      <c r="K222" s="127">
        <v>10</v>
      </c>
      <c r="L222" s="123" t="str">
        <f t="shared" si="19"/>
        <v>AB_5_10</v>
      </c>
      <c r="M222" s="125" t="s">
        <v>1022</v>
      </c>
      <c r="N222" s="115" t="s">
        <v>88</v>
      </c>
      <c r="O222" s="115" t="s">
        <v>254</v>
      </c>
      <c r="P222" s="115">
        <v>100</v>
      </c>
      <c r="Q222" s="115">
        <v>500</v>
      </c>
      <c r="S222" s="115" t="s">
        <v>257</v>
      </c>
      <c r="T222" s="115">
        <v>4</v>
      </c>
      <c r="U222" s="115" t="s">
        <v>117</v>
      </c>
      <c r="V222" s="115" t="s">
        <v>117</v>
      </c>
      <c r="W222" s="118">
        <v>4</v>
      </c>
      <c r="X222" s="118">
        <v>11.1</v>
      </c>
      <c r="Y222" s="118">
        <v>2</v>
      </c>
      <c r="Z222" s="118">
        <v>2</v>
      </c>
      <c r="AA222" s="118">
        <v>1</v>
      </c>
      <c r="AB222" s="118">
        <v>0</v>
      </c>
      <c r="AC222" s="118">
        <v>0</v>
      </c>
      <c r="AD222" s="118">
        <v>0</v>
      </c>
      <c r="AE222" s="118">
        <v>0</v>
      </c>
      <c r="AF222" s="118">
        <v>0</v>
      </c>
      <c r="AG222" s="118">
        <v>0</v>
      </c>
      <c r="AH222" s="118">
        <v>0</v>
      </c>
      <c r="AI222" s="118">
        <v>0</v>
      </c>
      <c r="AJ222" s="118">
        <v>0</v>
      </c>
      <c r="AK222" s="118">
        <v>0</v>
      </c>
      <c r="AL222" s="118">
        <v>0</v>
      </c>
      <c r="AM222" s="118">
        <v>0</v>
      </c>
      <c r="AN222" s="118">
        <v>0</v>
      </c>
      <c r="AO222" s="118">
        <v>0</v>
      </c>
      <c r="AP222" s="118">
        <v>0</v>
      </c>
      <c r="AQ222" s="118">
        <v>0</v>
      </c>
      <c r="AR222" s="118">
        <v>0</v>
      </c>
      <c r="AS222" s="118">
        <v>0</v>
      </c>
      <c r="AT222" s="118">
        <v>0</v>
      </c>
      <c r="AU222" s="118">
        <f t="shared" si="18"/>
        <v>0</v>
      </c>
    </row>
    <row r="223" spans="1:50">
      <c r="A223" s="114">
        <v>15</v>
      </c>
      <c r="B223" s="116">
        <v>45952</v>
      </c>
      <c r="G223" s="115" t="s">
        <v>253</v>
      </c>
      <c r="H223" s="115">
        <v>5</v>
      </c>
      <c r="I223" s="117" t="str">
        <f t="shared" si="17"/>
        <v>AB_5</v>
      </c>
      <c r="J223" s="125" t="s">
        <v>775</v>
      </c>
      <c r="K223" s="127">
        <v>11</v>
      </c>
      <c r="L223" s="123" t="str">
        <f t="shared" si="19"/>
        <v>AB_5_11</v>
      </c>
      <c r="M223" s="125" t="s">
        <v>1023</v>
      </c>
      <c r="N223" s="115" t="s">
        <v>88</v>
      </c>
      <c r="O223" s="115" t="s">
        <v>254</v>
      </c>
      <c r="P223" s="115">
        <v>100</v>
      </c>
      <c r="Q223" s="115">
        <v>500</v>
      </c>
      <c r="S223" s="115" t="s">
        <v>258</v>
      </c>
      <c r="T223" s="115">
        <v>3</v>
      </c>
      <c r="U223" s="115" t="s">
        <v>117</v>
      </c>
      <c r="V223" s="115" t="s">
        <v>117</v>
      </c>
      <c r="W223" s="118">
        <v>3</v>
      </c>
      <c r="X223" s="118">
        <v>11.26</v>
      </c>
      <c r="Y223" s="118">
        <v>0</v>
      </c>
      <c r="Z223" s="118">
        <v>0</v>
      </c>
      <c r="AA223" s="118">
        <v>0</v>
      </c>
      <c r="AB223" s="118">
        <v>0</v>
      </c>
      <c r="AC223" s="118">
        <v>0</v>
      </c>
      <c r="AD223" s="118">
        <v>0</v>
      </c>
      <c r="AE223" s="118">
        <v>0</v>
      </c>
      <c r="AF223" s="118">
        <v>0</v>
      </c>
      <c r="AG223" s="118">
        <v>0</v>
      </c>
      <c r="AH223" s="118">
        <v>0</v>
      </c>
      <c r="AI223" s="118">
        <v>0</v>
      </c>
      <c r="AJ223" s="118">
        <v>0</v>
      </c>
      <c r="AK223" s="118">
        <v>0</v>
      </c>
      <c r="AL223" s="118">
        <v>0</v>
      </c>
      <c r="AM223" s="118">
        <v>0</v>
      </c>
      <c r="AN223" s="118">
        <v>0</v>
      </c>
      <c r="AO223" s="118">
        <v>0</v>
      </c>
      <c r="AP223" s="118">
        <v>0</v>
      </c>
      <c r="AQ223" s="118">
        <v>0</v>
      </c>
      <c r="AR223" s="118">
        <v>0</v>
      </c>
      <c r="AS223" s="118">
        <v>0</v>
      </c>
      <c r="AT223" s="118">
        <v>0</v>
      </c>
      <c r="AU223" s="118">
        <f t="shared" si="18"/>
        <v>0</v>
      </c>
    </row>
    <row r="224" spans="1:50">
      <c r="A224" s="114">
        <v>15</v>
      </c>
      <c r="B224" s="116">
        <v>45952</v>
      </c>
      <c r="G224" s="115" t="s">
        <v>253</v>
      </c>
      <c r="H224" s="115">
        <v>5</v>
      </c>
      <c r="I224" s="117" t="str">
        <f t="shared" si="17"/>
        <v>AB_5</v>
      </c>
      <c r="J224" s="125" t="s">
        <v>775</v>
      </c>
      <c r="K224" s="127">
        <v>12</v>
      </c>
      <c r="L224" s="123" t="str">
        <f t="shared" si="19"/>
        <v>AB_5_12</v>
      </c>
      <c r="M224" s="125" t="s">
        <v>1024</v>
      </c>
      <c r="N224" s="115" t="s">
        <v>88</v>
      </c>
      <c r="O224" s="115" t="s">
        <v>254</v>
      </c>
      <c r="P224" s="115">
        <v>100</v>
      </c>
      <c r="Q224" s="115">
        <v>500</v>
      </c>
      <c r="S224" s="115" t="s">
        <v>259</v>
      </c>
      <c r="T224" s="115">
        <v>3</v>
      </c>
      <c r="U224" s="115" t="s">
        <v>117</v>
      </c>
      <c r="V224" s="115" t="s">
        <v>117</v>
      </c>
      <c r="W224" s="118">
        <v>3</v>
      </c>
      <c r="X224" s="118">
        <v>11.41</v>
      </c>
      <c r="Y224" s="118">
        <v>0</v>
      </c>
      <c r="Z224" s="118">
        <v>0</v>
      </c>
      <c r="AA224" s="118">
        <v>0</v>
      </c>
      <c r="AB224" s="118">
        <v>0</v>
      </c>
      <c r="AC224" s="118">
        <v>0</v>
      </c>
      <c r="AD224" s="118">
        <v>0</v>
      </c>
      <c r="AE224" s="118">
        <v>0</v>
      </c>
      <c r="AF224" s="118">
        <v>0</v>
      </c>
      <c r="AG224" s="118">
        <v>0</v>
      </c>
      <c r="AH224" s="118">
        <v>0</v>
      </c>
      <c r="AI224" s="118">
        <v>0</v>
      </c>
      <c r="AJ224" s="118">
        <v>0</v>
      </c>
      <c r="AK224" s="118">
        <v>0</v>
      </c>
      <c r="AL224" s="118">
        <v>0</v>
      </c>
      <c r="AM224" s="118">
        <v>0</v>
      </c>
      <c r="AN224" s="118">
        <v>0</v>
      </c>
      <c r="AO224" s="118">
        <v>0</v>
      </c>
      <c r="AP224" s="118">
        <v>0</v>
      </c>
      <c r="AQ224" s="118">
        <v>0</v>
      </c>
      <c r="AR224" s="118">
        <v>0</v>
      </c>
      <c r="AS224" s="118">
        <v>0</v>
      </c>
      <c r="AT224" s="118">
        <v>0</v>
      </c>
      <c r="AU224" s="118">
        <f t="shared" si="18"/>
        <v>0</v>
      </c>
    </row>
    <row r="225" spans="1:50">
      <c r="A225" s="114">
        <v>15</v>
      </c>
      <c r="B225" s="116">
        <v>45952</v>
      </c>
      <c r="G225" s="115" t="s">
        <v>253</v>
      </c>
      <c r="H225" s="115">
        <v>5</v>
      </c>
      <c r="I225" s="117" t="str">
        <f t="shared" si="17"/>
        <v>AB_5</v>
      </c>
      <c r="J225" s="125" t="s">
        <v>775</v>
      </c>
      <c r="K225" s="127">
        <v>13</v>
      </c>
      <c r="L225" s="123" t="str">
        <f t="shared" si="19"/>
        <v>AB_5_13</v>
      </c>
      <c r="M225" s="125" t="s">
        <v>1025</v>
      </c>
      <c r="N225" s="115" t="s">
        <v>88</v>
      </c>
      <c r="O225" s="115" t="s">
        <v>254</v>
      </c>
      <c r="P225" s="115">
        <v>100</v>
      </c>
      <c r="Q225" s="115">
        <v>500</v>
      </c>
      <c r="S225" s="115" t="s">
        <v>260</v>
      </c>
      <c r="T225" s="115">
        <v>3</v>
      </c>
      <c r="U225" s="115" t="s">
        <v>117</v>
      </c>
      <c r="V225" s="115" t="s">
        <v>117</v>
      </c>
      <c r="W225" s="118">
        <v>3</v>
      </c>
      <c r="X225" s="118">
        <v>11.57</v>
      </c>
      <c r="Y225" s="118">
        <v>0</v>
      </c>
      <c r="Z225" s="118">
        <v>0</v>
      </c>
      <c r="AA225" s="118">
        <v>0</v>
      </c>
      <c r="AB225" s="118">
        <v>0</v>
      </c>
      <c r="AC225" s="118">
        <v>0</v>
      </c>
      <c r="AD225" s="118">
        <v>0</v>
      </c>
      <c r="AE225" s="118">
        <v>0</v>
      </c>
      <c r="AF225" s="118">
        <v>0</v>
      </c>
      <c r="AG225" s="118">
        <v>0</v>
      </c>
      <c r="AH225" s="118">
        <v>0</v>
      </c>
      <c r="AI225" s="118">
        <v>0</v>
      </c>
      <c r="AJ225" s="118">
        <v>0</v>
      </c>
      <c r="AK225" s="118">
        <v>0</v>
      </c>
      <c r="AL225" s="118">
        <v>0</v>
      </c>
      <c r="AM225" s="118">
        <v>0</v>
      </c>
      <c r="AN225" s="118">
        <v>0</v>
      </c>
      <c r="AO225" s="118">
        <v>0</v>
      </c>
      <c r="AP225" s="118">
        <v>0</v>
      </c>
      <c r="AQ225" s="118">
        <v>0</v>
      </c>
      <c r="AR225" s="118">
        <v>0</v>
      </c>
      <c r="AS225" s="118">
        <v>0</v>
      </c>
      <c r="AT225" s="118">
        <v>0</v>
      </c>
      <c r="AU225" s="118">
        <f t="shared" si="18"/>
        <v>0</v>
      </c>
    </row>
    <row r="226" spans="1:50">
      <c r="A226" s="114">
        <v>15</v>
      </c>
      <c r="B226" s="116">
        <v>45952</v>
      </c>
      <c r="G226" s="115" t="s">
        <v>253</v>
      </c>
      <c r="H226" s="115">
        <v>5</v>
      </c>
      <c r="I226" s="117" t="str">
        <f t="shared" si="17"/>
        <v>AB_5</v>
      </c>
      <c r="J226" s="125" t="s">
        <v>775</v>
      </c>
      <c r="K226" s="127">
        <v>14</v>
      </c>
      <c r="L226" s="123" t="str">
        <f t="shared" si="19"/>
        <v>AB_5_14</v>
      </c>
      <c r="M226" s="125" t="s">
        <v>1026</v>
      </c>
      <c r="N226" s="115" t="s">
        <v>88</v>
      </c>
      <c r="O226" s="115" t="s">
        <v>254</v>
      </c>
      <c r="P226" s="115">
        <v>100</v>
      </c>
      <c r="Q226" s="115">
        <v>500</v>
      </c>
      <c r="S226" s="115" t="s">
        <v>261</v>
      </c>
      <c r="T226" s="115">
        <v>3</v>
      </c>
      <c r="U226" s="115" t="s">
        <v>117</v>
      </c>
      <c r="V226" s="115" t="s">
        <v>117</v>
      </c>
      <c r="W226" s="118">
        <v>3</v>
      </c>
      <c r="X226" s="118">
        <v>12.12</v>
      </c>
      <c r="Y226" s="118">
        <v>0</v>
      </c>
      <c r="Z226" s="118">
        <v>0</v>
      </c>
      <c r="AA226" s="118">
        <v>0</v>
      </c>
      <c r="AB226" s="118">
        <v>0</v>
      </c>
      <c r="AC226" s="118">
        <v>0</v>
      </c>
      <c r="AD226" s="118">
        <v>0</v>
      </c>
      <c r="AE226" s="118">
        <v>0</v>
      </c>
      <c r="AF226" s="118">
        <v>0</v>
      </c>
      <c r="AG226" s="118">
        <v>0</v>
      </c>
      <c r="AH226" s="118">
        <v>0</v>
      </c>
      <c r="AI226" s="118">
        <v>0</v>
      </c>
      <c r="AJ226" s="118">
        <v>0</v>
      </c>
      <c r="AK226" s="118">
        <v>0</v>
      </c>
      <c r="AL226" s="118">
        <v>0</v>
      </c>
      <c r="AM226" s="118">
        <v>0</v>
      </c>
      <c r="AN226" s="118">
        <v>0</v>
      </c>
      <c r="AO226" s="118">
        <v>0</v>
      </c>
      <c r="AP226" s="118">
        <v>0</v>
      </c>
      <c r="AQ226" s="118">
        <v>0</v>
      </c>
      <c r="AR226" s="118">
        <v>0</v>
      </c>
      <c r="AS226" s="118">
        <v>0</v>
      </c>
      <c r="AT226" s="118">
        <v>0</v>
      </c>
      <c r="AU226" s="118">
        <f t="shared" si="18"/>
        <v>0</v>
      </c>
    </row>
    <row r="227" spans="1:50">
      <c r="A227" s="114">
        <v>15</v>
      </c>
      <c r="B227" s="116">
        <v>45952</v>
      </c>
      <c r="G227" s="115" t="s">
        <v>253</v>
      </c>
      <c r="H227" s="115">
        <v>5</v>
      </c>
      <c r="I227" s="117" t="str">
        <f t="shared" si="17"/>
        <v>AB_5</v>
      </c>
      <c r="J227" s="125" t="s">
        <v>775</v>
      </c>
      <c r="K227" s="127">
        <v>15</v>
      </c>
      <c r="L227" s="123" t="str">
        <f t="shared" si="19"/>
        <v>AB_5_15</v>
      </c>
      <c r="M227" s="125" t="s">
        <v>1027</v>
      </c>
      <c r="N227" s="115" t="s">
        <v>88</v>
      </c>
      <c r="O227" s="115" t="s">
        <v>254</v>
      </c>
      <c r="P227" s="115">
        <v>100</v>
      </c>
      <c r="Q227" s="115">
        <v>500</v>
      </c>
      <c r="S227" s="115" t="s">
        <v>262</v>
      </c>
      <c r="T227" s="115">
        <v>3</v>
      </c>
      <c r="U227" s="115" t="s">
        <v>117</v>
      </c>
      <c r="V227" s="115" t="s">
        <v>117</v>
      </c>
      <c r="W227" s="118">
        <v>3</v>
      </c>
      <c r="X227" s="118">
        <v>12.32</v>
      </c>
      <c r="Y227" s="118">
        <v>0</v>
      </c>
      <c r="Z227" s="118">
        <v>0</v>
      </c>
      <c r="AA227" s="118">
        <v>0</v>
      </c>
      <c r="AB227" s="118">
        <v>0</v>
      </c>
      <c r="AC227" s="118">
        <v>0</v>
      </c>
      <c r="AD227" s="118">
        <v>0</v>
      </c>
      <c r="AE227" s="118">
        <v>0</v>
      </c>
      <c r="AF227" s="118">
        <v>0</v>
      </c>
      <c r="AG227" s="118">
        <v>0</v>
      </c>
      <c r="AH227" s="118">
        <v>0</v>
      </c>
      <c r="AI227" s="118">
        <v>0</v>
      </c>
      <c r="AJ227" s="118">
        <v>0</v>
      </c>
      <c r="AK227" s="118">
        <v>0</v>
      </c>
      <c r="AL227" s="118">
        <v>0</v>
      </c>
      <c r="AM227" s="118">
        <v>0</v>
      </c>
      <c r="AN227" s="118">
        <v>0</v>
      </c>
      <c r="AO227" s="118">
        <v>0</v>
      </c>
      <c r="AP227" s="118">
        <v>0</v>
      </c>
      <c r="AQ227" s="118">
        <v>0</v>
      </c>
      <c r="AR227" s="118">
        <v>0</v>
      </c>
      <c r="AS227" s="118">
        <v>0</v>
      </c>
      <c r="AT227" s="118">
        <v>0</v>
      </c>
      <c r="AU227" s="118">
        <f t="shared" si="18"/>
        <v>0</v>
      </c>
    </row>
    <row r="228" spans="1:50">
      <c r="A228" s="114">
        <v>15</v>
      </c>
      <c r="B228" s="116">
        <v>45952</v>
      </c>
      <c r="G228" s="115" t="s">
        <v>253</v>
      </c>
      <c r="H228" s="115">
        <v>5</v>
      </c>
      <c r="I228" s="117" t="str">
        <f t="shared" si="17"/>
        <v>AB_5</v>
      </c>
      <c r="J228" s="125" t="s">
        <v>775</v>
      </c>
      <c r="K228" s="127">
        <v>16</v>
      </c>
      <c r="L228" s="123" t="str">
        <f t="shared" si="19"/>
        <v>AB_5_16</v>
      </c>
      <c r="M228" s="125" t="s">
        <v>1028</v>
      </c>
      <c r="N228" s="115" t="s">
        <v>88</v>
      </c>
      <c r="O228" s="115" t="s">
        <v>254</v>
      </c>
      <c r="P228" s="115">
        <v>100</v>
      </c>
      <c r="Q228" s="115">
        <v>500</v>
      </c>
      <c r="S228" s="115" t="s">
        <v>263</v>
      </c>
      <c r="T228" s="115">
        <v>3</v>
      </c>
      <c r="U228" s="115" t="s">
        <v>117</v>
      </c>
      <c r="V228" s="115" t="s">
        <v>117</v>
      </c>
      <c r="W228" s="118">
        <v>3</v>
      </c>
      <c r="X228" s="118">
        <v>12.45</v>
      </c>
      <c r="Y228" s="118">
        <v>0</v>
      </c>
      <c r="Z228" s="118">
        <v>0</v>
      </c>
      <c r="AA228" s="118">
        <v>0</v>
      </c>
      <c r="AB228" s="118">
        <v>0</v>
      </c>
      <c r="AC228" s="118">
        <v>0</v>
      </c>
      <c r="AD228" s="118">
        <v>0</v>
      </c>
      <c r="AE228" s="118">
        <v>0</v>
      </c>
      <c r="AF228" s="118">
        <v>0</v>
      </c>
      <c r="AG228" s="118">
        <v>0</v>
      </c>
      <c r="AH228" s="118">
        <v>0</v>
      </c>
      <c r="AI228" s="118">
        <v>0</v>
      </c>
      <c r="AJ228" s="118">
        <v>0</v>
      </c>
      <c r="AK228" s="118">
        <v>0</v>
      </c>
      <c r="AL228" s="118">
        <v>0</v>
      </c>
      <c r="AM228" s="118">
        <v>0</v>
      </c>
      <c r="AN228" s="118">
        <v>0</v>
      </c>
      <c r="AO228" s="118">
        <v>0</v>
      </c>
      <c r="AP228" s="118">
        <v>0</v>
      </c>
      <c r="AQ228" s="118">
        <v>0</v>
      </c>
      <c r="AR228" s="118">
        <v>0</v>
      </c>
      <c r="AS228" s="118">
        <v>0</v>
      </c>
      <c r="AT228" s="118">
        <v>0</v>
      </c>
      <c r="AU228" s="118">
        <f t="shared" si="18"/>
        <v>0</v>
      </c>
    </row>
    <row r="229" spans="1:50">
      <c r="A229" s="115">
        <v>16</v>
      </c>
      <c r="B229" s="116">
        <v>45954</v>
      </c>
      <c r="C229" s="115" t="s">
        <v>251</v>
      </c>
      <c r="D229" s="115" t="s">
        <v>264</v>
      </c>
      <c r="F229" s="115" t="s">
        <v>265</v>
      </c>
      <c r="G229" s="115" t="s">
        <v>266</v>
      </c>
      <c r="H229" s="115">
        <v>6</v>
      </c>
      <c r="I229" s="117" t="str">
        <f t="shared" si="17"/>
        <v>AB_6</v>
      </c>
      <c r="J229" s="125" t="s">
        <v>776</v>
      </c>
      <c r="K229" s="127">
        <v>1</v>
      </c>
      <c r="L229" s="123" t="str">
        <f t="shared" si="19"/>
        <v>AB_6_1</v>
      </c>
      <c r="M229" s="125" t="s">
        <v>1029</v>
      </c>
      <c r="N229" s="115" t="s">
        <v>88</v>
      </c>
      <c r="O229" s="115" t="s">
        <v>267</v>
      </c>
      <c r="P229" s="115">
        <v>100</v>
      </c>
      <c r="Q229" s="115">
        <v>500</v>
      </c>
      <c r="R229" s="115">
        <v>60</v>
      </c>
      <c r="S229" s="115">
        <v>1</v>
      </c>
      <c r="T229" s="115">
        <v>5</v>
      </c>
      <c r="U229" s="115">
        <v>9.59</v>
      </c>
      <c r="V229" s="115">
        <v>10.119999999999999</v>
      </c>
      <c r="W229" s="118">
        <v>5</v>
      </c>
      <c r="X229" s="118">
        <v>10.28</v>
      </c>
      <c r="Y229" s="118">
        <v>1</v>
      </c>
      <c r="Z229" s="118">
        <v>1</v>
      </c>
      <c r="AA229" s="118">
        <v>1</v>
      </c>
      <c r="AB229" s="118">
        <v>1</v>
      </c>
      <c r="AC229" s="118">
        <v>1</v>
      </c>
      <c r="AD229" s="118">
        <v>1</v>
      </c>
      <c r="AE229" s="118">
        <v>1</v>
      </c>
      <c r="AF229" s="118">
        <v>1</v>
      </c>
      <c r="AG229" s="118">
        <v>1</v>
      </c>
      <c r="AH229" s="118">
        <v>1</v>
      </c>
      <c r="AI229" s="118">
        <v>1</v>
      </c>
      <c r="AJ229" s="118">
        <v>1</v>
      </c>
      <c r="AK229" s="118">
        <v>0</v>
      </c>
      <c r="AL229" s="118">
        <v>0</v>
      </c>
      <c r="AM229" s="118">
        <v>0</v>
      </c>
      <c r="AN229" s="118">
        <v>0</v>
      </c>
      <c r="AO229" s="118">
        <v>0</v>
      </c>
      <c r="AP229" s="118">
        <v>0</v>
      </c>
      <c r="AQ229" s="118">
        <v>0</v>
      </c>
      <c r="AR229" s="118">
        <v>0</v>
      </c>
      <c r="AS229" s="118">
        <v>0</v>
      </c>
      <c r="AT229" s="118">
        <v>0</v>
      </c>
      <c r="AU229" s="118">
        <f t="shared" si="18"/>
        <v>0</v>
      </c>
      <c r="AX229" s="114" t="s">
        <v>53</v>
      </c>
    </row>
    <row r="230" spans="1:50">
      <c r="A230" s="115">
        <v>16</v>
      </c>
      <c r="B230" s="116">
        <v>45954</v>
      </c>
      <c r="D230" s="115" t="s">
        <v>268</v>
      </c>
      <c r="G230" s="115" t="s">
        <v>266</v>
      </c>
      <c r="H230" s="115">
        <v>6</v>
      </c>
      <c r="I230" s="117" t="str">
        <f t="shared" si="17"/>
        <v>AB_6</v>
      </c>
      <c r="J230" s="125" t="s">
        <v>776</v>
      </c>
      <c r="K230" s="127">
        <v>2</v>
      </c>
      <c r="L230" s="123" t="str">
        <f t="shared" si="19"/>
        <v>AB_6_2</v>
      </c>
      <c r="M230" s="125" t="s">
        <v>1030</v>
      </c>
      <c r="N230" s="115" t="s">
        <v>88</v>
      </c>
      <c r="O230" s="115" t="s">
        <v>267</v>
      </c>
      <c r="P230" s="115">
        <v>100</v>
      </c>
      <c r="Q230" s="115">
        <v>500</v>
      </c>
      <c r="S230" s="115">
        <v>2</v>
      </c>
      <c r="T230" s="115">
        <v>2</v>
      </c>
      <c r="U230" s="115">
        <v>10.16</v>
      </c>
      <c r="V230" s="115">
        <v>10.3</v>
      </c>
      <c r="W230" s="118">
        <v>2</v>
      </c>
      <c r="X230" s="118">
        <v>10.45</v>
      </c>
      <c r="Y230" s="118">
        <v>2</v>
      </c>
      <c r="Z230" s="118">
        <v>2</v>
      </c>
      <c r="AA230" s="118">
        <v>2</v>
      </c>
      <c r="AB230" s="118">
        <v>2</v>
      </c>
      <c r="AC230" s="118">
        <v>2</v>
      </c>
      <c r="AD230" s="118">
        <v>2</v>
      </c>
      <c r="AE230" s="118">
        <v>2</v>
      </c>
      <c r="AF230" s="118">
        <v>2</v>
      </c>
      <c r="AG230" s="118">
        <v>2</v>
      </c>
      <c r="AH230" s="118">
        <v>2</v>
      </c>
      <c r="AI230" s="118">
        <v>2</v>
      </c>
      <c r="AJ230" s="118">
        <v>2</v>
      </c>
      <c r="AK230" s="118">
        <v>2</v>
      </c>
      <c r="AL230" s="118">
        <v>0</v>
      </c>
      <c r="AM230" s="118">
        <v>0</v>
      </c>
      <c r="AN230" s="118">
        <v>0</v>
      </c>
      <c r="AO230" s="118">
        <v>0</v>
      </c>
      <c r="AP230" s="118">
        <v>0</v>
      </c>
      <c r="AQ230" s="118">
        <v>0</v>
      </c>
      <c r="AR230" s="118">
        <v>0</v>
      </c>
      <c r="AS230" s="118">
        <v>0</v>
      </c>
      <c r="AT230" s="118">
        <v>0</v>
      </c>
      <c r="AU230" s="118">
        <f t="shared" si="18"/>
        <v>0</v>
      </c>
    </row>
    <row r="231" spans="1:50">
      <c r="A231" s="115">
        <v>16</v>
      </c>
      <c r="B231" s="116">
        <v>45954</v>
      </c>
      <c r="G231" s="115" t="s">
        <v>266</v>
      </c>
      <c r="H231" s="115">
        <v>6</v>
      </c>
      <c r="I231" s="117" t="str">
        <f t="shared" si="17"/>
        <v>AB_6</v>
      </c>
      <c r="J231" s="125" t="s">
        <v>776</v>
      </c>
      <c r="K231" s="127">
        <v>3</v>
      </c>
      <c r="L231" s="123" t="str">
        <f t="shared" si="19"/>
        <v>AB_6_3</v>
      </c>
      <c r="M231" s="125" t="s">
        <v>1031</v>
      </c>
      <c r="N231" s="115" t="s">
        <v>88</v>
      </c>
      <c r="O231" s="115" t="s">
        <v>267</v>
      </c>
      <c r="P231" s="115">
        <v>100</v>
      </c>
      <c r="Q231" s="115">
        <v>500</v>
      </c>
      <c r="S231" s="115">
        <v>3</v>
      </c>
      <c r="T231" s="115">
        <v>3</v>
      </c>
      <c r="U231" s="115">
        <v>10.3</v>
      </c>
      <c r="V231" s="115">
        <v>10.5</v>
      </c>
      <c r="W231" s="118">
        <v>3</v>
      </c>
      <c r="X231" s="118">
        <v>11.04</v>
      </c>
      <c r="Y231" s="118">
        <v>2</v>
      </c>
      <c r="Z231" s="118">
        <v>2</v>
      </c>
      <c r="AA231" s="118">
        <v>2</v>
      </c>
      <c r="AB231" s="118">
        <v>2</v>
      </c>
      <c r="AC231" s="118">
        <v>2</v>
      </c>
      <c r="AD231" s="118">
        <v>2</v>
      </c>
      <c r="AE231" s="118">
        <v>2</v>
      </c>
      <c r="AF231" s="118">
        <v>2</v>
      </c>
      <c r="AG231" s="118">
        <v>2</v>
      </c>
      <c r="AH231" s="118">
        <v>2</v>
      </c>
      <c r="AI231" s="118">
        <v>2</v>
      </c>
      <c r="AJ231" s="118">
        <v>2</v>
      </c>
      <c r="AK231" s="118">
        <v>1</v>
      </c>
      <c r="AL231" s="118">
        <v>0</v>
      </c>
      <c r="AM231" s="118">
        <v>0</v>
      </c>
      <c r="AN231" s="118">
        <v>0</v>
      </c>
      <c r="AO231" s="118">
        <v>0</v>
      </c>
      <c r="AP231" s="118">
        <v>0</v>
      </c>
      <c r="AQ231" s="118">
        <v>0</v>
      </c>
      <c r="AR231" s="118">
        <v>0</v>
      </c>
      <c r="AS231" s="118">
        <v>0</v>
      </c>
      <c r="AT231" s="118">
        <v>0</v>
      </c>
      <c r="AU231" s="118">
        <f t="shared" si="18"/>
        <v>0</v>
      </c>
    </row>
    <row r="232" spans="1:50">
      <c r="A232" s="115">
        <v>16</v>
      </c>
      <c r="B232" s="116">
        <v>45954</v>
      </c>
      <c r="G232" s="115" t="s">
        <v>266</v>
      </c>
      <c r="H232" s="115">
        <v>6</v>
      </c>
      <c r="I232" s="117" t="str">
        <f t="shared" si="17"/>
        <v>AB_6</v>
      </c>
      <c r="J232" s="125" t="s">
        <v>776</v>
      </c>
      <c r="K232" s="127">
        <v>4</v>
      </c>
      <c r="L232" s="123" t="str">
        <f t="shared" si="19"/>
        <v>AB_6_4</v>
      </c>
      <c r="M232" s="125" t="s">
        <v>1032</v>
      </c>
      <c r="N232" s="115" t="s">
        <v>88</v>
      </c>
      <c r="O232" s="115" t="s">
        <v>267</v>
      </c>
      <c r="P232" s="115">
        <v>100</v>
      </c>
      <c r="Q232" s="115">
        <v>500</v>
      </c>
      <c r="S232" s="115">
        <v>4</v>
      </c>
      <c r="T232" s="115">
        <v>4</v>
      </c>
      <c r="U232" s="115">
        <v>10.51</v>
      </c>
      <c r="V232" s="115">
        <v>11.05</v>
      </c>
      <c r="W232" s="118">
        <v>4</v>
      </c>
      <c r="X232" s="118">
        <v>11.23</v>
      </c>
      <c r="Y232" s="118">
        <v>3</v>
      </c>
      <c r="Z232" s="118">
        <v>2</v>
      </c>
      <c r="AA232" s="118">
        <v>2</v>
      </c>
      <c r="AB232" s="118">
        <v>2</v>
      </c>
      <c r="AC232" s="118">
        <v>2</v>
      </c>
      <c r="AD232" s="118">
        <v>2</v>
      </c>
      <c r="AE232" s="118">
        <v>2</v>
      </c>
      <c r="AF232" s="118">
        <v>2</v>
      </c>
      <c r="AG232" s="118">
        <v>2</v>
      </c>
      <c r="AH232" s="118">
        <v>2</v>
      </c>
      <c r="AI232" s="118">
        <v>2</v>
      </c>
      <c r="AJ232" s="118">
        <v>2</v>
      </c>
      <c r="AK232" s="118">
        <v>0</v>
      </c>
      <c r="AL232" s="118">
        <v>0</v>
      </c>
      <c r="AM232" s="118">
        <v>0</v>
      </c>
      <c r="AN232" s="118">
        <v>0</v>
      </c>
      <c r="AO232" s="118">
        <v>0</v>
      </c>
      <c r="AP232" s="118">
        <v>0</v>
      </c>
      <c r="AQ232" s="118">
        <v>0</v>
      </c>
      <c r="AR232" s="118">
        <v>0</v>
      </c>
      <c r="AS232" s="118">
        <v>0</v>
      </c>
      <c r="AT232" s="118">
        <v>0</v>
      </c>
      <c r="AU232" s="118">
        <f t="shared" si="18"/>
        <v>0</v>
      </c>
    </row>
    <row r="233" spans="1:50">
      <c r="A233" s="115">
        <v>16</v>
      </c>
      <c r="B233" s="116">
        <v>45954</v>
      </c>
      <c r="G233" s="115" t="s">
        <v>266</v>
      </c>
      <c r="H233" s="115">
        <v>6</v>
      </c>
      <c r="I233" s="117" t="str">
        <f t="shared" si="17"/>
        <v>AB_6</v>
      </c>
      <c r="J233" s="125" t="s">
        <v>776</v>
      </c>
      <c r="K233" s="127">
        <v>5</v>
      </c>
      <c r="L233" s="123" t="str">
        <f t="shared" si="19"/>
        <v>AB_6_5</v>
      </c>
      <c r="M233" s="125" t="s">
        <v>1033</v>
      </c>
      <c r="N233" s="115" t="s">
        <v>88</v>
      </c>
      <c r="O233" s="115" t="s">
        <v>267</v>
      </c>
      <c r="P233" s="115">
        <v>100</v>
      </c>
      <c r="Q233" s="115">
        <v>500</v>
      </c>
      <c r="S233" s="115">
        <v>5</v>
      </c>
      <c r="T233" s="115">
        <v>4</v>
      </c>
      <c r="U233" s="115">
        <v>11.07</v>
      </c>
      <c r="V233" s="115">
        <v>11.19</v>
      </c>
      <c r="W233" s="118">
        <v>4</v>
      </c>
      <c r="X233" s="118">
        <v>11.35</v>
      </c>
      <c r="Y233" s="118">
        <v>1</v>
      </c>
      <c r="Z233" s="118">
        <v>1</v>
      </c>
      <c r="AA233" s="118">
        <v>1</v>
      </c>
      <c r="AB233" s="118">
        <v>0</v>
      </c>
      <c r="AC233" s="118">
        <v>0</v>
      </c>
      <c r="AD233" s="118">
        <v>0</v>
      </c>
      <c r="AE233" s="118">
        <v>0</v>
      </c>
      <c r="AF233" s="118">
        <v>0</v>
      </c>
      <c r="AG233" s="118">
        <v>0</v>
      </c>
      <c r="AH233" s="118">
        <v>0</v>
      </c>
      <c r="AI233" s="118">
        <v>0</v>
      </c>
      <c r="AJ233" s="118">
        <v>0</v>
      </c>
      <c r="AK233" s="118">
        <v>0</v>
      </c>
      <c r="AL233" s="118">
        <v>0</v>
      </c>
      <c r="AM233" s="118">
        <v>0</v>
      </c>
      <c r="AN233" s="118">
        <v>0</v>
      </c>
      <c r="AO233" s="118">
        <v>0</v>
      </c>
      <c r="AP233" s="118">
        <v>0</v>
      </c>
      <c r="AQ233" s="118">
        <v>0</v>
      </c>
      <c r="AR233" s="118">
        <v>0</v>
      </c>
      <c r="AS233" s="118">
        <v>0</v>
      </c>
      <c r="AT233" s="118">
        <v>0</v>
      </c>
      <c r="AU233" s="118">
        <f t="shared" si="18"/>
        <v>0</v>
      </c>
    </row>
    <row r="234" spans="1:50">
      <c r="A234" s="115">
        <v>16</v>
      </c>
      <c r="B234" s="116">
        <v>45954</v>
      </c>
      <c r="G234" s="115" t="s">
        <v>266</v>
      </c>
      <c r="H234" s="115">
        <v>6</v>
      </c>
      <c r="I234" s="117" t="str">
        <f t="shared" si="17"/>
        <v>AB_6</v>
      </c>
      <c r="J234" s="125" t="s">
        <v>776</v>
      </c>
      <c r="K234" s="127">
        <v>6</v>
      </c>
      <c r="L234" s="123" t="str">
        <f t="shared" si="19"/>
        <v>AB_6_6</v>
      </c>
      <c r="M234" s="125" t="s">
        <v>1034</v>
      </c>
      <c r="N234" s="115" t="s">
        <v>88</v>
      </c>
      <c r="O234" s="115" t="s">
        <v>267</v>
      </c>
      <c r="P234" s="115">
        <v>100</v>
      </c>
      <c r="Q234" s="115">
        <v>500</v>
      </c>
      <c r="S234" s="115">
        <v>6</v>
      </c>
      <c r="T234" s="115">
        <v>3</v>
      </c>
      <c r="U234" s="115">
        <v>11.23</v>
      </c>
      <c r="V234" s="115">
        <v>11.36</v>
      </c>
      <c r="W234" s="118">
        <v>3</v>
      </c>
      <c r="X234" s="118">
        <v>11.54</v>
      </c>
      <c r="Y234" s="118">
        <v>2</v>
      </c>
      <c r="Z234" s="118">
        <v>2</v>
      </c>
      <c r="AA234" s="118">
        <v>2</v>
      </c>
      <c r="AB234" s="118">
        <v>2</v>
      </c>
      <c r="AC234" s="118">
        <v>2</v>
      </c>
      <c r="AD234" s="118">
        <v>2</v>
      </c>
      <c r="AE234" s="118">
        <v>2</v>
      </c>
      <c r="AF234" s="118">
        <v>2</v>
      </c>
      <c r="AG234" s="118">
        <v>2</v>
      </c>
      <c r="AH234" s="118">
        <v>2</v>
      </c>
      <c r="AI234" s="118">
        <v>0</v>
      </c>
      <c r="AJ234" s="118">
        <v>0</v>
      </c>
      <c r="AK234" s="118">
        <v>0</v>
      </c>
      <c r="AL234" s="118">
        <v>0</v>
      </c>
      <c r="AM234" s="118">
        <v>0</v>
      </c>
      <c r="AN234" s="118">
        <v>0</v>
      </c>
      <c r="AO234" s="118">
        <v>0</v>
      </c>
      <c r="AP234" s="118">
        <v>0</v>
      </c>
      <c r="AQ234" s="118">
        <v>0</v>
      </c>
      <c r="AR234" s="118">
        <v>0</v>
      </c>
      <c r="AS234" s="118">
        <v>0</v>
      </c>
      <c r="AT234" s="118">
        <v>0</v>
      </c>
      <c r="AU234" s="118">
        <f t="shared" si="18"/>
        <v>0</v>
      </c>
    </row>
    <row r="235" spans="1:50">
      <c r="A235" s="115">
        <v>16</v>
      </c>
      <c r="B235" s="116">
        <v>45954</v>
      </c>
      <c r="G235" s="115" t="s">
        <v>266</v>
      </c>
      <c r="H235" s="115">
        <v>6</v>
      </c>
      <c r="I235" s="117" t="str">
        <f t="shared" si="17"/>
        <v>AB_6</v>
      </c>
      <c r="J235" s="125" t="s">
        <v>776</v>
      </c>
      <c r="K235" s="127">
        <v>7</v>
      </c>
      <c r="L235" s="123" t="str">
        <f t="shared" si="19"/>
        <v>AB_6_7</v>
      </c>
      <c r="M235" s="125" t="s">
        <v>1035</v>
      </c>
      <c r="N235" s="115" t="s">
        <v>88</v>
      </c>
      <c r="O235" s="115" t="s">
        <v>267</v>
      </c>
      <c r="P235" s="115">
        <v>100</v>
      </c>
      <c r="Q235" s="115">
        <v>500</v>
      </c>
      <c r="S235" s="115">
        <v>7</v>
      </c>
      <c r="T235" s="115">
        <v>3</v>
      </c>
      <c r="U235" s="115" t="s">
        <v>116</v>
      </c>
      <c r="V235" s="115">
        <v>11.46</v>
      </c>
      <c r="W235" s="118">
        <v>3</v>
      </c>
      <c r="X235" s="118">
        <v>12.02</v>
      </c>
      <c r="Y235" s="118">
        <v>0</v>
      </c>
      <c r="Z235" s="118">
        <v>0</v>
      </c>
      <c r="AA235" s="118">
        <v>0</v>
      </c>
      <c r="AB235" s="118">
        <v>0</v>
      </c>
      <c r="AC235" s="118">
        <v>0</v>
      </c>
      <c r="AD235" s="118">
        <v>0</v>
      </c>
      <c r="AE235" s="118">
        <v>0</v>
      </c>
      <c r="AF235" s="118">
        <v>0</v>
      </c>
      <c r="AG235" s="118">
        <v>0</v>
      </c>
      <c r="AH235" s="118">
        <v>0</v>
      </c>
      <c r="AI235" s="118">
        <v>0</v>
      </c>
      <c r="AJ235" s="118">
        <v>0</v>
      </c>
      <c r="AK235" s="118">
        <v>0</v>
      </c>
      <c r="AL235" s="118">
        <v>0</v>
      </c>
      <c r="AM235" s="118">
        <v>0</v>
      </c>
      <c r="AN235" s="118">
        <v>0</v>
      </c>
      <c r="AO235" s="118">
        <v>0</v>
      </c>
      <c r="AP235" s="118">
        <v>0</v>
      </c>
      <c r="AQ235" s="118">
        <v>0</v>
      </c>
      <c r="AR235" s="118">
        <v>0</v>
      </c>
      <c r="AS235" s="118">
        <v>0</v>
      </c>
      <c r="AT235" s="118">
        <v>0</v>
      </c>
      <c r="AU235" s="118">
        <f t="shared" si="18"/>
        <v>0</v>
      </c>
    </row>
    <row r="236" spans="1:50">
      <c r="A236" s="115">
        <v>16</v>
      </c>
      <c r="B236" s="116">
        <v>45954</v>
      </c>
      <c r="G236" s="115" t="s">
        <v>266</v>
      </c>
      <c r="H236" s="115">
        <v>6</v>
      </c>
      <c r="I236" s="117" t="str">
        <f t="shared" si="17"/>
        <v>AB_6</v>
      </c>
      <c r="J236" s="125" t="s">
        <v>776</v>
      </c>
      <c r="K236" s="127">
        <v>8</v>
      </c>
      <c r="L236" s="123" t="str">
        <f t="shared" si="19"/>
        <v>AB_6_8</v>
      </c>
      <c r="M236" s="125" t="s">
        <v>1036</v>
      </c>
      <c r="N236" s="115" t="s">
        <v>88</v>
      </c>
      <c r="O236" s="115" t="s">
        <v>267</v>
      </c>
      <c r="P236" s="115">
        <v>100</v>
      </c>
      <c r="Q236" s="115">
        <v>500</v>
      </c>
      <c r="S236" s="115">
        <v>8</v>
      </c>
      <c r="T236" s="115">
        <v>4</v>
      </c>
      <c r="U236" s="115">
        <v>11.47</v>
      </c>
      <c r="V236" s="115">
        <v>12.01</v>
      </c>
      <c r="W236" s="118">
        <v>4</v>
      </c>
      <c r="X236" s="118">
        <v>12.17</v>
      </c>
      <c r="Y236" s="118">
        <v>1</v>
      </c>
      <c r="Z236" s="118">
        <v>1</v>
      </c>
      <c r="AA236" s="118">
        <v>1</v>
      </c>
      <c r="AB236" s="118">
        <v>1</v>
      </c>
      <c r="AC236" s="118">
        <v>1</v>
      </c>
      <c r="AD236" s="118">
        <v>1</v>
      </c>
      <c r="AE236" s="118">
        <v>1</v>
      </c>
      <c r="AF236" s="118">
        <v>1</v>
      </c>
      <c r="AG236" s="118">
        <v>1</v>
      </c>
      <c r="AH236" s="118">
        <v>1</v>
      </c>
      <c r="AI236" s="118">
        <v>0</v>
      </c>
      <c r="AJ236" s="118">
        <v>0</v>
      </c>
      <c r="AK236" s="118">
        <v>0</v>
      </c>
      <c r="AL236" s="118">
        <v>0</v>
      </c>
      <c r="AM236" s="118">
        <v>0</v>
      </c>
      <c r="AN236" s="118">
        <v>0</v>
      </c>
      <c r="AO236" s="118">
        <v>0</v>
      </c>
      <c r="AP236" s="118">
        <v>0</v>
      </c>
      <c r="AQ236" s="118">
        <v>0</v>
      </c>
      <c r="AR236" s="118">
        <v>0</v>
      </c>
      <c r="AS236" s="118">
        <v>0</v>
      </c>
      <c r="AT236" s="118">
        <v>0</v>
      </c>
      <c r="AU236" s="118">
        <f t="shared" si="18"/>
        <v>0</v>
      </c>
    </row>
    <row r="237" spans="1:50">
      <c r="A237" s="115">
        <v>16</v>
      </c>
      <c r="B237" s="116">
        <v>45954</v>
      </c>
      <c r="G237" s="115" t="s">
        <v>266</v>
      </c>
      <c r="H237" s="115">
        <v>6</v>
      </c>
      <c r="I237" s="117" t="str">
        <f t="shared" si="17"/>
        <v>AB_6</v>
      </c>
      <c r="J237" s="125" t="s">
        <v>776</v>
      </c>
      <c r="K237" s="127">
        <v>9</v>
      </c>
      <c r="L237" s="123" t="str">
        <f t="shared" si="19"/>
        <v>AB_6_9</v>
      </c>
      <c r="M237" s="125" t="s">
        <v>1037</v>
      </c>
      <c r="N237" s="115" t="s">
        <v>88</v>
      </c>
      <c r="O237" s="115" t="s">
        <v>267</v>
      </c>
      <c r="P237" s="115">
        <v>100</v>
      </c>
      <c r="Q237" s="115">
        <v>500</v>
      </c>
      <c r="S237" s="115">
        <v>9</v>
      </c>
      <c r="T237" s="115">
        <v>4</v>
      </c>
      <c r="U237" s="115">
        <v>12.02</v>
      </c>
      <c r="V237" s="115">
        <v>12.15</v>
      </c>
      <c r="W237" s="118">
        <v>4</v>
      </c>
      <c r="X237" s="118">
        <v>12.31</v>
      </c>
      <c r="Y237" s="118">
        <v>1</v>
      </c>
      <c r="Z237" s="118">
        <v>1</v>
      </c>
      <c r="AA237" s="118">
        <v>1</v>
      </c>
      <c r="AB237" s="118">
        <v>1</v>
      </c>
      <c r="AC237" s="118">
        <v>1</v>
      </c>
      <c r="AD237" s="118">
        <v>1</v>
      </c>
      <c r="AE237" s="118">
        <v>1</v>
      </c>
      <c r="AF237" s="118">
        <v>0</v>
      </c>
      <c r="AG237" s="118">
        <v>0</v>
      </c>
      <c r="AH237" s="118">
        <v>0</v>
      </c>
      <c r="AI237" s="118">
        <v>0</v>
      </c>
      <c r="AJ237" s="118">
        <v>0</v>
      </c>
      <c r="AK237" s="118">
        <v>0</v>
      </c>
      <c r="AL237" s="118">
        <v>0</v>
      </c>
      <c r="AM237" s="118">
        <v>0</v>
      </c>
      <c r="AN237" s="118">
        <v>0</v>
      </c>
      <c r="AO237" s="118">
        <v>0</v>
      </c>
      <c r="AP237" s="118">
        <v>0</v>
      </c>
      <c r="AQ237" s="118">
        <v>0</v>
      </c>
      <c r="AR237" s="118">
        <v>0</v>
      </c>
      <c r="AS237" s="118">
        <v>0</v>
      </c>
      <c r="AT237" s="118">
        <v>0</v>
      </c>
      <c r="AU237" s="118">
        <f t="shared" si="18"/>
        <v>0</v>
      </c>
    </row>
    <row r="238" spans="1:50">
      <c r="A238" s="115">
        <v>16</v>
      </c>
      <c r="B238" s="116">
        <v>45954</v>
      </c>
      <c r="G238" s="115" t="s">
        <v>266</v>
      </c>
      <c r="H238" s="115">
        <v>6</v>
      </c>
      <c r="I238" s="117" t="str">
        <f t="shared" si="17"/>
        <v>AB_6</v>
      </c>
      <c r="J238" s="125" t="s">
        <v>776</v>
      </c>
      <c r="K238" s="127">
        <v>10</v>
      </c>
      <c r="L238" s="123" t="str">
        <f t="shared" si="19"/>
        <v>AB_6_10</v>
      </c>
      <c r="M238" s="125" t="s">
        <v>1038</v>
      </c>
      <c r="N238" s="115" t="s">
        <v>88</v>
      </c>
      <c r="O238" s="115" t="s">
        <v>267</v>
      </c>
      <c r="P238" s="115">
        <v>100</v>
      </c>
      <c r="Q238" s="115">
        <v>500</v>
      </c>
      <c r="R238" s="115">
        <v>70</v>
      </c>
      <c r="S238" s="115" t="s">
        <v>269</v>
      </c>
      <c r="T238" s="115">
        <v>4</v>
      </c>
      <c r="U238" s="115">
        <v>9.58</v>
      </c>
      <c r="V238" s="115">
        <v>10.08</v>
      </c>
      <c r="W238" s="118">
        <v>4</v>
      </c>
      <c r="X238" s="118">
        <v>10.25</v>
      </c>
      <c r="Y238" s="118">
        <v>3</v>
      </c>
      <c r="Z238" s="118">
        <v>3</v>
      </c>
      <c r="AA238" s="118">
        <v>3</v>
      </c>
      <c r="AB238" s="118">
        <v>3</v>
      </c>
      <c r="AC238" s="118">
        <v>3</v>
      </c>
      <c r="AD238" s="118">
        <v>3</v>
      </c>
      <c r="AE238" s="118">
        <v>3</v>
      </c>
      <c r="AF238" s="118">
        <v>3</v>
      </c>
      <c r="AG238" s="118">
        <v>3</v>
      </c>
      <c r="AH238" s="118">
        <v>3</v>
      </c>
      <c r="AI238" s="118">
        <v>3</v>
      </c>
      <c r="AJ238" s="118">
        <v>3</v>
      </c>
      <c r="AK238" s="118">
        <v>3</v>
      </c>
      <c r="AL238" s="118">
        <v>3</v>
      </c>
      <c r="AM238" s="118">
        <v>0</v>
      </c>
      <c r="AN238" s="118">
        <v>0</v>
      </c>
      <c r="AO238" s="118">
        <v>0</v>
      </c>
      <c r="AP238" s="118">
        <v>0</v>
      </c>
      <c r="AQ238" s="118">
        <v>0</v>
      </c>
      <c r="AR238" s="118">
        <v>0</v>
      </c>
      <c r="AS238" s="118">
        <v>0</v>
      </c>
      <c r="AT238" s="118">
        <v>0</v>
      </c>
      <c r="AU238" s="118">
        <f t="shared" si="18"/>
        <v>0</v>
      </c>
      <c r="AX238" s="114" t="s">
        <v>67</v>
      </c>
    </row>
    <row r="239" spans="1:50">
      <c r="A239" s="115">
        <v>16</v>
      </c>
      <c r="B239" s="116">
        <v>45954</v>
      </c>
      <c r="G239" s="115" t="s">
        <v>266</v>
      </c>
      <c r="H239" s="115">
        <v>6</v>
      </c>
      <c r="I239" s="117" t="str">
        <f t="shared" si="17"/>
        <v>AB_6</v>
      </c>
      <c r="J239" s="125" t="s">
        <v>776</v>
      </c>
      <c r="K239" s="127">
        <v>11</v>
      </c>
      <c r="L239" s="123" t="str">
        <f t="shared" si="19"/>
        <v>AB_6_11</v>
      </c>
      <c r="M239" s="125" t="s">
        <v>1039</v>
      </c>
      <c r="N239" s="115" t="s">
        <v>88</v>
      </c>
      <c r="O239" s="115" t="s">
        <v>267</v>
      </c>
      <c r="P239" s="115">
        <v>100</v>
      </c>
      <c r="Q239" s="115">
        <v>500</v>
      </c>
      <c r="S239" s="115" t="s">
        <v>270</v>
      </c>
      <c r="T239" s="115">
        <v>4</v>
      </c>
      <c r="U239" s="115">
        <v>10.11</v>
      </c>
      <c r="V239" s="115">
        <v>10.23</v>
      </c>
      <c r="W239" s="118">
        <v>4</v>
      </c>
      <c r="X239" s="118">
        <v>10.38</v>
      </c>
      <c r="Y239" s="118">
        <v>3</v>
      </c>
      <c r="Z239" s="118">
        <v>3</v>
      </c>
      <c r="AA239" s="118">
        <v>3</v>
      </c>
      <c r="AB239" s="118">
        <v>3</v>
      </c>
      <c r="AC239" s="118">
        <v>3</v>
      </c>
      <c r="AD239" s="118">
        <v>3</v>
      </c>
      <c r="AE239" s="118">
        <v>3</v>
      </c>
      <c r="AF239" s="118">
        <v>3</v>
      </c>
      <c r="AG239" s="118">
        <v>3</v>
      </c>
      <c r="AH239" s="118">
        <v>3</v>
      </c>
      <c r="AI239" s="118">
        <v>3</v>
      </c>
      <c r="AJ239" s="118">
        <v>3</v>
      </c>
      <c r="AK239" s="118">
        <v>3</v>
      </c>
      <c r="AL239" s="118">
        <v>1</v>
      </c>
      <c r="AM239" s="118">
        <v>1</v>
      </c>
      <c r="AN239" s="118">
        <v>1</v>
      </c>
      <c r="AO239" s="118">
        <v>1</v>
      </c>
      <c r="AP239" s="118">
        <v>1</v>
      </c>
      <c r="AQ239" s="118">
        <v>0</v>
      </c>
      <c r="AR239" s="118">
        <v>0</v>
      </c>
      <c r="AS239" s="118">
        <v>0</v>
      </c>
      <c r="AT239" s="118">
        <v>0</v>
      </c>
      <c r="AU239" s="118">
        <f t="shared" si="18"/>
        <v>0</v>
      </c>
    </row>
    <row r="240" spans="1:50">
      <c r="A240" s="115">
        <v>16</v>
      </c>
      <c r="B240" s="116">
        <v>45954</v>
      </c>
      <c r="G240" s="115" t="s">
        <v>266</v>
      </c>
      <c r="H240" s="115">
        <v>6</v>
      </c>
      <c r="I240" s="117" t="str">
        <f t="shared" si="17"/>
        <v>AB_6</v>
      </c>
      <c r="J240" s="125" t="s">
        <v>776</v>
      </c>
      <c r="K240" s="127">
        <v>12</v>
      </c>
      <c r="L240" s="123" t="str">
        <f t="shared" si="19"/>
        <v>AB_6_12</v>
      </c>
      <c r="M240" s="125" t="s">
        <v>1040</v>
      </c>
      <c r="N240" s="115" t="s">
        <v>88</v>
      </c>
      <c r="O240" s="115" t="s">
        <v>267</v>
      </c>
      <c r="P240" s="115">
        <v>100</v>
      </c>
      <c r="Q240" s="115">
        <v>500</v>
      </c>
      <c r="S240" s="115" t="s">
        <v>271</v>
      </c>
      <c r="T240" s="115">
        <v>4</v>
      </c>
      <c r="U240" s="115">
        <v>10.24</v>
      </c>
      <c r="V240" s="115">
        <v>10.35</v>
      </c>
      <c r="W240" s="118">
        <v>4</v>
      </c>
      <c r="X240" s="118">
        <v>10.51</v>
      </c>
      <c r="Y240" s="118">
        <v>1</v>
      </c>
      <c r="Z240" s="118">
        <v>1</v>
      </c>
      <c r="AA240" s="118">
        <v>1</v>
      </c>
      <c r="AB240" s="118">
        <v>1</v>
      </c>
      <c r="AC240" s="118">
        <v>1</v>
      </c>
      <c r="AD240" s="118">
        <v>1</v>
      </c>
      <c r="AE240" s="118">
        <v>1</v>
      </c>
      <c r="AF240" s="118">
        <v>1</v>
      </c>
      <c r="AG240" s="118">
        <v>1</v>
      </c>
      <c r="AH240" s="118">
        <v>1</v>
      </c>
      <c r="AI240" s="118">
        <v>1</v>
      </c>
      <c r="AJ240" s="118">
        <v>1</v>
      </c>
      <c r="AK240" s="118">
        <v>1</v>
      </c>
      <c r="AL240" s="118">
        <v>1</v>
      </c>
      <c r="AM240" s="118">
        <v>1</v>
      </c>
      <c r="AN240" s="118">
        <v>0</v>
      </c>
      <c r="AO240" s="118">
        <v>0</v>
      </c>
      <c r="AP240" s="118">
        <v>0</v>
      </c>
      <c r="AQ240" s="118">
        <v>0</v>
      </c>
      <c r="AR240" s="118">
        <v>0</v>
      </c>
      <c r="AS240" s="118">
        <v>0</v>
      </c>
      <c r="AT240" s="118">
        <v>0</v>
      </c>
      <c r="AU240" s="118">
        <f t="shared" si="18"/>
        <v>0</v>
      </c>
    </row>
    <row r="241" spans="1:50">
      <c r="A241" s="115">
        <v>16</v>
      </c>
      <c r="B241" s="116">
        <v>45954</v>
      </c>
      <c r="G241" s="115" t="s">
        <v>266</v>
      </c>
      <c r="H241" s="115">
        <v>6</v>
      </c>
      <c r="I241" s="117" t="str">
        <f t="shared" si="17"/>
        <v>AB_6</v>
      </c>
      <c r="J241" s="125" t="s">
        <v>776</v>
      </c>
      <c r="K241" s="127">
        <v>13</v>
      </c>
      <c r="L241" s="123" t="str">
        <f t="shared" si="19"/>
        <v>AB_6_13</v>
      </c>
      <c r="M241" s="125" t="s">
        <v>1041</v>
      </c>
      <c r="N241" s="115" t="s">
        <v>88</v>
      </c>
      <c r="O241" s="115" t="s">
        <v>267</v>
      </c>
      <c r="P241" s="115">
        <v>100</v>
      </c>
      <c r="Q241" s="115">
        <v>500</v>
      </c>
      <c r="S241" s="115" t="s">
        <v>272</v>
      </c>
      <c r="T241" s="115">
        <v>3</v>
      </c>
      <c r="U241" s="115">
        <v>10.37</v>
      </c>
      <c r="V241" s="115">
        <v>10.51</v>
      </c>
      <c r="W241" s="118">
        <v>3</v>
      </c>
      <c r="X241" s="118">
        <v>11.07</v>
      </c>
      <c r="Y241" s="118">
        <v>2</v>
      </c>
      <c r="Z241" s="118">
        <v>2</v>
      </c>
      <c r="AA241" s="118">
        <v>2</v>
      </c>
      <c r="AB241" s="118">
        <v>2</v>
      </c>
      <c r="AC241" s="118">
        <v>2</v>
      </c>
      <c r="AD241" s="118">
        <v>2</v>
      </c>
      <c r="AE241" s="118">
        <v>2</v>
      </c>
      <c r="AF241" s="118">
        <v>2</v>
      </c>
      <c r="AG241" s="118">
        <v>2</v>
      </c>
      <c r="AH241" s="118">
        <v>2</v>
      </c>
      <c r="AI241" s="118">
        <v>2</v>
      </c>
      <c r="AJ241" s="118">
        <v>2</v>
      </c>
      <c r="AK241" s="118">
        <v>2</v>
      </c>
      <c r="AL241" s="118">
        <v>1</v>
      </c>
      <c r="AM241" s="118">
        <v>1</v>
      </c>
      <c r="AN241" s="118">
        <v>0</v>
      </c>
      <c r="AO241" s="118">
        <v>0</v>
      </c>
      <c r="AP241" s="118">
        <v>0</v>
      </c>
      <c r="AQ241" s="118">
        <v>0</v>
      </c>
      <c r="AR241" s="118">
        <v>0</v>
      </c>
      <c r="AS241" s="118">
        <v>0</v>
      </c>
      <c r="AT241" s="118">
        <v>0</v>
      </c>
      <c r="AU241" s="118">
        <f t="shared" si="18"/>
        <v>0</v>
      </c>
    </row>
    <row r="242" spans="1:50">
      <c r="A242" s="115">
        <v>16</v>
      </c>
      <c r="B242" s="116">
        <v>45954</v>
      </c>
      <c r="G242" s="115" t="s">
        <v>266</v>
      </c>
      <c r="H242" s="115">
        <v>6</v>
      </c>
      <c r="I242" s="117" t="str">
        <f t="shared" si="17"/>
        <v>AB_6</v>
      </c>
      <c r="J242" s="125" t="s">
        <v>776</v>
      </c>
      <c r="K242" s="127">
        <v>14</v>
      </c>
      <c r="L242" s="123" t="str">
        <f t="shared" si="19"/>
        <v>AB_6_14</v>
      </c>
      <c r="M242" s="125" t="s">
        <v>1042</v>
      </c>
      <c r="N242" s="115" t="s">
        <v>88</v>
      </c>
      <c r="O242" s="115" t="s">
        <v>267</v>
      </c>
      <c r="P242" s="115">
        <v>100</v>
      </c>
      <c r="Q242" s="115">
        <v>500</v>
      </c>
      <c r="S242" s="115" t="s">
        <v>273</v>
      </c>
      <c r="T242" s="115">
        <v>2</v>
      </c>
      <c r="U242" s="115">
        <v>10.54</v>
      </c>
      <c r="V242" s="115">
        <v>11.03</v>
      </c>
      <c r="W242" s="118">
        <v>2</v>
      </c>
      <c r="X242" s="118">
        <v>11.2</v>
      </c>
      <c r="Y242" s="118">
        <v>2</v>
      </c>
      <c r="Z242" s="118">
        <v>2</v>
      </c>
      <c r="AA242" s="118">
        <v>2</v>
      </c>
      <c r="AB242" s="118">
        <v>2</v>
      </c>
      <c r="AC242" s="118">
        <v>2</v>
      </c>
      <c r="AD242" s="118">
        <v>2</v>
      </c>
      <c r="AE242" s="118">
        <v>2</v>
      </c>
      <c r="AF242" s="118">
        <v>2</v>
      </c>
      <c r="AG242" s="118">
        <v>2</v>
      </c>
      <c r="AH242" s="118">
        <v>2</v>
      </c>
      <c r="AI242" s="118">
        <v>2</v>
      </c>
      <c r="AJ242" s="118">
        <v>2</v>
      </c>
      <c r="AK242" s="118">
        <v>2</v>
      </c>
      <c r="AL242" s="118">
        <v>2</v>
      </c>
      <c r="AM242" s="118">
        <v>2</v>
      </c>
      <c r="AN242" s="118">
        <v>1</v>
      </c>
      <c r="AO242" s="118">
        <v>1</v>
      </c>
      <c r="AP242" s="118">
        <v>1</v>
      </c>
      <c r="AQ242" s="118">
        <v>0</v>
      </c>
      <c r="AR242" s="118">
        <v>0</v>
      </c>
      <c r="AS242" s="118">
        <v>0</v>
      </c>
      <c r="AT242" s="118">
        <v>0</v>
      </c>
      <c r="AU242" s="118">
        <f t="shared" si="18"/>
        <v>0</v>
      </c>
    </row>
    <row r="243" spans="1:50">
      <c r="A243" s="115">
        <v>16</v>
      </c>
      <c r="B243" s="116">
        <v>45954</v>
      </c>
      <c r="G243" s="115" t="s">
        <v>266</v>
      </c>
      <c r="H243" s="115">
        <v>6</v>
      </c>
      <c r="I243" s="117" t="str">
        <f t="shared" si="17"/>
        <v>AB_6</v>
      </c>
      <c r="J243" s="125" t="s">
        <v>776</v>
      </c>
      <c r="K243" s="127">
        <v>15</v>
      </c>
      <c r="L243" s="123" t="str">
        <f t="shared" si="19"/>
        <v>AB_6_15</v>
      </c>
      <c r="M243" s="125" t="s">
        <v>1043</v>
      </c>
      <c r="N243" s="115" t="s">
        <v>88</v>
      </c>
      <c r="O243" s="115" t="s">
        <v>267</v>
      </c>
      <c r="P243" s="115">
        <v>100</v>
      </c>
      <c r="Q243" s="115">
        <v>500</v>
      </c>
      <c r="S243" s="115" t="s">
        <v>274</v>
      </c>
      <c r="T243" s="115">
        <v>4</v>
      </c>
      <c r="U243" s="115">
        <v>11.05</v>
      </c>
      <c r="V243" s="115">
        <v>11.19</v>
      </c>
      <c r="W243" s="118">
        <v>4</v>
      </c>
      <c r="X243" s="118">
        <v>11.33</v>
      </c>
      <c r="Y243" s="118">
        <v>3</v>
      </c>
      <c r="Z243" s="118">
        <v>3</v>
      </c>
      <c r="AA243" s="118">
        <v>3</v>
      </c>
      <c r="AB243" s="118">
        <v>3</v>
      </c>
      <c r="AC243" s="118">
        <v>3</v>
      </c>
      <c r="AD243" s="118">
        <v>3</v>
      </c>
      <c r="AE243" s="118">
        <v>3</v>
      </c>
      <c r="AF243" s="118">
        <v>3</v>
      </c>
      <c r="AG243" s="118">
        <v>3</v>
      </c>
      <c r="AH243" s="118">
        <v>2</v>
      </c>
      <c r="AI243" s="118">
        <v>2</v>
      </c>
      <c r="AJ243" s="118">
        <v>2</v>
      </c>
      <c r="AK243" s="118">
        <v>2</v>
      </c>
      <c r="AL243" s="118">
        <v>2</v>
      </c>
      <c r="AM243" s="118">
        <v>2</v>
      </c>
      <c r="AN243" s="118">
        <v>2</v>
      </c>
      <c r="AO243" s="118">
        <v>2</v>
      </c>
      <c r="AP243" s="118">
        <v>2</v>
      </c>
      <c r="AQ243" s="118">
        <v>2</v>
      </c>
      <c r="AR243" s="118">
        <v>1</v>
      </c>
      <c r="AS243" s="118">
        <v>0</v>
      </c>
      <c r="AT243" s="118">
        <v>0</v>
      </c>
      <c r="AU243" s="118">
        <f t="shared" si="18"/>
        <v>0</v>
      </c>
    </row>
    <row r="244" spans="1:50">
      <c r="A244" s="115">
        <v>16</v>
      </c>
      <c r="B244" s="116">
        <v>45954</v>
      </c>
      <c r="G244" s="115" t="s">
        <v>266</v>
      </c>
      <c r="H244" s="115">
        <v>6</v>
      </c>
      <c r="I244" s="117" t="str">
        <f t="shared" si="17"/>
        <v>AB_6</v>
      </c>
      <c r="J244" s="125" t="s">
        <v>776</v>
      </c>
      <c r="K244" s="127">
        <v>16</v>
      </c>
      <c r="L244" s="123" t="str">
        <f t="shared" si="19"/>
        <v>AB_6_16</v>
      </c>
      <c r="M244" s="125" t="s">
        <v>1044</v>
      </c>
      <c r="N244" s="115" t="s">
        <v>88</v>
      </c>
      <c r="O244" s="115" t="s">
        <v>267</v>
      </c>
      <c r="P244" s="115">
        <v>100</v>
      </c>
      <c r="Q244" s="115">
        <v>500</v>
      </c>
      <c r="S244" s="115" t="s">
        <v>275</v>
      </c>
      <c r="T244" s="115">
        <v>2</v>
      </c>
      <c r="U244" s="115">
        <v>11.24</v>
      </c>
      <c r="V244" s="115">
        <v>11.34</v>
      </c>
      <c r="W244" s="118">
        <v>2</v>
      </c>
      <c r="X244" s="118">
        <v>11.53</v>
      </c>
      <c r="Y244" s="118">
        <v>1</v>
      </c>
      <c r="Z244" s="118">
        <v>1</v>
      </c>
      <c r="AA244" s="118">
        <v>1</v>
      </c>
      <c r="AB244" s="118">
        <v>1</v>
      </c>
      <c r="AC244" s="118">
        <v>1</v>
      </c>
      <c r="AD244" s="118">
        <v>1</v>
      </c>
      <c r="AE244" s="118">
        <v>1</v>
      </c>
      <c r="AF244" s="118">
        <v>1</v>
      </c>
      <c r="AG244" s="118">
        <v>1</v>
      </c>
      <c r="AH244" s="118">
        <v>0</v>
      </c>
      <c r="AI244" s="118">
        <v>0</v>
      </c>
      <c r="AJ244" s="118">
        <v>0</v>
      </c>
      <c r="AK244" s="118">
        <v>0</v>
      </c>
      <c r="AL244" s="118">
        <v>0</v>
      </c>
      <c r="AM244" s="118">
        <v>0</v>
      </c>
      <c r="AN244" s="118">
        <v>0</v>
      </c>
      <c r="AO244" s="118">
        <v>0</v>
      </c>
      <c r="AP244" s="118">
        <v>0</v>
      </c>
      <c r="AQ244" s="118">
        <v>0</v>
      </c>
      <c r="AR244" s="118">
        <v>0</v>
      </c>
      <c r="AS244" s="118">
        <v>0</v>
      </c>
      <c r="AT244" s="118">
        <v>0</v>
      </c>
      <c r="AU244" s="118">
        <f t="shared" si="18"/>
        <v>0</v>
      </c>
    </row>
    <row r="245" spans="1:50">
      <c r="A245" s="115">
        <v>16</v>
      </c>
      <c r="B245" s="116">
        <v>45954</v>
      </c>
      <c r="G245" s="115" t="s">
        <v>266</v>
      </c>
      <c r="H245" s="115">
        <v>6</v>
      </c>
      <c r="I245" s="117" t="str">
        <f t="shared" ref="I245:I268" si="20">_xlfn.CONCAT(N245 &amp; "_" &amp; H245)</f>
        <v>AB_6</v>
      </c>
      <c r="J245" s="125" t="s">
        <v>776</v>
      </c>
      <c r="K245" s="127">
        <v>17</v>
      </c>
      <c r="L245" s="123" t="str">
        <f t="shared" si="19"/>
        <v>AB_6_17</v>
      </c>
      <c r="M245" s="125" t="s">
        <v>1045</v>
      </c>
      <c r="N245" s="115" t="s">
        <v>88</v>
      </c>
      <c r="O245" s="115" t="s">
        <v>267</v>
      </c>
      <c r="P245" s="115">
        <v>100</v>
      </c>
      <c r="Q245" s="115">
        <v>500</v>
      </c>
      <c r="S245" s="115" t="s">
        <v>276</v>
      </c>
      <c r="T245" s="115">
        <v>2</v>
      </c>
      <c r="U245" s="115">
        <v>11.39</v>
      </c>
      <c r="V245" s="115">
        <v>11.48</v>
      </c>
      <c r="W245" s="118">
        <v>2</v>
      </c>
      <c r="X245" s="118">
        <v>12.06</v>
      </c>
      <c r="Y245" s="118">
        <v>2</v>
      </c>
      <c r="Z245" s="118">
        <v>2</v>
      </c>
      <c r="AA245" s="118">
        <v>2</v>
      </c>
      <c r="AB245" s="118">
        <v>0</v>
      </c>
      <c r="AC245" s="118">
        <v>0</v>
      </c>
      <c r="AD245" s="118">
        <v>0</v>
      </c>
      <c r="AE245" s="118">
        <v>0</v>
      </c>
      <c r="AF245" s="118">
        <v>0</v>
      </c>
      <c r="AG245" s="118">
        <v>0</v>
      </c>
      <c r="AH245" s="118">
        <v>0</v>
      </c>
      <c r="AI245" s="118">
        <v>0</v>
      </c>
      <c r="AJ245" s="118">
        <v>0</v>
      </c>
      <c r="AK245" s="118">
        <v>0</v>
      </c>
      <c r="AL245" s="118">
        <v>0</v>
      </c>
      <c r="AM245" s="118">
        <v>0</v>
      </c>
      <c r="AN245" s="118">
        <v>0</v>
      </c>
      <c r="AO245" s="118">
        <v>0</v>
      </c>
      <c r="AP245" s="118">
        <v>0</v>
      </c>
      <c r="AQ245" s="118">
        <v>0</v>
      </c>
      <c r="AR245" s="118">
        <v>0</v>
      </c>
      <c r="AS245" s="118">
        <v>0</v>
      </c>
      <c r="AT245" s="118">
        <v>0</v>
      </c>
      <c r="AU245" s="118">
        <f t="shared" si="18"/>
        <v>0</v>
      </c>
    </row>
    <row r="246" spans="1:50">
      <c r="A246" s="115">
        <v>16</v>
      </c>
      <c r="B246" s="116">
        <v>45954</v>
      </c>
      <c r="G246" s="115" t="s">
        <v>266</v>
      </c>
      <c r="H246" s="115">
        <v>6</v>
      </c>
      <c r="I246" s="117" t="str">
        <f t="shared" si="20"/>
        <v>AB_6</v>
      </c>
      <c r="J246" s="125" t="s">
        <v>776</v>
      </c>
      <c r="K246" s="127">
        <v>18</v>
      </c>
      <c r="L246" s="123" t="str">
        <f t="shared" si="19"/>
        <v>AB_6_18</v>
      </c>
      <c r="M246" s="125" t="s">
        <v>1046</v>
      </c>
      <c r="N246" s="115" t="s">
        <v>88</v>
      </c>
      <c r="O246" s="115" t="s">
        <v>267</v>
      </c>
      <c r="P246" s="115">
        <v>100</v>
      </c>
      <c r="Q246" s="115">
        <v>500</v>
      </c>
      <c r="S246" s="115" t="s">
        <v>277</v>
      </c>
      <c r="T246" s="115">
        <v>3</v>
      </c>
      <c r="U246" s="115">
        <v>11.5</v>
      </c>
      <c r="V246" s="115">
        <v>12.02</v>
      </c>
      <c r="W246" s="118">
        <v>3</v>
      </c>
      <c r="X246" s="118">
        <v>12.19</v>
      </c>
      <c r="Y246" s="118">
        <v>2</v>
      </c>
      <c r="Z246" s="118">
        <v>2</v>
      </c>
      <c r="AA246" s="118">
        <v>0</v>
      </c>
      <c r="AB246" s="118">
        <v>0</v>
      </c>
      <c r="AC246" s="118">
        <v>0</v>
      </c>
      <c r="AD246" s="118">
        <v>0</v>
      </c>
      <c r="AE246" s="118">
        <v>0</v>
      </c>
      <c r="AF246" s="118">
        <v>0</v>
      </c>
      <c r="AG246" s="118">
        <v>0</v>
      </c>
      <c r="AH246" s="118">
        <v>0</v>
      </c>
      <c r="AI246" s="118">
        <v>0</v>
      </c>
      <c r="AJ246" s="118">
        <v>0</v>
      </c>
      <c r="AK246" s="118">
        <v>0</v>
      </c>
      <c r="AL246" s="118">
        <v>0</v>
      </c>
      <c r="AM246" s="118">
        <v>0</v>
      </c>
      <c r="AN246" s="118">
        <v>0</v>
      </c>
      <c r="AO246" s="118">
        <v>0</v>
      </c>
      <c r="AP246" s="118">
        <v>0</v>
      </c>
      <c r="AQ246" s="118">
        <v>0</v>
      </c>
      <c r="AR246" s="118">
        <v>0</v>
      </c>
      <c r="AS246" s="118">
        <v>0</v>
      </c>
      <c r="AT246" s="118">
        <v>0</v>
      </c>
      <c r="AU246" s="118">
        <f t="shared" si="18"/>
        <v>0</v>
      </c>
    </row>
    <row r="247" spans="1:50">
      <c r="A247" s="115">
        <v>16</v>
      </c>
      <c r="B247" s="116">
        <v>45954</v>
      </c>
      <c r="G247" s="115" t="s">
        <v>266</v>
      </c>
      <c r="H247" s="115">
        <v>6</v>
      </c>
      <c r="I247" s="117" t="str">
        <f t="shared" si="20"/>
        <v>AB_6</v>
      </c>
      <c r="J247" s="125" t="s">
        <v>776</v>
      </c>
      <c r="K247" s="127">
        <v>19</v>
      </c>
      <c r="L247" s="123" t="str">
        <f t="shared" si="19"/>
        <v>AB_6_19</v>
      </c>
      <c r="M247" s="125" t="s">
        <v>1047</v>
      </c>
      <c r="N247" s="115" t="s">
        <v>88</v>
      </c>
      <c r="O247" s="115" t="s">
        <v>267</v>
      </c>
      <c r="P247" s="115">
        <v>100</v>
      </c>
      <c r="Q247" s="115">
        <v>500</v>
      </c>
      <c r="S247" s="115" t="s">
        <v>278</v>
      </c>
      <c r="T247" s="115">
        <v>1</v>
      </c>
      <c r="U247" s="115">
        <v>12.04</v>
      </c>
      <c r="V247" s="115">
        <v>12.15</v>
      </c>
      <c r="W247" s="118">
        <v>1</v>
      </c>
      <c r="X247" s="118">
        <v>12.3</v>
      </c>
      <c r="Y247" s="118">
        <v>1</v>
      </c>
      <c r="Z247" s="118">
        <v>0</v>
      </c>
      <c r="AA247" s="118">
        <v>0</v>
      </c>
      <c r="AB247" s="118">
        <v>0</v>
      </c>
      <c r="AC247" s="118">
        <v>0</v>
      </c>
      <c r="AD247" s="118">
        <v>0</v>
      </c>
      <c r="AE247" s="118">
        <v>0</v>
      </c>
      <c r="AF247" s="118">
        <v>0</v>
      </c>
      <c r="AG247" s="118">
        <v>0</v>
      </c>
      <c r="AH247" s="118">
        <v>0</v>
      </c>
      <c r="AI247" s="118">
        <v>0</v>
      </c>
      <c r="AJ247" s="118">
        <v>0</v>
      </c>
      <c r="AK247" s="118">
        <v>0</v>
      </c>
      <c r="AL247" s="118">
        <v>0</v>
      </c>
      <c r="AM247" s="118">
        <v>0</v>
      </c>
      <c r="AN247" s="118">
        <v>0</v>
      </c>
      <c r="AO247" s="118">
        <v>0</v>
      </c>
      <c r="AP247" s="118">
        <v>0</v>
      </c>
      <c r="AQ247" s="118">
        <v>0</v>
      </c>
      <c r="AR247" s="118">
        <v>0</v>
      </c>
      <c r="AS247" s="118">
        <v>0</v>
      </c>
      <c r="AT247" s="118">
        <v>0</v>
      </c>
      <c r="AU247" s="118">
        <f t="shared" si="18"/>
        <v>0</v>
      </c>
    </row>
    <row r="248" spans="1:50">
      <c r="A248" s="115">
        <v>17</v>
      </c>
      <c r="B248" s="116">
        <v>45958</v>
      </c>
      <c r="C248" s="115" t="s">
        <v>251</v>
      </c>
      <c r="D248" s="115" t="s">
        <v>279</v>
      </c>
      <c r="F248" s="115" t="s">
        <v>231</v>
      </c>
      <c r="G248" s="115" t="s">
        <v>280</v>
      </c>
      <c r="H248" s="115">
        <v>7</v>
      </c>
      <c r="I248" s="117" t="str">
        <f t="shared" si="20"/>
        <v>AB_7</v>
      </c>
      <c r="J248" s="125" t="s">
        <v>777</v>
      </c>
      <c r="K248" s="127">
        <v>1</v>
      </c>
      <c r="L248" s="123" t="str">
        <f t="shared" si="19"/>
        <v>AB_7_1</v>
      </c>
      <c r="M248" s="125" t="s">
        <v>1048</v>
      </c>
      <c r="N248" s="115" t="s">
        <v>88</v>
      </c>
      <c r="O248" s="115" t="s">
        <v>281</v>
      </c>
      <c r="P248" s="115">
        <v>100</v>
      </c>
      <c r="Q248" s="115">
        <v>500</v>
      </c>
      <c r="R248" s="115">
        <v>70</v>
      </c>
      <c r="S248" s="115" t="s">
        <v>282</v>
      </c>
      <c r="T248" s="115">
        <v>3</v>
      </c>
      <c r="U248" s="115">
        <v>10.45</v>
      </c>
      <c r="V248" s="115">
        <v>11.03</v>
      </c>
      <c r="W248" s="118">
        <v>3</v>
      </c>
      <c r="X248" s="118">
        <v>11.16</v>
      </c>
      <c r="Y248" s="118">
        <v>1</v>
      </c>
      <c r="Z248" s="118">
        <v>1</v>
      </c>
      <c r="AA248" s="118">
        <v>1</v>
      </c>
      <c r="AB248" s="118">
        <v>1</v>
      </c>
      <c r="AC248" s="118">
        <v>1</v>
      </c>
      <c r="AD248" s="118">
        <v>1</v>
      </c>
      <c r="AE248" s="118">
        <v>1</v>
      </c>
      <c r="AF248" s="118">
        <v>1</v>
      </c>
      <c r="AG248" s="118">
        <v>1</v>
      </c>
      <c r="AH248" s="118">
        <v>1</v>
      </c>
      <c r="AI248" s="118">
        <v>1</v>
      </c>
      <c r="AJ248" s="118">
        <v>1</v>
      </c>
      <c r="AK248" s="118">
        <v>1</v>
      </c>
      <c r="AL248" s="118">
        <v>1</v>
      </c>
      <c r="AM248" s="118">
        <v>0</v>
      </c>
      <c r="AN248" s="118">
        <v>0</v>
      </c>
      <c r="AO248" s="118">
        <v>0</v>
      </c>
      <c r="AP248" s="118">
        <v>0</v>
      </c>
      <c r="AQ248" s="118">
        <v>0</v>
      </c>
      <c r="AR248" s="118">
        <v>0</v>
      </c>
      <c r="AS248" s="118">
        <v>0</v>
      </c>
      <c r="AT248" s="118">
        <v>0</v>
      </c>
      <c r="AU248" s="118">
        <f t="shared" si="18"/>
        <v>0</v>
      </c>
      <c r="AX248" s="114" t="s">
        <v>53</v>
      </c>
    </row>
    <row r="249" spans="1:50">
      <c r="A249" s="115">
        <v>17</v>
      </c>
      <c r="B249" s="116">
        <v>45958</v>
      </c>
      <c r="D249" s="115" t="s">
        <v>283</v>
      </c>
      <c r="G249" s="115" t="s">
        <v>280</v>
      </c>
      <c r="H249" s="115">
        <v>7</v>
      </c>
      <c r="I249" s="117" t="str">
        <f t="shared" si="20"/>
        <v>AB_7</v>
      </c>
      <c r="J249" s="125" t="s">
        <v>777</v>
      </c>
      <c r="K249" s="127">
        <v>2</v>
      </c>
      <c r="L249" s="123" t="str">
        <f t="shared" si="19"/>
        <v>AB_7_2</v>
      </c>
      <c r="M249" s="125" t="s">
        <v>1049</v>
      </c>
      <c r="N249" s="115" t="s">
        <v>88</v>
      </c>
      <c r="O249" s="115" t="s">
        <v>281</v>
      </c>
      <c r="P249" s="115">
        <v>100</v>
      </c>
      <c r="Q249" s="115">
        <v>500</v>
      </c>
      <c r="S249" s="115" t="s">
        <v>284</v>
      </c>
      <c r="T249" s="115">
        <v>3</v>
      </c>
      <c r="U249" s="115">
        <v>11.05</v>
      </c>
      <c r="V249" s="115">
        <v>11.17</v>
      </c>
      <c r="W249" s="118">
        <v>3</v>
      </c>
      <c r="X249" s="118">
        <v>11.31</v>
      </c>
      <c r="Y249" s="118">
        <v>0</v>
      </c>
      <c r="Z249" s="118">
        <v>0</v>
      </c>
      <c r="AA249" s="118">
        <v>0</v>
      </c>
      <c r="AB249" s="118">
        <v>0</v>
      </c>
      <c r="AC249" s="118">
        <v>0</v>
      </c>
      <c r="AD249" s="118">
        <v>0</v>
      </c>
      <c r="AE249" s="118">
        <v>0</v>
      </c>
      <c r="AF249" s="118">
        <v>0</v>
      </c>
      <c r="AG249" s="118">
        <v>0</v>
      </c>
      <c r="AH249" s="118">
        <v>0</v>
      </c>
      <c r="AI249" s="118">
        <v>0</v>
      </c>
      <c r="AJ249" s="118">
        <v>0</v>
      </c>
      <c r="AK249" s="118">
        <v>0</v>
      </c>
      <c r="AL249" s="118">
        <v>0</v>
      </c>
      <c r="AM249" s="118">
        <v>0</v>
      </c>
      <c r="AN249" s="118">
        <v>0</v>
      </c>
      <c r="AO249" s="118">
        <v>0</v>
      </c>
      <c r="AP249" s="118">
        <v>0</v>
      </c>
      <c r="AQ249" s="118">
        <v>0</v>
      </c>
      <c r="AR249" s="118">
        <v>0</v>
      </c>
      <c r="AS249" s="118">
        <v>0</v>
      </c>
      <c r="AT249" s="118">
        <v>0</v>
      </c>
      <c r="AU249" s="118">
        <f t="shared" si="18"/>
        <v>0</v>
      </c>
    </row>
    <row r="250" spans="1:50">
      <c r="A250" s="115">
        <v>17</v>
      </c>
      <c r="B250" s="116">
        <v>45958</v>
      </c>
      <c r="G250" s="115" t="s">
        <v>280</v>
      </c>
      <c r="H250" s="115">
        <v>7</v>
      </c>
      <c r="I250" s="117" t="str">
        <f t="shared" si="20"/>
        <v>AB_7</v>
      </c>
      <c r="J250" s="125" t="s">
        <v>777</v>
      </c>
      <c r="K250" s="127">
        <v>3</v>
      </c>
      <c r="L250" s="123" t="str">
        <f t="shared" si="19"/>
        <v>AB_7_3</v>
      </c>
      <c r="M250" s="125" t="s">
        <v>1050</v>
      </c>
      <c r="N250" s="115" t="s">
        <v>88</v>
      </c>
      <c r="O250" s="115" t="s">
        <v>281</v>
      </c>
      <c r="P250" s="115">
        <v>100</v>
      </c>
      <c r="Q250" s="115">
        <v>500</v>
      </c>
      <c r="S250" s="115" t="s">
        <v>285</v>
      </c>
      <c r="T250" s="115">
        <v>4</v>
      </c>
      <c r="U250" s="115">
        <v>11.2</v>
      </c>
      <c r="V250" s="115">
        <v>11.33</v>
      </c>
      <c r="W250" s="118">
        <v>4</v>
      </c>
      <c r="X250" s="118">
        <v>11.48</v>
      </c>
      <c r="Y250" s="118">
        <v>2</v>
      </c>
      <c r="Z250" s="118">
        <v>2</v>
      </c>
      <c r="AA250" s="118">
        <v>2</v>
      </c>
      <c r="AB250" s="118">
        <v>2</v>
      </c>
      <c r="AC250" s="118">
        <v>2</v>
      </c>
      <c r="AD250" s="118">
        <v>2</v>
      </c>
      <c r="AE250" s="118">
        <v>2</v>
      </c>
      <c r="AF250" s="118">
        <v>2</v>
      </c>
      <c r="AG250" s="118">
        <v>2</v>
      </c>
      <c r="AH250" s="118">
        <v>2</v>
      </c>
      <c r="AI250" s="118">
        <v>2</v>
      </c>
      <c r="AJ250" s="118">
        <v>2</v>
      </c>
      <c r="AK250" s="118">
        <v>2</v>
      </c>
      <c r="AL250" s="118">
        <v>0</v>
      </c>
      <c r="AM250" s="118">
        <v>0</v>
      </c>
      <c r="AN250" s="118">
        <v>0</v>
      </c>
      <c r="AO250" s="118">
        <v>0</v>
      </c>
      <c r="AP250" s="118">
        <v>0</v>
      </c>
      <c r="AQ250" s="118">
        <v>0</v>
      </c>
      <c r="AR250" s="118">
        <v>0</v>
      </c>
      <c r="AS250" s="118">
        <v>0</v>
      </c>
      <c r="AT250" s="118">
        <v>0</v>
      </c>
      <c r="AU250" s="118">
        <f t="shared" si="18"/>
        <v>0</v>
      </c>
    </row>
    <row r="251" spans="1:50">
      <c r="A251" s="115">
        <v>17</v>
      </c>
      <c r="B251" s="116">
        <v>45958</v>
      </c>
      <c r="G251" s="115" t="s">
        <v>280</v>
      </c>
      <c r="H251" s="115">
        <v>7</v>
      </c>
      <c r="I251" s="117" t="str">
        <f t="shared" si="20"/>
        <v>AB_7</v>
      </c>
      <c r="J251" s="125" t="s">
        <v>777</v>
      </c>
      <c r="K251" s="127">
        <v>4</v>
      </c>
      <c r="L251" s="123" t="str">
        <f t="shared" si="19"/>
        <v>AB_7_4</v>
      </c>
      <c r="M251" s="125" t="s">
        <v>1051</v>
      </c>
      <c r="N251" s="115" t="s">
        <v>88</v>
      </c>
      <c r="O251" s="115" t="s">
        <v>281</v>
      </c>
      <c r="P251" s="115">
        <v>100</v>
      </c>
      <c r="Q251" s="115">
        <v>500</v>
      </c>
      <c r="S251" s="115" t="s">
        <v>286</v>
      </c>
      <c r="T251" s="115">
        <v>3</v>
      </c>
      <c r="U251" s="115">
        <v>11.37</v>
      </c>
      <c r="V251" s="115">
        <v>11.51</v>
      </c>
      <c r="W251" s="118">
        <v>3</v>
      </c>
      <c r="X251" s="118">
        <v>12.04</v>
      </c>
      <c r="Y251" s="118">
        <v>1</v>
      </c>
      <c r="Z251" s="118">
        <v>1</v>
      </c>
      <c r="AA251" s="118">
        <v>1</v>
      </c>
      <c r="AB251" s="118">
        <v>1</v>
      </c>
      <c r="AC251" s="118">
        <v>1</v>
      </c>
      <c r="AD251" s="118">
        <v>1</v>
      </c>
      <c r="AE251" s="118">
        <v>1</v>
      </c>
      <c r="AF251" s="118">
        <v>1</v>
      </c>
      <c r="AG251" s="118">
        <v>1</v>
      </c>
      <c r="AH251" s="118">
        <v>1</v>
      </c>
      <c r="AI251" s="118">
        <v>1</v>
      </c>
      <c r="AJ251" s="118">
        <v>1</v>
      </c>
      <c r="AK251" s="118">
        <v>1</v>
      </c>
      <c r="AL251" s="118">
        <v>1</v>
      </c>
      <c r="AM251" s="118">
        <v>0</v>
      </c>
      <c r="AN251" s="118">
        <v>0</v>
      </c>
      <c r="AO251" s="118">
        <v>0</v>
      </c>
      <c r="AP251" s="118">
        <v>0</v>
      </c>
      <c r="AQ251" s="118">
        <v>0</v>
      </c>
      <c r="AR251" s="118">
        <v>0</v>
      </c>
      <c r="AS251" s="118">
        <v>0</v>
      </c>
      <c r="AT251" s="118">
        <v>0</v>
      </c>
      <c r="AU251" s="118">
        <f t="shared" si="18"/>
        <v>0</v>
      </c>
    </row>
    <row r="252" spans="1:50">
      <c r="A252" s="115">
        <v>17</v>
      </c>
      <c r="B252" s="116">
        <v>45958</v>
      </c>
      <c r="G252" s="115" t="s">
        <v>280</v>
      </c>
      <c r="H252" s="115">
        <v>7</v>
      </c>
      <c r="I252" s="117" t="str">
        <f t="shared" si="20"/>
        <v>AB_7</v>
      </c>
      <c r="J252" s="125" t="s">
        <v>777</v>
      </c>
      <c r="K252" s="127">
        <v>5</v>
      </c>
      <c r="L252" s="123" t="str">
        <f t="shared" si="19"/>
        <v>AB_7_5</v>
      </c>
      <c r="M252" s="125" t="s">
        <v>1052</v>
      </c>
      <c r="N252" s="115" t="s">
        <v>88</v>
      </c>
      <c r="O252" s="115" t="s">
        <v>281</v>
      </c>
      <c r="P252" s="115">
        <v>100</v>
      </c>
      <c r="Q252" s="115">
        <v>500</v>
      </c>
      <c r="S252" s="115" t="s">
        <v>287</v>
      </c>
      <c r="T252" s="115">
        <v>3</v>
      </c>
      <c r="U252" s="115">
        <v>11.52</v>
      </c>
      <c r="V252" s="115">
        <v>12.01</v>
      </c>
      <c r="W252" s="118">
        <v>3</v>
      </c>
      <c r="X252" s="118">
        <v>12.16</v>
      </c>
      <c r="Y252" s="118">
        <v>2</v>
      </c>
      <c r="Z252" s="118">
        <v>2</v>
      </c>
      <c r="AA252" s="118">
        <v>2</v>
      </c>
      <c r="AB252" s="118">
        <v>2</v>
      </c>
      <c r="AC252" s="118">
        <v>2</v>
      </c>
      <c r="AD252" s="118">
        <v>2</v>
      </c>
      <c r="AE252" s="118">
        <v>2</v>
      </c>
      <c r="AF252" s="118">
        <v>2</v>
      </c>
      <c r="AG252" s="118">
        <v>2</v>
      </c>
      <c r="AH252" s="118">
        <v>2</v>
      </c>
      <c r="AI252" s="118">
        <v>2</v>
      </c>
      <c r="AJ252" s="118">
        <v>2</v>
      </c>
      <c r="AK252" s="118">
        <v>2</v>
      </c>
      <c r="AL252" s="118">
        <v>2</v>
      </c>
      <c r="AM252" s="118">
        <v>1</v>
      </c>
      <c r="AN252" s="118">
        <v>0</v>
      </c>
      <c r="AO252" s="118">
        <v>0</v>
      </c>
      <c r="AP252" s="118">
        <v>0</v>
      </c>
      <c r="AQ252" s="118">
        <v>0</v>
      </c>
      <c r="AR252" s="118">
        <v>0</v>
      </c>
      <c r="AS252" s="118">
        <v>0</v>
      </c>
      <c r="AT252" s="118">
        <v>0</v>
      </c>
      <c r="AU252" s="118">
        <f t="shared" si="18"/>
        <v>0</v>
      </c>
    </row>
    <row r="253" spans="1:50">
      <c r="A253" s="115">
        <v>17</v>
      </c>
      <c r="B253" s="116">
        <v>45958</v>
      </c>
      <c r="G253" s="115" t="s">
        <v>280</v>
      </c>
      <c r="H253" s="115">
        <v>7</v>
      </c>
      <c r="I253" s="117" t="str">
        <f t="shared" si="20"/>
        <v>AB_7</v>
      </c>
      <c r="J253" s="125" t="s">
        <v>777</v>
      </c>
      <c r="K253" s="127">
        <v>6</v>
      </c>
      <c r="L253" s="123" t="str">
        <f t="shared" si="19"/>
        <v>AB_7_6</v>
      </c>
      <c r="M253" s="125" t="s">
        <v>1053</v>
      </c>
      <c r="N253" s="115" t="s">
        <v>88</v>
      </c>
      <c r="O253" s="115" t="s">
        <v>281</v>
      </c>
      <c r="P253" s="115">
        <v>100</v>
      </c>
      <c r="Q253" s="115">
        <v>500</v>
      </c>
      <c r="S253" s="115" t="s">
        <v>288</v>
      </c>
      <c r="T253" s="115">
        <v>2</v>
      </c>
      <c r="U253" s="115">
        <v>12.01</v>
      </c>
      <c r="V253" s="115">
        <v>12.11</v>
      </c>
      <c r="W253" s="118">
        <v>2</v>
      </c>
      <c r="X253" s="118">
        <v>12.3</v>
      </c>
      <c r="Y253" s="118">
        <v>1</v>
      </c>
      <c r="Z253" s="118">
        <v>1</v>
      </c>
      <c r="AA253" s="118">
        <v>1</v>
      </c>
      <c r="AB253" s="118">
        <v>1</v>
      </c>
      <c r="AC253" s="118">
        <v>1</v>
      </c>
      <c r="AD253" s="118">
        <v>1</v>
      </c>
      <c r="AE253" s="118">
        <v>1</v>
      </c>
      <c r="AF253" s="118">
        <v>1</v>
      </c>
      <c r="AG253" s="118">
        <v>1</v>
      </c>
      <c r="AH253" s="118">
        <v>1</v>
      </c>
      <c r="AI253" s="118">
        <v>1</v>
      </c>
      <c r="AJ253" s="118">
        <v>1</v>
      </c>
      <c r="AK253" s="118">
        <v>0</v>
      </c>
      <c r="AL253" s="118">
        <v>0</v>
      </c>
      <c r="AM253" s="118">
        <v>0</v>
      </c>
      <c r="AN253" s="118">
        <v>0</v>
      </c>
      <c r="AO253" s="118">
        <v>0</v>
      </c>
      <c r="AP253" s="118">
        <v>0</v>
      </c>
      <c r="AQ253" s="118">
        <v>0</v>
      </c>
      <c r="AR253" s="118">
        <v>0</v>
      </c>
      <c r="AS253" s="118">
        <v>0</v>
      </c>
      <c r="AT253" s="118">
        <v>0</v>
      </c>
      <c r="AU253" s="118">
        <f t="shared" si="18"/>
        <v>0</v>
      </c>
    </row>
    <row r="254" spans="1:50">
      <c r="A254" s="115">
        <v>17</v>
      </c>
      <c r="B254" s="116">
        <v>45958</v>
      </c>
      <c r="G254" s="115" t="s">
        <v>280</v>
      </c>
      <c r="H254" s="115">
        <v>7</v>
      </c>
      <c r="I254" s="117" t="str">
        <f t="shared" si="20"/>
        <v>AB_7</v>
      </c>
      <c r="J254" s="125" t="s">
        <v>777</v>
      </c>
      <c r="K254" s="127">
        <v>7</v>
      </c>
      <c r="L254" s="123" t="str">
        <f t="shared" si="19"/>
        <v>AB_7_7</v>
      </c>
      <c r="M254" s="125" t="s">
        <v>1054</v>
      </c>
      <c r="N254" s="115" t="s">
        <v>88</v>
      </c>
      <c r="O254" s="115" t="s">
        <v>281</v>
      </c>
      <c r="P254" s="115">
        <v>100</v>
      </c>
      <c r="Q254" s="115">
        <v>500</v>
      </c>
      <c r="S254" s="115" t="s">
        <v>289</v>
      </c>
      <c r="T254" s="115">
        <v>4</v>
      </c>
      <c r="U254" s="115">
        <v>12.12</v>
      </c>
      <c r="V254" s="115">
        <v>12.25</v>
      </c>
      <c r="W254" s="118">
        <v>4</v>
      </c>
      <c r="X254" s="118">
        <v>12.39</v>
      </c>
      <c r="Y254" s="118">
        <v>1</v>
      </c>
      <c r="Z254" s="118">
        <v>1</v>
      </c>
      <c r="AA254" s="118">
        <v>1</v>
      </c>
      <c r="AB254" s="118">
        <v>1</v>
      </c>
      <c r="AC254" s="118">
        <v>1</v>
      </c>
      <c r="AD254" s="118">
        <v>1</v>
      </c>
      <c r="AE254" s="118">
        <v>1</v>
      </c>
      <c r="AF254" s="118">
        <v>1</v>
      </c>
      <c r="AG254" s="118">
        <v>1</v>
      </c>
      <c r="AH254" s="118">
        <v>1</v>
      </c>
      <c r="AI254" s="118">
        <v>1</v>
      </c>
      <c r="AJ254" s="118">
        <v>1</v>
      </c>
      <c r="AK254" s="118">
        <v>0</v>
      </c>
      <c r="AL254" s="118">
        <v>0</v>
      </c>
      <c r="AM254" s="118">
        <v>0</v>
      </c>
      <c r="AN254" s="118">
        <v>0</v>
      </c>
      <c r="AO254" s="118">
        <v>0</v>
      </c>
      <c r="AP254" s="118">
        <v>0</v>
      </c>
      <c r="AQ254" s="118">
        <v>0</v>
      </c>
      <c r="AR254" s="118">
        <v>0</v>
      </c>
      <c r="AS254" s="118">
        <v>0</v>
      </c>
      <c r="AT254" s="118">
        <v>0</v>
      </c>
      <c r="AU254" s="118">
        <f t="shared" si="18"/>
        <v>0</v>
      </c>
    </row>
    <row r="255" spans="1:50">
      <c r="A255" s="115">
        <v>17</v>
      </c>
      <c r="B255" s="116">
        <v>45958</v>
      </c>
      <c r="G255" s="115" t="s">
        <v>280</v>
      </c>
      <c r="H255" s="115">
        <v>7</v>
      </c>
      <c r="I255" s="117" t="str">
        <f t="shared" si="20"/>
        <v>AB_7</v>
      </c>
      <c r="J255" s="125" t="s">
        <v>777</v>
      </c>
      <c r="K255" s="127">
        <v>8</v>
      </c>
      <c r="L255" s="123" t="str">
        <f t="shared" si="19"/>
        <v>AB_7_8</v>
      </c>
      <c r="M255" s="125" t="s">
        <v>1055</v>
      </c>
      <c r="N255" s="115" t="s">
        <v>88</v>
      </c>
      <c r="O255" s="115" t="s">
        <v>281</v>
      </c>
      <c r="P255" s="115">
        <v>100</v>
      </c>
      <c r="Q255" s="115">
        <v>500</v>
      </c>
      <c r="S255" s="115" t="s">
        <v>290</v>
      </c>
      <c r="T255" s="115">
        <v>4</v>
      </c>
      <c r="U255" s="115">
        <v>12.27</v>
      </c>
      <c r="V255" s="115">
        <v>12.43</v>
      </c>
      <c r="W255" s="118">
        <v>4</v>
      </c>
      <c r="X255" s="118">
        <v>12.57</v>
      </c>
      <c r="Y255" s="118">
        <v>1</v>
      </c>
      <c r="Z255" s="118">
        <v>1</v>
      </c>
      <c r="AA255" s="118">
        <v>1</v>
      </c>
      <c r="AB255" s="118">
        <v>1</v>
      </c>
      <c r="AC255" s="118">
        <v>1</v>
      </c>
      <c r="AD255" s="118">
        <v>1</v>
      </c>
      <c r="AE255" s="118">
        <v>1</v>
      </c>
      <c r="AF255" s="118">
        <v>1</v>
      </c>
      <c r="AG255" s="118">
        <v>1</v>
      </c>
      <c r="AH255" s="118">
        <v>1</v>
      </c>
      <c r="AI255" s="118">
        <v>1</v>
      </c>
      <c r="AJ255" s="118">
        <v>0</v>
      </c>
      <c r="AK255" s="118">
        <v>0</v>
      </c>
      <c r="AL255" s="118">
        <v>0</v>
      </c>
      <c r="AM255" s="118">
        <v>0</v>
      </c>
      <c r="AN255" s="118">
        <v>0</v>
      </c>
      <c r="AO255" s="118">
        <v>0</v>
      </c>
      <c r="AP255" s="118">
        <v>0</v>
      </c>
      <c r="AQ255" s="118">
        <v>0</v>
      </c>
      <c r="AR255" s="118">
        <v>0</v>
      </c>
      <c r="AS255" s="118">
        <v>0</v>
      </c>
      <c r="AT255" s="118">
        <v>0</v>
      </c>
      <c r="AU255" s="118">
        <f t="shared" si="18"/>
        <v>0</v>
      </c>
    </row>
    <row r="256" spans="1:50">
      <c r="A256" s="115">
        <v>17</v>
      </c>
      <c r="B256" s="116">
        <v>45958</v>
      </c>
      <c r="G256" s="115" t="s">
        <v>280</v>
      </c>
      <c r="H256" s="115">
        <v>7</v>
      </c>
      <c r="I256" s="117" t="str">
        <f t="shared" si="20"/>
        <v>AB_7</v>
      </c>
      <c r="J256" s="125" t="s">
        <v>777</v>
      </c>
      <c r="K256" s="127">
        <v>9</v>
      </c>
      <c r="L256" s="123" t="str">
        <f t="shared" si="19"/>
        <v>AB_7_9</v>
      </c>
      <c r="M256" s="125" t="s">
        <v>1056</v>
      </c>
      <c r="N256" s="115" t="s">
        <v>88</v>
      </c>
      <c r="O256" s="115" t="s">
        <v>281</v>
      </c>
      <c r="P256" s="115">
        <v>100</v>
      </c>
      <c r="Q256" s="115">
        <v>500</v>
      </c>
      <c r="S256" s="115" t="s">
        <v>291</v>
      </c>
      <c r="T256" s="115">
        <v>3</v>
      </c>
      <c r="U256" s="115">
        <v>12.45</v>
      </c>
      <c r="V256" s="115">
        <v>12.57</v>
      </c>
      <c r="W256" s="118">
        <v>3</v>
      </c>
      <c r="X256" s="118">
        <v>13.13</v>
      </c>
      <c r="Y256" s="118">
        <v>2</v>
      </c>
      <c r="Z256" s="118">
        <v>2</v>
      </c>
      <c r="AA256" s="118">
        <v>2</v>
      </c>
      <c r="AB256" s="118">
        <v>2</v>
      </c>
      <c r="AC256" s="118">
        <v>2</v>
      </c>
      <c r="AD256" s="118">
        <v>2</v>
      </c>
      <c r="AE256" s="118">
        <v>2</v>
      </c>
      <c r="AF256" s="118">
        <v>2</v>
      </c>
      <c r="AG256" s="118">
        <v>2</v>
      </c>
      <c r="AH256" s="118">
        <v>2</v>
      </c>
      <c r="AI256" s="118">
        <v>2</v>
      </c>
      <c r="AJ256" s="118">
        <v>2</v>
      </c>
      <c r="AK256" s="118">
        <v>0</v>
      </c>
      <c r="AL256" s="118">
        <v>0</v>
      </c>
      <c r="AM256" s="118">
        <v>0</v>
      </c>
      <c r="AN256" s="118">
        <v>0</v>
      </c>
      <c r="AO256" s="118">
        <v>0</v>
      </c>
      <c r="AP256" s="118">
        <v>0</v>
      </c>
      <c r="AQ256" s="118">
        <v>0</v>
      </c>
      <c r="AR256" s="118">
        <v>0</v>
      </c>
      <c r="AS256" s="118">
        <v>0</v>
      </c>
      <c r="AT256" s="118">
        <v>0</v>
      </c>
      <c r="AU256" s="118">
        <f t="shared" si="18"/>
        <v>0</v>
      </c>
    </row>
    <row r="257" spans="1:50">
      <c r="A257" s="115">
        <v>17</v>
      </c>
      <c r="B257" s="116">
        <v>45958</v>
      </c>
      <c r="G257" s="115" t="s">
        <v>280</v>
      </c>
      <c r="H257" s="115">
        <v>7</v>
      </c>
      <c r="I257" s="117" t="str">
        <f t="shared" si="20"/>
        <v>AB_7</v>
      </c>
      <c r="J257" s="125" t="s">
        <v>777</v>
      </c>
      <c r="K257" s="127">
        <v>10</v>
      </c>
      <c r="L257" s="123" t="str">
        <f t="shared" si="19"/>
        <v>AB_7_10</v>
      </c>
      <c r="M257" s="125" t="s">
        <v>1057</v>
      </c>
      <c r="N257" s="115" t="s">
        <v>88</v>
      </c>
      <c r="O257" s="115" t="s">
        <v>281</v>
      </c>
      <c r="P257" s="115">
        <v>100</v>
      </c>
      <c r="Q257" s="115">
        <v>500</v>
      </c>
      <c r="S257" s="115" t="s">
        <v>292</v>
      </c>
      <c r="T257" s="115">
        <v>4</v>
      </c>
      <c r="U257" s="115">
        <v>12.58</v>
      </c>
      <c r="V257" s="115">
        <v>13.11</v>
      </c>
      <c r="W257" s="118">
        <v>4</v>
      </c>
      <c r="X257" s="118">
        <v>13.27</v>
      </c>
      <c r="Y257" s="118">
        <v>1</v>
      </c>
      <c r="Z257" s="118">
        <v>1</v>
      </c>
      <c r="AA257" s="118">
        <v>1</v>
      </c>
      <c r="AB257" s="118">
        <v>1</v>
      </c>
      <c r="AC257" s="118">
        <v>1</v>
      </c>
      <c r="AD257" s="118">
        <v>1</v>
      </c>
      <c r="AE257" s="118">
        <v>1</v>
      </c>
      <c r="AF257" s="118">
        <v>1</v>
      </c>
      <c r="AG257" s="118">
        <v>1</v>
      </c>
      <c r="AH257" s="118">
        <v>1</v>
      </c>
      <c r="AI257" s="118">
        <v>1</v>
      </c>
      <c r="AJ257" s="118">
        <v>1</v>
      </c>
      <c r="AK257" s="118">
        <v>1</v>
      </c>
      <c r="AL257" s="118">
        <v>0</v>
      </c>
      <c r="AM257" s="118">
        <v>0</v>
      </c>
      <c r="AN257" s="118">
        <v>0</v>
      </c>
      <c r="AO257" s="118">
        <v>0</v>
      </c>
      <c r="AP257" s="118">
        <v>0</v>
      </c>
      <c r="AQ257" s="118">
        <v>0</v>
      </c>
      <c r="AR257" s="118">
        <v>0</v>
      </c>
      <c r="AS257" s="118">
        <v>0</v>
      </c>
      <c r="AT257" s="118">
        <v>0</v>
      </c>
      <c r="AU257" s="118">
        <f t="shared" si="18"/>
        <v>0</v>
      </c>
    </row>
    <row r="258" spans="1:50">
      <c r="A258" s="115">
        <v>17</v>
      </c>
      <c r="B258" s="116">
        <v>45958</v>
      </c>
      <c r="G258" s="115" t="s">
        <v>280</v>
      </c>
      <c r="H258" s="115">
        <v>7</v>
      </c>
      <c r="I258" s="117" t="str">
        <f t="shared" si="20"/>
        <v>AB_7</v>
      </c>
      <c r="J258" s="125" t="s">
        <v>777</v>
      </c>
      <c r="K258" s="127">
        <v>11</v>
      </c>
      <c r="L258" s="123" t="str">
        <f t="shared" si="19"/>
        <v>AB_7_11</v>
      </c>
      <c r="M258" s="125" t="s">
        <v>1058</v>
      </c>
      <c r="N258" s="115" t="s">
        <v>88</v>
      </c>
      <c r="O258" s="115" t="s">
        <v>293</v>
      </c>
      <c r="P258" s="115">
        <v>100</v>
      </c>
      <c r="Q258" s="115">
        <v>500</v>
      </c>
      <c r="R258" s="115">
        <v>80</v>
      </c>
      <c r="S258" s="115" t="s">
        <v>269</v>
      </c>
      <c r="T258" s="115">
        <v>1</v>
      </c>
      <c r="U258" s="115">
        <v>10.44</v>
      </c>
      <c r="V258" s="115">
        <v>10.54</v>
      </c>
      <c r="W258" s="118">
        <v>1</v>
      </c>
      <c r="X258" s="118" t="s">
        <v>294</v>
      </c>
      <c r="Y258" s="118">
        <v>0</v>
      </c>
      <c r="Z258" s="118">
        <v>0</v>
      </c>
      <c r="AA258" s="118">
        <v>0</v>
      </c>
      <c r="AB258" s="118">
        <v>0</v>
      </c>
      <c r="AC258" s="118">
        <v>0</v>
      </c>
      <c r="AD258" s="118">
        <v>0</v>
      </c>
      <c r="AE258" s="118">
        <v>0</v>
      </c>
      <c r="AF258" s="118">
        <v>0</v>
      </c>
      <c r="AG258" s="118">
        <v>0</v>
      </c>
      <c r="AH258" s="118">
        <v>0</v>
      </c>
      <c r="AI258" s="118">
        <v>0</v>
      </c>
      <c r="AJ258" s="118">
        <v>0</v>
      </c>
      <c r="AK258" s="118">
        <v>0</v>
      </c>
      <c r="AL258" s="118">
        <v>0</v>
      </c>
      <c r="AM258" s="118">
        <v>0</v>
      </c>
      <c r="AN258" s="118">
        <v>0</v>
      </c>
      <c r="AO258" s="118">
        <v>0</v>
      </c>
      <c r="AP258" s="118">
        <v>0</v>
      </c>
      <c r="AQ258" s="118">
        <v>0</v>
      </c>
      <c r="AR258" s="118">
        <v>0</v>
      </c>
      <c r="AS258" s="118">
        <v>0</v>
      </c>
      <c r="AT258" s="118">
        <v>0</v>
      </c>
      <c r="AU258" s="118">
        <f t="shared" si="18"/>
        <v>0</v>
      </c>
      <c r="AX258" s="114" t="s">
        <v>67</v>
      </c>
    </row>
    <row r="259" spans="1:50">
      <c r="A259" s="115">
        <v>17</v>
      </c>
      <c r="B259" s="116">
        <v>45958</v>
      </c>
      <c r="G259" s="115" t="s">
        <v>280</v>
      </c>
      <c r="H259" s="115">
        <v>7</v>
      </c>
      <c r="I259" s="117" t="str">
        <f t="shared" si="20"/>
        <v>AB_7</v>
      </c>
      <c r="J259" s="125" t="s">
        <v>777</v>
      </c>
      <c r="K259" s="127">
        <v>12</v>
      </c>
      <c r="L259" s="123" t="str">
        <f t="shared" si="19"/>
        <v>AB_7_12</v>
      </c>
      <c r="M259" s="125" t="s">
        <v>1059</v>
      </c>
      <c r="N259" s="115" t="s">
        <v>88</v>
      </c>
      <c r="O259" s="115" t="s">
        <v>293</v>
      </c>
      <c r="P259" s="115">
        <v>100</v>
      </c>
      <c r="Q259" s="115">
        <v>500</v>
      </c>
      <c r="S259" s="115" t="s">
        <v>270</v>
      </c>
      <c r="T259" s="115">
        <v>3</v>
      </c>
      <c r="U259" s="115">
        <v>10.55</v>
      </c>
      <c r="V259" s="115">
        <v>11.06</v>
      </c>
      <c r="W259" s="118">
        <v>3</v>
      </c>
      <c r="X259" s="118">
        <v>11.22</v>
      </c>
      <c r="Y259" s="118">
        <v>0</v>
      </c>
      <c r="Z259" s="118">
        <v>0</v>
      </c>
      <c r="AA259" s="118">
        <v>0</v>
      </c>
      <c r="AB259" s="118">
        <v>0</v>
      </c>
      <c r="AC259" s="118">
        <v>0</v>
      </c>
      <c r="AD259" s="118">
        <v>0</v>
      </c>
      <c r="AE259" s="118">
        <v>0</v>
      </c>
      <c r="AF259" s="118">
        <v>0</v>
      </c>
      <c r="AG259" s="118">
        <v>0</v>
      </c>
      <c r="AH259" s="118">
        <v>0</v>
      </c>
      <c r="AI259" s="118">
        <v>0</v>
      </c>
      <c r="AJ259" s="118">
        <v>0</v>
      </c>
      <c r="AK259" s="118">
        <v>0</v>
      </c>
      <c r="AL259" s="118">
        <v>0</v>
      </c>
      <c r="AM259" s="118">
        <v>0</v>
      </c>
      <c r="AN259" s="118">
        <v>0</v>
      </c>
      <c r="AO259" s="118">
        <v>0</v>
      </c>
      <c r="AP259" s="118">
        <v>0</v>
      </c>
      <c r="AQ259" s="118">
        <v>0</v>
      </c>
      <c r="AR259" s="118">
        <v>0</v>
      </c>
      <c r="AS259" s="118">
        <v>0</v>
      </c>
      <c r="AT259" s="118">
        <v>0</v>
      </c>
      <c r="AU259" s="118">
        <f t="shared" si="18"/>
        <v>0</v>
      </c>
    </row>
    <row r="260" spans="1:50">
      <c r="A260" s="115">
        <v>17</v>
      </c>
      <c r="B260" s="116">
        <v>45958</v>
      </c>
      <c r="G260" s="115" t="s">
        <v>280</v>
      </c>
      <c r="H260" s="115">
        <v>7</v>
      </c>
      <c r="I260" s="117" t="str">
        <f t="shared" si="20"/>
        <v>AB_7</v>
      </c>
      <c r="J260" s="125" t="s">
        <v>777</v>
      </c>
      <c r="K260" s="127">
        <v>13</v>
      </c>
      <c r="L260" s="123" t="str">
        <f t="shared" si="19"/>
        <v>AB_7_13</v>
      </c>
      <c r="M260" s="125" t="s">
        <v>1060</v>
      </c>
      <c r="N260" s="115" t="s">
        <v>88</v>
      </c>
      <c r="O260" s="115" t="s">
        <v>293</v>
      </c>
      <c r="P260" s="115">
        <v>100</v>
      </c>
      <c r="Q260" s="115">
        <v>500</v>
      </c>
      <c r="S260" s="115" t="s">
        <v>271</v>
      </c>
      <c r="T260" s="115">
        <v>3</v>
      </c>
      <c r="U260" s="115">
        <v>11.11</v>
      </c>
      <c r="V260" s="115">
        <v>11.21</v>
      </c>
      <c r="W260" s="118">
        <v>3</v>
      </c>
      <c r="X260" s="118">
        <v>11.37</v>
      </c>
      <c r="Y260" s="118">
        <v>1</v>
      </c>
      <c r="Z260" s="118">
        <v>1</v>
      </c>
      <c r="AA260" s="118">
        <v>1</v>
      </c>
      <c r="AB260" s="118">
        <v>1</v>
      </c>
      <c r="AC260" s="118">
        <v>1</v>
      </c>
      <c r="AD260" s="118">
        <v>1</v>
      </c>
      <c r="AE260" s="118">
        <v>1</v>
      </c>
      <c r="AF260" s="118">
        <v>1</v>
      </c>
      <c r="AG260" s="118">
        <v>1</v>
      </c>
      <c r="AH260" s="118">
        <v>1</v>
      </c>
      <c r="AI260" s="118">
        <v>1</v>
      </c>
      <c r="AJ260" s="118">
        <v>1</v>
      </c>
      <c r="AK260" s="118">
        <v>1</v>
      </c>
      <c r="AL260" s="118">
        <v>1</v>
      </c>
      <c r="AM260" s="118">
        <v>0</v>
      </c>
      <c r="AN260" s="118">
        <v>0</v>
      </c>
      <c r="AO260" s="118">
        <v>0</v>
      </c>
      <c r="AP260" s="118">
        <v>0</v>
      </c>
      <c r="AQ260" s="118">
        <v>0</v>
      </c>
      <c r="AR260" s="118">
        <v>0</v>
      </c>
      <c r="AS260" s="118">
        <v>0</v>
      </c>
      <c r="AT260" s="118">
        <v>0</v>
      </c>
      <c r="AU260" s="118">
        <f t="shared" si="18"/>
        <v>0</v>
      </c>
    </row>
    <row r="261" spans="1:50">
      <c r="A261" s="115">
        <v>17</v>
      </c>
      <c r="B261" s="116">
        <v>45958</v>
      </c>
      <c r="G261" s="115" t="s">
        <v>280</v>
      </c>
      <c r="H261" s="115">
        <v>7</v>
      </c>
      <c r="I261" s="117" t="str">
        <f t="shared" si="20"/>
        <v>AB_7</v>
      </c>
      <c r="J261" s="125" t="s">
        <v>777</v>
      </c>
      <c r="K261" s="127">
        <v>14</v>
      </c>
      <c r="L261" s="123" t="str">
        <f t="shared" si="19"/>
        <v>AB_7_14</v>
      </c>
      <c r="M261" s="125" t="s">
        <v>1061</v>
      </c>
      <c r="N261" s="115" t="s">
        <v>88</v>
      </c>
      <c r="O261" s="115" t="s">
        <v>293</v>
      </c>
      <c r="P261" s="115">
        <v>100</v>
      </c>
      <c r="Q261" s="115">
        <v>500</v>
      </c>
      <c r="S261" s="115" t="s">
        <v>272</v>
      </c>
      <c r="T261" s="115">
        <v>3</v>
      </c>
      <c r="U261" s="115">
        <v>11.24</v>
      </c>
      <c r="V261" s="115">
        <v>11.35</v>
      </c>
      <c r="W261" s="118">
        <v>3</v>
      </c>
      <c r="X261" s="118">
        <v>11.5</v>
      </c>
      <c r="Y261" s="118">
        <v>1</v>
      </c>
      <c r="Z261" s="118">
        <v>1</v>
      </c>
      <c r="AA261" s="118">
        <v>1</v>
      </c>
      <c r="AB261" s="118">
        <v>1</v>
      </c>
      <c r="AC261" s="118">
        <v>1</v>
      </c>
      <c r="AD261" s="118">
        <v>1</v>
      </c>
      <c r="AE261" s="118">
        <v>1</v>
      </c>
      <c r="AF261" s="118">
        <v>1</v>
      </c>
      <c r="AG261" s="118">
        <v>1</v>
      </c>
      <c r="AH261" s="118">
        <v>1</v>
      </c>
      <c r="AI261" s="118">
        <v>1</v>
      </c>
      <c r="AJ261" s="118">
        <v>1</v>
      </c>
      <c r="AK261" s="118">
        <v>1</v>
      </c>
      <c r="AL261" s="118">
        <v>1</v>
      </c>
      <c r="AM261" s="118">
        <v>1</v>
      </c>
      <c r="AN261" s="118">
        <v>1</v>
      </c>
      <c r="AO261" s="118">
        <v>1</v>
      </c>
      <c r="AP261" s="118">
        <v>0</v>
      </c>
      <c r="AQ261" s="118">
        <v>0</v>
      </c>
      <c r="AR261" s="118">
        <v>0</v>
      </c>
      <c r="AS261" s="118">
        <v>0</v>
      </c>
      <c r="AT261" s="118">
        <v>0</v>
      </c>
      <c r="AU261" s="118">
        <f t="shared" ref="AU261:AU324" si="21">AT261</f>
        <v>0</v>
      </c>
    </row>
    <row r="262" spans="1:50">
      <c r="A262" s="115">
        <v>17</v>
      </c>
      <c r="B262" s="116">
        <v>45958</v>
      </c>
      <c r="G262" s="115" t="s">
        <v>280</v>
      </c>
      <c r="H262" s="115">
        <v>7</v>
      </c>
      <c r="I262" s="117" t="str">
        <f t="shared" si="20"/>
        <v>AB_7</v>
      </c>
      <c r="J262" s="125" t="s">
        <v>777</v>
      </c>
      <c r="K262" s="127">
        <v>15</v>
      </c>
      <c r="L262" s="123" t="str">
        <f t="shared" si="19"/>
        <v>AB_7_15</v>
      </c>
      <c r="M262" s="125" t="s">
        <v>1062</v>
      </c>
      <c r="N262" s="115" t="s">
        <v>88</v>
      </c>
      <c r="O262" s="115" t="s">
        <v>293</v>
      </c>
      <c r="P262" s="115">
        <v>100</v>
      </c>
      <c r="Q262" s="115">
        <v>500</v>
      </c>
      <c r="S262" s="115" t="s">
        <v>273</v>
      </c>
      <c r="T262" s="115">
        <v>3</v>
      </c>
      <c r="U262" s="115">
        <v>11.4</v>
      </c>
      <c r="V262" s="115">
        <v>11.51</v>
      </c>
      <c r="W262" s="118">
        <v>3</v>
      </c>
      <c r="X262" s="118">
        <v>12.07</v>
      </c>
      <c r="Y262" s="118">
        <v>0</v>
      </c>
      <c r="Z262" s="118">
        <v>0</v>
      </c>
      <c r="AA262" s="118">
        <v>0</v>
      </c>
      <c r="AB262" s="118">
        <v>0</v>
      </c>
      <c r="AC262" s="118">
        <v>0</v>
      </c>
      <c r="AD262" s="118">
        <v>0</v>
      </c>
      <c r="AE262" s="118">
        <v>0</v>
      </c>
      <c r="AF262" s="118">
        <v>0</v>
      </c>
      <c r="AG262" s="118">
        <v>0</v>
      </c>
      <c r="AH262" s="118">
        <v>0</v>
      </c>
      <c r="AI262" s="118">
        <v>0</v>
      </c>
      <c r="AJ262" s="118">
        <v>0</v>
      </c>
      <c r="AK262" s="118">
        <v>0</v>
      </c>
      <c r="AL262" s="118">
        <v>0</v>
      </c>
      <c r="AM262" s="118">
        <v>0</v>
      </c>
      <c r="AN262" s="118">
        <v>0</v>
      </c>
      <c r="AO262" s="118">
        <v>0</v>
      </c>
      <c r="AP262" s="118">
        <v>0</v>
      </c>
      <c r="AQ262" s="118">
        <v>0</v>
      </c>
      <c r="AR262" s="118">
        <v>0</v>
      </c>
      <c r="AS262" s="118">
        <v>0</v>
      </c>
      <c r="AT262" s="118">
        <v>0</v>
      </c>
      <c r="AU262" s="118">
        <f t="shared" si="21"/>
        <v>0</v>
      </c>
    </row>
    <row r="263" spans="1:50">
      <c r="A263" s="115">
        <v>17</v>
      </c>
      <c r="B263" s="116">
        <v>45958</v>
      </c>
      <c r="G263" s="115" t="s">
        <v>280</v>
      </c>
      <c r="H263" s="115">
        <v>7</v>
      </c>
      <c r="I263" s="117" t="str">
        <f t="shared" si="20"/>
        <v>AB_7</v>
      </c>
      <c r="J263" s="125" t="s">
        <v>777</v>
      </c>
      <c r="K263" s="127">
        <v>16</v>
      </c>
      <c r="L263" s="123" t="str">
        <f t="shared" si="19"/>
        <v>AB_7_16</v>
      </c>
      <c r="M263" s="125" t="s">
        <v>1063</v>
      </c>
      <c r="N263" s="115" t="s">
        <v>88</v>
      </c>
      <c r="O263" s="115" t="s">
        <v>293</v>
      </c>
      <c r="P263" s="115">
        <v>100</v>
      </c>
      <c r="Q263" s="115">
        <v>500</v>
      </c>
      <c r="S263" s="115" t="s">
        <v>274</v>
      </c>
      <c r="T263" s="115">
        <v>2</v>
      </c>
      <c r="U263" s="115">
        <v>11.53</v>
      </c>
      <c r="V263" s="115">
        <v>12.03</v>
      </c>
      <c r="W263" s="118">
        <v>2</v>
      </c>
      <c r="X263" s="118">
        <v>12.17</v>
      </c>
      <c r="Y263" s="118">
        <v>1</v>
      </c>
      <c r="Z263" s="118">
        <v>1</v>
      </c>
      <c r="AA263" s="118">
        <v>1</v>
      </c>
      <c r="AB263" s="118">
        <v>1</v>
      </c>
      <c r="AC263" s="118">
        <v>1</v>
      </c>
      <c r="AD263" s="118">
        <v>1</v>
      </c>
      <c r="AE263" s="118">
        <v>1</v>
      </c>
      <c r="AF263" s="118">
        <v>1</v>
      </c>
      <c r="AG263" s="118">
        <v>1</v>
      </c>
      <c r="AH263" s="118">
        <v>1</v>
      </c>
      <c r="AI263" s="118">
        <v>1</v>
      </c>
      <c r="AJ263" s="118">
        <v>1</v>
      </c>
      <c r="AK263" s="118">
        <v>1</v>
      </c>
      <c r="AL263" s="118">
        <v>1</v>
      </c>
      <c r="AM263" s="118">
        <v>1</v>
      </c>
      <c r="AN263" s="118">
        <v>1</v>
      </c>
      <c r="AO263" s="118">
        <v>1</v>
      </c>
      <c r="AP263" s="118">
        <v>0</v>
      </c>
      <c r="AQ263" s="118">
        <v>0</v>
      </c>
      <c r="AR263" s="118">
        <v>0</v>
      </c>
      <c r="AS263" s="118">
        <v>0</v>
      </c>
      <c r="AT263" s="118">
        <v>0</v>
      </c>
      <c r="AU263" s="118">
        <f t="shared" si="21"/>
        <v>0</v>
      </c>
    </row>
    <row r="264" spans="1:50">
      <c r="A264" s="115">
        <v>17</v>
      </c>
      <c r="B264" s="116">
        <v>45958</v>
      </c>
      <c r="G264" s="115" t="s">
        <v>280</v>
      </c>
      <c r="H264" s="115">
        <v>7</v>
      </c>
      <c r="I264" s="117" t="str">
        <f t="shared" si="20"/>
        <v>AB_7</v>
      </c>
      <c r="J264" s="125" t="s">
        <v>777</v>
      </c>
      <c r="K264" s="127">
        <v>17</v>
      </c>
      <c r="L264" s="123" t="str">
        <f t="shared" si="19"/>
        <v>AB_7_17</v>
      </c>
      <c r="M264" s="125" t="s">
        <v>1064</v>
      </c>
      <c r="N264" s="115" t="s">
        <v>88</v>
      </c>
      <c r="O264" s="115" t="s">
        <v>293</v>
      </c>
      <c r="P264" s="115">
        <v>100</v>
      </c>
      <c r="Q264" s="115">
        <v>500</v>
      </c>
      <c r="S264" s="115" t="s">
        <v>275</v>
      </c>
      <c r="T264" s="115">
        <v>2</v>
      </c>
      <c r="U264" s="115">
        <v>12.07</v>
      </c>
      <c r="V264" s="115">
        <v>12.17</v>
      </c>
      <c r="W264" s="118">
        <v>2</v>
      </c>
      <c r="X264" s="118">
        <v>12.32</v>
      </c>
      <c r="Y264" s="118">
        <v>1</v>
      </c>
      <c r="Z264" s="118">
        <v>1</v>
      </c>
      <c r="AA264" s="118">
        <v>1</v>
      </c>
      <c r="AB264" s="118">
        <v>1</v>
      </c>
      <c r="AC264" s="118">
        <v>1</v>
      </c>
      <c r="AD264" s="118">
        <v>1</v>
      </c>
      <c r="AE264" s="118">
        <v>1</v>
      </c>
      <c r="AF264" s="118">
        <v>1</v>
      </c>
      <c r="AG264" s="118">
        <v>1</v>
      </c>
      <c r="AH264" s="118">
        <v>1</v>
      </c>
      <c r="AI264" s="118">
        <v>1</v>
      </c>
      <c r="AJ264" s="118">
        <v>1</v>
      </c>
      <c r="AK264" s="118">
        <v>1</v>
      </c>
      <c r="AL264" s="118">
        <v>0</v>
      </c>
      <c r="AM264" s="118">
        <v>0</v>
      </c>
      <c r="AN264" s="118">
        <v>0</v>
      </c>
      <c r="AO264" s="118">
        <v>0</v>
      </c>
      <c r="AP264" s="118">
        <v>0</v>
      </c>
      <c r="AQ264" s="118">
        <v>0</v>
      </c>
      <c r="AR264" s="118">
        <v>0</v>
      </c>
      <c r="AS264" s="118">
        <v>0</v>
      </c>
      <c r="AT264" s="118">
        <v>0</v>
      </c>
      <c r="AU264" s="118">
        <f t="shared" si="21"/>
        <v>0</v>
      </c>
    </row>
    <row r="265" spans="1:50">
      <c r="A265" s="115">
        <v>17</v>
      </c>
      <c r="B265" s="116">
        <v>45958</v>
      </c>
      <c r="G265" s="115" t="s">
        <v>280</v>
      </c>
      <c r="H265" s="115">
        <v>7</v>
      </c>
      <c r="I265" s="117" t="str">
        <f t="shared" si="20"/>
        <v>AB_7</v>
      </c>
      <c r="J265" s="125" t="s">
        <v>777</v>
      </c>
      <c r="K265" s="127">
        <v>18</v>
      </c>
      <c r="L265" s="123" t="str">
        <f t="shared" si="19"/>
        <v>AB_7_18</v>
      </c>
      <c r="M265" s="125" t="s">
        <v>1065</v>
      </c>
      <c r="N265" s="115" t="s">
        <v>88</v>
      </c>
      <c r="O265" s="115" t="s">
        <v>293</v>
      </c>
      <c r="P265" s="115">
        <v>100</v>
      </c>
      <c r="Q265" s="115">
        <v>500</v>
      </c>
      <c r="S265" s="115" t="s">
        <v>276</v>
      </c>
      <c r="T265" s="115">
        <v>3</v>
      </c>
      <c r="U265" s="115">
        <v>12.2</v>
      </c>
      <c r="V265" s="115">
        <v>12.31</v>
      </c>
      <c r="W265" s="118">
        <v>3</v>
      </c>
      <c r="X265" s="118">
        <v>12.46</v>
      </c>
      <c r="Y265" s="118">
        <v>0</v>
      </c>
      <c r="Z265" s="118">
        <v>0</v>
      </c>
      <c r="AA265" s="118">
        <v>0</v>
      </c>
      <c r="AB265" s="118">
        <v>0</v>
      </c>
      <c r="AC265" s="118">
        <v>0</v>
      </c>
      <c r="AD265" s="118">
        <v>0</v>
      </c>
      <c r="AE265" s="118">
        <v>0</v>
      </c>
      <c r="AF265" s="118">
        <v>0</v>
      </c>
      <c r="AG265" s="118">
        <v>0</v>
      </c>
      <c r="AH265" s="118">
        <v>0</v>
      </c>
      <c r="AI265" s="118">
        <v>0</v>
      </c>
      <c r="AJ265" s="118">
        <v>0</v>
      </c>
      <c r="AK265" s="118">
        <v>0</v>
      </c>
      <c r="AL265" s="118">
        <v>0</v>
      </c>
      <c r="AM265" s="118">
        <v>0</v>
      </c>
      <c r="AN265" s="118">
        <v>0</v>
      </c>
      <c r="AO265" s="118">
        <v>0</v>
      </c>
      <c r="AP265" s="118">
        <v>0</v>
      </c>
      <c r="AQ265" s="118">
        <v>0</v>
      </c>
      <c r="AR265" s="118">
        <v>0</v>
      </c>
      <c r="AS265" s="118">
        <v>0</v>
      </c>
      <c r="AT265" s="118">
        <v>0</v>
      </c>
      <c r="AU265" s="118">
        <f t="shared" si="21"/>
        <v>0</v>
      </c>
    </row>
    <row r="266" spans="1:50">
      <c r="A266" s="115">
        <v>17</v>
      </c>
      <c r="B266" s="116">
        <v>45958</v>
      </c>
      <c r="G266" s="115" t="s">
        <v>280</v>
      </c>
      <c r="H266" s="115">
        <v>7</v>
      </c>
      <c r="I266" s="117" t="str">
        <f t="shared" si="20"/>
        <v>AB_7</v>
      </c>
      <c r="J266" s="125" t="s">
        <v>777</v>
      </c>
      <c r="K266" s="127">
        <v>19</v>
      </c>
      <c r="L266" s="123" t="str">
        <f t="shared" si="19"/>
        <v>AB_7_19</v>
      </c>
      <c r="M266" s="125" t="s">
        <v>1066</v>
      </c>
      <c r="N266" s="115" t="s">
        <v>88</v>
      </c>
      <c r="O266" s="115" t="s">
        <v>293</v>
      </c>
      <c r="P266" s="115">
        <v>100</v>
      </c>
      <c r="Q266" s="115">
        <v>500</v>
      </c>
      <c r="S266" s="115" t="s">
        <v>277</v>
      </c>
      <c r="T266" s="115">
        <v>3</v>
      </c>
      <c r="U266" s="115">
        <v>12.33</v>
      </c>
      <c r="V266" s="115">
        <v>12.41</v>
      </c>
      <c r="W266" s="118">
        <v>3</v>
      </c>
      <c r="X266" s="118">
        <v>12.55</v>
      </c>
      <c r="Y266" s="118">
        <v>0</v>
      </c>
      <c r="Z266" s="118">
        <v>0</v>
      </c>
      <c r="AA266" s="118">
        <v>0</v>
      </c>
      <c r="AB266" s="118">
        <v>0</v>
      </c>
      <c r="AC266" s="118">
        <v>0</v>
      </c>
      <c r="AD266" s="118">
        <v>0</v>
      </c>
      <c r="AE266" s="118">
        <v>0</v>
      </c>
      <c r="AF266" s="118">
        <v>0</v>
      </c>
      <c r="AG266" s="118">
        <v>0</v>
      </c>
      <c r="AH266" s="118">
        <v>0</v>
      </c>
      <c r="AI266" s="118">
        <v>0</v>
      </c>
      <c r="AJ266" s="118">
        <v>0</v>
      </c>
      <c r="AK266" s="118">
        <v>0</v>
      </c>
      <c r="AL266" s="118">
        <v>0</v>
      </c>
      <c r="AM266" s="118">
        <v>0</v>
      </c>
      <c r="AN266" s="118">
        <v>0</v>
      </c>
      <c r="AO266" s="118">
        <v>0</v>
      </c>
      <c r="AP266" s="118">
        <v>0</v>
      </c>
      <c r="AQ266" s="118">
        <v>0</v>
      </c>
      <c r="AR266" s="118">
        <v>0</v>
      </c>
      <c r="AS266" s="118">
        <v>0</v>
      </c>
      <c r="AT266" s="118">
        <v>0</v>
      </c>
      <c r="AU266" s="118">
        <f t="shared" si="21"/>
        <v>0</v>
      </c>
    </row>
    <row r="267" spans="1:50">
      <c r="A267" s="115">
        <v>17</v>
      </c>
      <c r="B267" s="116">
        <v>45958</v>
      </c>
      <c r="G267" s="115" t="s">
        <v>280</v>
      </c>
      <c r="H267" s="115">
        <v>7</v>
      </c>
      <c r="I267" s="117" t="str">
        <f t="shared" si="20"/>
        <v>AB_7</v>
      </c>
      <c r="J267" s="125" t="s">
        <v>777</v>
      </c>
      <c r="K267" s="127">
        <v>20</v>
      </c>
      <c r="L267" s="123" t="str">
        <f t="shared" si="19"/>
        <v>AB_7_20</v>
      </c>
      <c r="M267" s="125" t="s">
        <v>1067</v>
      </c>
      <c r="N267" s="115" t="s">
        <v>88</v>
      </c>
      <c r="O267" s="115" t="s">
        <v>293</v>
      </c>
      <c r="P267" s="115">
        <v>100</v>
      </c>
      <c r="Q267" s="115">
        <v>500</v>
      </c>
      <c r="S267" s="115" t="s">
        <v>278</v>
      </c>
      <c r="T267" s="115">
        <v>3</v>
      </c>
      <c r="U267" s="115">
        <v>12.44</v>
      </c>
      <c r="V267" s="115">
        <v>12.52</v>
      </c>
      <c r="W267" s="118">
        <v>3</v>
      </c>
      <c r="X267" s="118">
        <v>13.05</v>
      </c>
      <c r="Y267" s="118">
        <v>1</v>
      </c>
      <c r="Z267" s="118">
        <v>1</v>
      </c>
      <c r="AA267" s="118">
        <v>1</v>
      </c>
      <c r="AB267" s="118">
        <v>1</v>
      </c>
      <c r="AC267" s="118">
        <v>0</v>
      </c>
      <c r="AD267" s="118">
        <v>0</v>
      </c>
      <c r="AE267" s="118">
        <v>0</v>
      </c>
      <c r="AF267" s="118">
        <v>0</v>
      </c>
      <c r="AG267" s="118">
        <v>0</v>
      </c>
      <c r="AH267" s="118">
        <v>0</v>
      </c>
      <c r="AI267" s="118">
        <v>0</v>
      </c>
      <c r="AJ267" s="118">
        <v>0</v>
      </c>
      <c r="AK267" s="118">
        <v>0</v>
      </c>
      <c r="AL267" s="118">
        <v>0</v>
      </c>
      <c r="AM267" s="118">
        <v>0</v>
      </c>
      <c r="AN267" s="118">
        <v>0</v>
      </c>
      <c r="AO267" s="118">
        <v>0</v>
      </c>
      <c r="AP267" s="118">
        <v>0</v>
      </c>
      <c r="AQ267" s="118">
        <v>0</v>
      </c>
      <c r="AR267" s="118">
        <v>0</v>
      </c>
      <c r="AS267" s="118">
        <v>0</v>
      </c>
      <c r="AT267" s="118">
        <v>0</v>
      </c>
      <c r="AU267" s="118">
        <f t="shared" si="21"/>
        <v>0</v>
      </c>
    </row>
    <row r="268" spans="1:50">
      <c r="A268" s="115">
        <v>17</v>
      </c>
      <c r="B268" s="116">
        <v>45958</v>
      </c>
      <c r="G268" s="115" t="s">
        <v>280</v>
      </c>
      <c r="H268" s="115">
        <v>7</v>
      </c>
      <c r="I268" s="117" t="str">
        <f t="shared" si="20"/>
        <v>AB_7</v>
      </c>
      <c r="J268" s="125" t="s">
        <v>777</v>
      </c>
      <c r="K268" s="127">
        <v>21</v>
      </c>
      <c r="L268" s="123" t="str">
        <f t="shared" si="19"/>
        <v>AB_7_21</v>
      </c>
      <c r="M268" s="125" t="s">
        <v>1068</v>
      </c>
      <c r="N268" s="115" t="s">
        <v>88</v>
      </c>
      <c r="O268" s="115" t="s">
        <v>293</v>
      </c>
      <c r="P268" s="115">
        <v>100</v>
      </c>
      <c r="Q268" s="115">
        <v>500</v>
      </c>
      <c r="S268" s="115" t="s">
        <v>295</v>
      </c>
      <c r="T268" s="115">
        <v>3</v>
      </c>
      <c r="U268" s="115">
        <v>12.54</v>
      </c>
      <c r="V268" s="115">
        <v>13.04</v>
      </c>
      <c r="W268" s="118">
        <v>3</v>
      </c>
      <c r="X268" s="118">
        <v>12.21</v>
      </c>
      <c r="Y268" s="118">
        <v>1</v>
      </c>
      <c r="Z268" s="118">
        <v>1</v>
      </c>
      <c r="AA268" s="118">
        <v>1</v>
      </c>
      <c r="AB268" s="118">
        <v>1</v>
      </c>
      <c r="AC268" s="118">
        <v>1</v>
      </c>
      <c r="AD268" s="118">
        <v>1</v>
      </c>
      <c r="AE268" s="118">
        <v>1</v>
      </c>
      <c r="AF268" s="118">
        <v>1</v>
      </c>
      <c r="AG268" s="118">
        <v>1</v>
      </c>
      <c r="AH268" s="118">
        <v>1</v>
      </c>
      <c r="AI268" s="118">
        <v>1</v>
      </c>
      <c r="AJ268" s="118">
        <v>0</v>
      </c>
      <c r="AK268" s="118">
        <v>0</v>
      </c>
      <c r="AL268" s="118">
        <v>0</v>
      </c>
      <c r="AM268" s="118">
        <v>0</v>
      </c>
      <c r="AN268" s="118">
        <v>0</v>
      </c>
      <c r="AO268" s="118">
        <v>0</v>
      </c>
      <c r="AP268" s="118">
        <v>0</v>
      </c>
      <c r="AQ268" s="118">
        <v>0</v>
      </c>
      <c r="AR268" s="118">
        <v>0</v>
      </c>
      <c r="AS268" s="118">
        <v>0</v>
      </c>
      <c r="AT268" s="118">
        <v>0</v>
      </c>
      <c r="AU268" s="118">
        <f t="shared" si="21"/>
        <v>0</v>
      </c>
    </row>
    <row r="269" spans="1:50">
      <c r="A269" s="115">
        <v>18</v>
      </c>
      <c r="B269" s="116">
        <v>45960</v>
      </c>
      <c r="C269" s="115" t="s">
        <v>251</v>
      </c>
      <c r="D269" s="115" t="s">
        <v>296</v>
      </c>
      <c r="F269" s="115" t="s">
        <v>265</v>
      </c>
      <c r="G269" s="115" t="s">
        <v>297</v>
      </c>
      <c r="H269" s="115">
        <v>5</v>
      </c>
      <c r="I269" s="117" t="str">
        <f t="shared" ref="I269:I299" si="22">_xlfn.CONCAT(N269 &amp; "_" &amp; H269)</f>
        <v>TU_5</v>
      </c>
      <c r="J269" s="117" t="s">
        <v>795</v>
      </c>
      <c r="K269" s="118">
        <v>1</v>
      </c>
      <c r="L269" s="123" t="str">
        <f t="shared" si="19"/>
        <v>TU_5_1</v>
      </c>
      <c r="M269" s="117" t="s">
        <v>1069</v>
      </c>
      <c r="N269" s="115" t="s">
        <v>50</v>
      </c>
      <c r="O269" s="115" t="s">
        <v>298</v>
      </c>
      <c r="P269" s="115">
        <v>100</v>
      </c>
      <c r="Q269" s="115">
        <v>500</v>
      </c>
      <c r="R269" s="115">
        <v>70</v>
      </c>
      <c r="S269" s="115" t="s">
        <v>282</v>
      </c>
      <c r="T269" s="115">
        <v>5</v>
      </c>
      <c r="U269" s="115">
        <v>9.59</v>
      </c>
      <c r="V269" s="115">
        <v>10.19</v>
      </c>
      <c r="W269" s="118">
        <v>5</v>
      </c>
      <c r="X269" s="118">
        <v>10.35</v>
      </c>
      <c r="Y269" s="118">
        <v>3</v>
      </c>
      <c r="Z269" s="118">
        <v>3</v>
      </c>
      <c r="AA269" s="118">
        <v>3</v>
      </c>
      <c r="AB269" s="118">
        <v>3</v>
      </c>
      <c r="AC269" s="118">
        <v>3</v>
      </c>
      <c r="AD269" s="118">
        <v>3</v>
      </c>
      <c r="AE269" s="118">
        <v>3</v>
      </c>
      <c r="AF269" s="118">
        <v>3</v>
      </c>
      <c r="AG269" s="118">
        <v>3</v>
      </c>
      <c r="AH269" s="118">
        <v>3</v>
      </c>
      <c r="AI269" s="118">
        <v>3</v>
      </c>
      <c r="AJ269" s="118">
        <v>3</v>
      </c>
      <c r="AK269" s="118">
        <v>3</v>
      </c>
      <c r="AL269" s="118">
        <v>0</v>
      </c>
      <c r="AM269" s="118">
        <v>0</v>
      </c>
      <c r="AN269" s="118">
        <v>0</v>
      </c>
      <c r="AO269" s="118">
        <v>0</v>
      </c>
      <c r="AP269" s="118">
        <v>0</v>
      </c>
      <c r="AQ269" s="118">
        <v>0</v>
      </c>
      <c r="AR269" s="118">
        <v>0</v>
      </c>
      <c r="AS269" s="118">
        <v>0</v>
      </c>
      <c r="AT269" s="118">
        <v>0</v>
      </c>
      <c r="AU269" s="118">
        <f t="shared" si="21"/>
        <v>0</v>
      </c>
      <c r="AX269" s="114" t="s">
        <v>53</v>
      </c>
    </row>
    <row r="270" spans="1:50">
      <c r="A270" s="115">
        <v>18</v>
      </c>
      <c r="B270" s="116">
        <v>45960</v>
      </c>
      <c r="D270" s="115" t="s">
        <v>299</v>
      </c>
      <c r="G270" s="115" t="s">
        <v>297</v>
      </c>
      <c r="H270" s="115">
        <v>5</v>
      </c>
      <c r="I270" s="117" t="str">
        <f t="shared" si="22"/>
        <v>TU_5</v>
      </c>
      <c r="J270" s="117" t="s">
        <v>795</v>
      </c>
      <c r="K270" s="118">
        <v>2</v>
      </c>
      <c r="L270" s="123" t="str">
        <f t="shared" si="19"/>
        <v>TU_5_2</v>
      </c>
      <c r="M270" s="117" t="s">
        <v>1070</v>
      </c>
      <c r="N270" s="115" t="s">
        <v>50</v>
      </c>
      <c r="O270" s="115" t="s">
        <v>298</v>
      </c>
      <c r="P270" s="115">
        <v>100</v>
      </c>
      <c r="Q270" s="115">
        <v>500</v>
      </c>
      <c r="S270" s="115" t="s">
        <v>284</v>
      </c>
      <c r="T270" s="115">
        <v>4</v>
      </c>
      <c r="U270" s="115">
        <v>10.210000000000001</v>
      </c>
      <c r="V270" s="115">
        <v>10.34</v>
      </c>
      <c r="W270" s="118">
        <v>4</v>
      </c>
      <c r="X270" s="118">
        <v>10.48</v>
      </c>
      <c r="Y270" s="118">
        <v>1</v>
      </c>
      <c r="Z270" s="118">
        <v>1</v>
      </c>
      <c r="AA270" s="118">
        <v>1</v>
      </c>
      <c r="AB270" s="118">
        <v>1</v>
      </c>
      <c r="AC270" s="118">
        <v>1</v>
      </c>
      <c r="AD270" s="118">
        <v>1</v>
      </c>
      <c r="AE270" s="118">
        <v>1</v>
      </c>
      <c r="AF270" s="118">
        <v>1</v>
      </c>
      <c r="AG270" s="118">
        <v>1</v>
      </c>
      <c r="AH270" s="118">
        <v>1</v>
      </c>
      <c r="AI270" s="118">
        <v>1</v>
      </c>
      <c r="AJ270" s="118">
        <v>1</v>
      </c>
      <c r="AK270" s="118">
        <v>1</v>
      </c>
      <c r="AL270" s="118">
        <v>0</v>
      </c>
      <c r="AM270" s="118">
        <v>0</v>
      </c>
      <c r="AN270" s="118">
        <v>0</v>
      </c>
      <c r="AO270" s="118">
        <v>0</v>
      </c>
      <c r="AP270" s="118">
        <v>0</v>
      </c>
      <c r="AQ270" s="118">
        <v>0</v>
      </c>
      <c r="AR270" s="118">
        <v>0</v>
      </c>
      <c r="AS270" s="118">
        <v>0</v>
      </c>
      <c r="AT270" s="118">
        <v>0</v>
      </c>
      <c r="AU270" s="118">
        <f t="shared" si="21"/>
        <v>0</v>
      </c>
    </row>
    <row r="271" spans="1:50">
      <c r="A271" s="115">
        <v>18</v>
      </c>
      <c r="B271" s="116">
        <v>45960</v>
      </c>
      <c r="G271" s="115" t="s">
        <v>297</v>
      </c>
      <c r="H271" s="115">
        <v>5</v>
      </c>
      <c r="I271" s="117" t="str">
        <f t="shared" si="22"/>
        <v>TU_5</v>
      </c>
      <c r="J271" s="117" t="s">
        <v>795</v>
      </c>
      <c r="K271" s="118">
        <v>3</v>
      </c>
      <c r="L271" s="123" t="str">
        <f t="shared" si="19"/>
        <v>TU_5_3</v>
      </c>
      <c r="M271" s="117" t="s">
        <v>1071</v>
      </c>
      <c r="N271" s="115" t="s">
        <v>50</v>
      </c>
      <c r="O271" s="115" t="s">
        <v>298</v>
      </c>
      <c r="P271" s="115">
        <v>100</v>
      </c>
      <c r="Q271" s="115">
        <v>500</v>
      </c>
      <c r="S271" s="115" t="s">
        <v>285</v>
      </c>
      <c r="T271" s="115">
        <v>4</v>
      </c>
      <c r="U271" s="115">
        <v>10.47</v>
      </c>
      <c r="V271" s="115">
        <v>11</v>
      </c>
      <c r="W271" s="118">
        <v>4</v>
      </c>
      <c r="X271" s="118">
        <v>11.17</v>
      </c>
      <c r="Y271" s="118">
        <v>1</v>
      </c>
      <c r="Z271" s="118">
        <v>1</v>
      </c>
      <c r="AA271" s="118">
        <v>1</v>
      </c>
      <c r="AB271" s="118">
        <v>1</v>
      </c>
      <c r="AC271" s="118">
        <v>1</v>
      </c>
      <c r="AD271" s="118">
        <v>1</v>
      </c>
      <c r="AE271" s="118">
        <v>1</v>
      </c>
      <c r="AF271" s="118">
        <v>1</v>
      </c>
      <c r="AG271" s="118">
        <v>1</v>
      </c>
      <c r="AH271" s="118">
        <v>1</v>
      </c>
      <c r="AI271" s="118">
        <v>1</v>
      </c>
      <c r="AJ271" s="118">
        <v>1</v>
      </c>
      <c r="AK271" s="118">
        <v>1</v>
      </c>
      <c r="AL271" s="118">
        <v>0</v>
      </c>
      <c r="AM271" s="118">
        <v>0</v>
      </c>
      <c r="AN271" s="118">
        <v>0</v>
      </c>
      <c r="AO271" s="118">
        <v>0</v>
      </c>
      <c r="AP271" s="118">
        <v>0</v>
      </c>
      <c r="AQ271" s="118">
        <v>0</v>
      </c>
      <c r="AR271" s="118">
        <v>0</v>
      </c>
      <c r="AS271" s="118">
        <v>0</v>
      </c>
      <c r="AT271" s="118">
        <v>0</v>
      </c>
      <c r="AU271" s="118">
        <f t="shared" si="21"/>
        <v>0</v>
      </c>
    </row>
    <row r="272" spans="1:50">
      <c r="A272" s="115">
        <v>18</v>
      </c>
      <c r="B272" s="116">
        <v>45960</v>
      </c>
      <c r="G272" s="115" t="s">
        <v>297</v>
      </c>
      <c r="H272" s="115">
        <v>5</v>
      </c>
      <c r="I272" s="117" t="str">
        <f t="shared" si="22"/>
        <v>TU_5</v>
      </c>
      <c r="J272" s="117" t="s">
        <v>795</v>
      </c>
      <c r="K272" s="118">
        <v>4</v>
      </c>
      <c r="L272" s="123" t="str">
        <f t="shared" si="19"/>
        <v>TU_5_4</v>
      </c>
      <c r="M272" s="117" t="s">
        <v>1072</v>
      </c>
      <c r="N272" s="115" t="s">
        <v>50</v>
      </c>
      <c r="O272" s="115" t="s">
        <v>298</v>
      </c>
      <c r="P272" s="115">
        <v>100</v>
      </c>
      <c r="Q272" s="115">
        <v>500</v>
      </c>
      <c r="S272" s="115" t="s">
        <v>286</v>
      </c>
      <c r="T272" s="115">
        <v>3</v>
      </c>
      <c r="U272" s="115">
        <v>11.02</v>
      </c>
      <c r="V272" s="115">
        <v>11.15</v>
      </c>
      <c r="W272" s="118">
        <v>3</v>
      </c>
      <c r="X272" s="118">
        <v>11.29</v>
      </c>
      <c r="Y272" s="118">
        <v>1</v>
      </c>
      <c r="Z272" s="118">
        <v>1</v>
      </c>
      <c r="AA272" s="118">
        <v>1</v>
      </c>
      <c r="AB272" s="118">
        <v>1</v>
      </c>
      <c r="AC272" s="118">
        <v>1</v>
      </c>
      <c r="AD272" s="118">
        <v>1</v>
      </c>
      <c r="AE272" s="118">
        <v>1</v>
      </c>
      <c r="AF272" s="118">
        <v>1</v>
      </c>
      <c r="AG272" s="118">
        <v>1</v>
      </c>
      <c r="AH272" s="118">
        <v>1</v>
      </c>
      <c r="AI272" s="118">
        <v>1</v>
      </c>
      <c r="AJ272" s="118">
        <v>1</v>
      </c>
      <c r="AK272" s="118">
        <v>1</v>
      </c>
      <c r="AL272" s="118">
        <v>1</v>
      </c>
      <c r="AM272" s="118">
        <v>1</v>
      </c>
      <c r="AN272" s="118">
        <v>1</v>
      </c>
      <c r="AO272" s="118">
        <v>1</v>
      </c>
      <c r="AP272" s="118">
        <v>1</v>
      </c>
      <c r="AQ272" s="118">
        <v>0</v>
      </c>
      <c r="AR272" s="118">
        <v>0</v>
      </c>
      <c r="AS272" s="118">
        <v>0</v>
      </c>
      <c r="AT272" s="118">
        <v>0</v>
      </c>
      <c r="AU272" s="118">
        <f t="shared" si="21"/>
        <v>0</v>
      </c>
    </row>
    <row r="273" spans="1:50">
      <c r="A273" s="115">
        <v>18</v>
      </c>
      <c r="B273" s="116">
        <v>45960</v>
      </c>
      <c r="G273" s="115" t="s">
        <v>297</v>
      </c>
      <c r="H273" s="115">
        <v>5</v>
      </c>
      <c r="I273" s="117" t="str">
        <f t="shared" si="22"/>
        <v>TU_5</v>
      </c>
      <c r="J273" s="117" t="s">
        <v>795</v>
      </c>
      <c r="K273" s="118">
        <v>5</v>
      </c>
      <c r="L273" s="123" t="str">
        <f t="shared" si="19"/>
        <v>TU_5_5</v>
      </c>
      <c r="M273" s="117" t="s">
        <v>1073</v>
      </c>
      <c r="N273" s="115" t="s">
        <v>50</v>
      </c>
      <c r="O273" s="115" t="s">
        <v>298</v>
      </c>
      <c r="P273" s="115">
        <v>100</v>
      </c>
      <c r="Q273" s="115">
        <v>500</v>
      </c>
      <c r="S273" s="115" t="s">
        <v>287</v>
      </c>
      <c r="T273" s="115">
        <v>3</v>
      </c>
      <c r="U273" s="115">
        <v>11.24</v>
      </c>
      <c r="V273" s="115">
        <v>11.33</v>
      </c>
      <c r="W273" s="118">
        <v>3</v>
      </c>
      <c r="X273" s="118">
        <v>11.46</v>
      </c>
      <c r="Y273" s="118">
        <v>0</v>
      </c>
      <c r="Z273" s="118">
        <v>0</v>
      </c>
      <c r="AA273" s="118">
        <v>0</v>
      </c>
      <c r="AB273" s="118">
        <v>0</v>
      </c>
      <c r="AC273" s="118">
        <v>0</v>
      </c>
      <c r="AD273" s="118">
        <v>0</v>
      </c>
      <c r="AE273" s="118">
        <v>0</v>
      </c>
      <c r="AF273" s="118">
        <v>0</v>
      </c>
      <c r="AG273" s="118">
        <v>0</v>
      </c>
      <c r="AH273" s="118">
        <v>0</v>
      </c>
      <c r="AI273" s="118">
        <v>0</v>
      </c>
      <c r="AJ273" s="118">
        <v>0</v>
      </c>
      <c r="AK273" s="118">
        <v>0</v>
      </c>
      <c r="AL273" s="118">
        <v>0</v>
      </c>
      <c r="AM273" s="118">
        <v>0</v>
      </c>
      <c r="AN273" s="118">
        <v>0</v>
      </c>
      <c r="AO273" s="118">
        <v>0</v>
      </c>
      <c r="AP273" s="118">
        <v>0</v>
      </c>
      <c r="AQ273" s="118">
        <v>0</v>
      </c>
      <c r="AR273" s="118">
        <v>0</v>
      </c>
      <c r="AS273" s="118">
        <v>0</v>
      </c>
      <c r="AT273" s="118">
        <v>0</v>
      </c>
      <c r="AU273" s="118">
        <f t="shared" si="21"/>
        <v>0</v>
      </c>
    </row>
    <row r="274" spans="1:50">
      <c r="A274" s="115">
        <v>18</v>
      </c>
      <c r="B274" s="116">
        <v>45960</v>
      </c>
      <c r="G274" s="115" t="s">
        <v>297</v>
      </c>
      <c r="H274" s="115">
        <v>5</v>
      </c>
      <c r="I274" s="117" t="str">
        <f t="shared" si="22"/>
        <v>TU_5</v>
      </c>
      <c r="J274" s="117" t="s">
        <v>795</v>
      </c>
      <c r="K274" s="118">
        <v>6</v>
      </c>
      <c r="L274" s="123" t="str">
        <f t="shared" si="19"/>
        <v>TU_5_6</v>
      </c>
      <c r="M274" s="117" t="s">
        <v>1074</v>
      </c>
      <c r="N274" s="115" t="s">
        <v>50</v>
      </c>
      <c r="O274" s="115" t="s">
        <v>298</v>
      </c>
      <c r="P274" s="115">
        <v>100</v>
      </c>
      <c r="Q274" s="115">
        <v>500</v>
      </c>
      <c r="S274" s="115" t="s">
        <v>288</v>
      </c>
      <c r="T274" s="115">
        <v>4</v>
      </c>
      <c r="U274" s="115">
        <v>11.35</v>
      </c>
      <c r="V274" s="115">
        <v>11.48</v>
      </c>
      <c r="W274" s="118">
        <v>4</v>
      </c>
      <c r="X274" s="118">
        <v>12.07</v>
      </c>
      <c r="Y274" s="118">
        <v>0</v>
      </c>
      <c r="Z274" s="118">
        <v>0</v>
      </c>
      <c r="AA274" s="118">
        <v>0</v>
      </c>
      <c r="AB274" s="118">
        <v>0</v>
      </c>
      <c r="AC274" s="118">
        <v>0</v>
      </c>
      <c r="AD274" s="118">
        <v>0</v>
      </c>
      <c r="AE274" s="118">
        <v>0</v>
      </c>
      <c r="AF274" s="118">
        <v>0</v>
      </c>
      <c r="AG274" s="118">
        <v>0</v>
      </c>
      <c r="AH274" s="118">
        <v>0</v>
      </c>
      <c r="AI274" s="118">
        <v>0</v>
      </c>
      <c r="AJ274" s="118">
        <v>0</v>
      </c>
      <c r="AK274" s="118">
        <v>0</v>
      </c>
      <c r="AL274" s="118">
        <v>0</v>
      </c>
      <c r="AM274" s="118">
        <v>0</v>
      </c>
      <c r="AN274" s="118">
        <v>0</v>
      </c>
      <c r="AO274" s="118">
        <v>0</v>
      </c>
      <c r="AP274" s="118">
        <v>0</v>
      </c>
      <c r="AQ274" s="118">
        <v>0</v>
      </c>
      <c r="AR274" s="118">
        <v>0</v>
      </c>
      <c r="AS274" s="118">
        <v>0</v>
      </c>
      <c r="AT274" s="118">
        <v>0</v>
      </c>
      <c r="AU274" s="118">
        <f t="shared" si="21"/>
        <v>0</v>
      </c>
    </row>
    <row r="275" spans="1:50">
      <c r="A275" s="115">
        <v>18</v>
      </c>
      <c r="B275" s="116">
        <v>45960</v>
      </c>
      <c r="G275" s="115" t="s">
        <v>297</v>
      </c>
      <c r="H275" s="115">
        <v>5</v>
      </c>
      <c r="I275" s="117" t="str">
        <f t="shared" si="22"/>
        <v>TU_5</v>
      </c>
      <c r="J275" s="117" t="s">
        <v>795</v>
      </c>
      <c r="K275" s="118">
        <v>7</v>
      </c>
      <c r="L275" s="123" t="str">
        <f t="shared" si="19"/>
        <v>TU_5_7</v>
      </c>
      <c r="M275" s="117" t="s">
        <v>1075</v>
      </c>
      <c r="N275" s="115" t="s">
        <v>50</v>
      </c>
      <c r="O275" s="115" t="s">
        <v>298</v>
      </c>
      <c r="P275" s="115">
        <v>100</v>
      </c>
      <c r="Q275" s="115">
        <v>500</v>
      </c>
      <c r="S275" s="115" t="s">
        <v>289</v>
      </c>
      <c r="T275" s="115">
        <v>4</v>
      </c>
      <c r="U275" s="115">
        <v>11.49</v>
      </c>
      <c r="V275" s="115">
        <v>12.05</v>
      </c>
      <c r="W275" s="118">
        <v>4</v>
      </c>
      <c r="X275" s="118">
        <v>12.26</v>
      </c>
      <c r="Y275" s="118">
        <v>3</v>
      </c>
      <c r="Z275" s="118">
        <v>3</v>
      </c>
      <c r="AA275" s="118">
        <v>3</v>
      </c>
      <c r="AB275" s="118">
        <v>3</v>
      </c>
      <c r="AC275" s="118">
        <v>3</v>
      </c>
      <c r="AD275" s="118">
        <v>3</v>
      </c>
      <c r="AE275" s="118">
        <v>3</v>
      </c>
      <c r="AF275" s="118">
        <v>3</v>
      </c>
      <c r="AG275" s="118">
        <v>3</v>
      </c>
      <c r="AH275" s="118">
        <v>3</v>
      </c>
      <c r="AI275" s="118">
        <v>3</v>
      </c>
      <c r="AJ275" s="118">
        <v>3</v>
      </c>
      <c r="AK275" s="118">
        <v>3</v>
      </c>
      <c r="AL275" s="118">
        <v>2</v>
      </c>
      <c r="AM275" s="118">
        <v>1</v>
      </c>
      <c r="AN275" s="118">
        <v>1</v>
      </c>
      <c r="AO275" s="118">
        <v>1</v>
      </c>
      <c r="AP275" s="118">
        <v>1</v>
      </c>
      <c r="AQ275" s="118">
        <v>1</v>
      </c>
      <c r="AR275" s="118">
        <v>1</v>
      </c>
      <c r="AS275" s="118">
        <v>1</v>
      </c>
      <c r="AT275" s="118">
        <v>1</v>
      </c>
      <c r="AU275" s="118">
        <f t="shared" si="21"/>
        <v>1</v>
      </c>
      <c r="AV275" s="115" t="s">
        <v>238</v>
      </c>
      <c r="AW275" s="115" t="s">
        <v>300</v>
      </c>
    </row>
    <row r="276" spans="1:50">
      <c r="A276" s="115">
        <v>18</v>
      </c>
      <c r="B276" s="116">
        <v>45960</v>
      </c>
      <c r="G276" s="115" t="s">
        <v>297</v>
      </c>
      <c r="H276" s="115">
        <v>5</v>
      </c>
      <c r="I276" s="117" t="str">
        <f t="shared" si="22"/>
        <v>TU_5</v>
      </c>
      <c r="J276" s="117" t="s">
        <v>795</v>
      </c>
      <c r="K276" s="118">
        <v>8</v>
      </c>
      <c r="L276" s="123" t="str">
        <f t="shared" si="19"/>
        <v>TU_5_8</v>
      </c>
      <c r="M276" s="117" t="s">
        <v>1076</v>
      </c>
      <c r="N276" s="115" t="s">
        <v>50</v>
      </c>
      <c r="O276" s="115" t="s">
        <v>298</v>
      </c>
      <c r="P276" s="115">
        <v>100</v>
      </c>
      <c r="Q276" s="115">
        <v>500</v>
      </c>
      <c r="S276" s="115" t="s">
        <v>290</v>
      </c>
      <c r="T276" s="115">
        <v>4</v>
      </c>
      <c r="U276" s="115">
        <v>12.06</v>
      </c>
      <c r="V276" s="115">
        <v>12.31</v>
      </c>
      <c r="W276" s="118">
        <v>4</v>
      </c>
      <c r="X276" s="118">
        <v>12.44</v>
      </c>
      <c r="Y276" s="118">
        <v>0</v>
      </c>
      <c r="Z276" s="118">
        <v>0</v>
      </c>
      <c r="AA276" s="118">
        <v>0</v>
      </c>
      <c r="AB276" s="118">
        <v>0</v>
      </c>
      <c r="AC276" s="118">
        <v>0</v>
      </c>
      <c r="AD276" s="118">
        <v>0</v>
      </c>
      <c r="AE276" s="118">
        <v>0</v>
      </c>
      <c r="AF276" s="118">
        <v>0</v>
      </c>
      <c r="AG276" s="118">
        <v>0</v>
      </c>
      <c r="AH276" s="118">
        <v>0</v>
      </c>
      <c r="AI276" s="118">
        <v>0</v>
      </c>
      <c r="AJ276" s="118">
        <v>0</v>
      </c>
      <c r="AK276" s="118">
        <v>0</v>
      </c>
      <c r="AL276" s="118">
        <v>0</v>
      </c>
      <c r="AM276" s="118">
        <v>0</v>
      </c>
      <c r="AN276" s="118">
        <v>0</v>
      </c>
      <c r="AO276" s="118">
        <v>0</v>
      </c>
      <c r="AP276" s="118">
        <v>0</v>
      </c>
      <c r="AQ276" s="118">
        <v>0</v>
      </c>
      <c r="AR276" s="118">
        <v>0</v>
      </c>
      <c r="AS276" s="118">
        <v>0</v>
      </c>
      <c r="AT276" s="118">
        <v>0</v>
      </c>
      <c r="AU276" s="118">
        <f t="shared" si="21"/>
        <v>0</v>
      </c>
    </row>
    <row r="277" spans="1:50">
      <c r="A277" s="115">
        <v>18</v>
      </c>
      <c r="B277" s="116">
        <v>45960</v>
      </c>
      <c r="G277" s="115" t="s">
        <v>297</v>
      </c>
      <c r="H277" s="115">
        <v>5</v>
      </c>
      <c r="I277" s="117" t="str">
        <f t="shared" si="22"/>
        <v>TU_5</v>
      </c>
      <c r="J277" s="117" t="s">
        <v>795</v>
      </c>
      <c r="K277" s="118">
        <v>9</v>
      </c>
      <c r="L277" s="123" t="str">
        <f t="shared" si="19"/>
        <v>TU_5_9</v>
      </c>
      <c r="M277" s="117" t="s">
        <v>1077</v>
      </c>
      <c r="N277" s="115" t="s">
        <v>50</v>
      </c>
      <c r="O277" s="115" t="s">
        <v>298</v>
      </c>
      <c r="P277" s="115">
        <v>100</v>
      </c>
      <c r="Q277" s="115">
        <v>500</v>
      </c>
      <c r="R277" s="115">
        <v>80</v>
      </c>
      <c r="S277" s="115" t="s">
        <v>269</v>
      </c>
      <c r="T277" s="115">
        <v>3</v>
      </c>
      <c r="U277" s="115">
        <v>10.01</v>
      </c>
      <c r="V277" s="115">
        <v>10.11</v>
      </c>
      <c r="W277" s="118">
        <v>3</v>
      </c>
      <c r="X277" s="118">
        <v>10.27</v>
      </c>
      <c r="Y277" s="118">
        <v>0</v>
      </c>
      <c r="Z277" s="118">
        <v>0</v>
      </c>
      <c r="AA277" s="118">
        <v>0</v>
      </c>
      <c r="AB277" s="118">
        <v>0</v>
      </c>
      <c r="AC277" s="118">
        <v>0</v>
      </c>
      <c r="AD277" s="118">
        <v>0</v>
      </c>
      <c r="AE277" s="118">
        <v>0</v>
      </c>
      <c r="AF277" s="118">
        <v>0</v>
      </c>
      <c r="AG277" s="118">
        <v>0</v>
      </c>
      <c r="AH277" s="118">
        <v>0</v>
      </c>
      <c r="AI277" s="118">
        <v>0</v>
      </c>
      <c r="AJ277" s="118">
        <v>0</v>
      </c>
      <c r="AK277" s="118">
        <v>0</v>
      </c>
      <c r="AL277" s="118">
        <v>0</v>
      </c>
      <c r="AM277" s="118">
        <v>0</v>
      </c>
      <c r="AN277" s="118">
        <v>0</v>
      </c>
      <c r="AO277" s="118">
        <v>0</v>
      </c>
      <c r="AP277" s="118">
        <v>0</v>
      </c>
      <c r="AQ277" s="118">
        <v>0</v>
      </c>
      <c r="AR277" s="118">
        <v>0</v>
      </c>
      <c r="AS277" s="118">
        <v>0</v>
      </c>
      <c r="AT277" s="118">
        <v>0</v>
      </c>
      <c r="AU277" s="118">
        <f t="shared" si="21"/>
        <v>0</v>
      </c>
      <c r="AX277" s="114" t="s">
        <v>67</v>
      </c>
    </row>
    <row r="278" spans="1:50">
      <c r="A278" s="115">
        <v>18</v>
      </c>
      <c r="B278" s="116">
        <v>45960</v>
      </c>
      <c r="G278" s="115" t="s">
        <v>297</v>
      </c>
      <c r="H278" s="115">
        <v>5</v>
      </c>
      <c r="I278" s="117" t="str">
        <f t="shared" si="22"/>
        <v>TU_5</v>
      </c>
      <c r="J278" s="117" t="s">
        <v>795</v>
      </c>
      <c r="K278" s="118">
        <v>10</v>
      </c>
      <c r="L278" s="123" t="str">
        <f t="shared" si="19"/>
        <v>TU_5_10</v>
      </c>
      <c r="M278" s="117" t="s">
        <v>1078</v>
      </c>
      <c r="N278" s="115" t="s">
        <v>50</v>
      </c>
      <c r="O278" s="115" t="s">
        <v>298</v>
      </c>
      <c r="P278" s="115">
        <v>100</v>
      </c>
      <c r="Q278" s="115">
        <v>500</v>
      </c>
      <c r="S278" s="115" t="s">
        <v>270</v>
      </c>
      <c r="T278" s="115">
        <v>1</v>
      </c>
      <c r="U278" s="115">
        <v>10.119999999999999</v>
      </c>
      <c r="V278" s="115">
        <v>10.16</v>
      </c>
      <c r="W278" s="118">
        <v>1</v>
      </c>
      <c r="X278" s="118">
        <v>10.34</v>
      </c>
      <c r="Y278" s="118">
        <v>0</v>
      </c>
      <c r="Z278" s="118">
        <v>0</v>
      </c>
      <c r="AA278" s="118">
        <v>0</v>
      </c>
      <c r="AB278" s="118">
        <v>0</v>
      </c>
      <c r="AC278" s="118">
        <v>0</v>
      </c>
      <c r="AD278" s="118">
        <v>0</v>
      </c>
      <c r="AE278" s="118">
        <v>0</v>
      </c>
      <c r="AF278" s="118">
        <v>0</v>
      </c>
      <c r="AG278" s="118">
        <v>0</v>
      </c>
      <c r="AH278" s="118">
        <v>0</v>
      </c>
      <c r="AI278" s="118">
        <v>0</v>
      </c>
      <c r="AJ278" s="118">
        <v>0</v>
      </c>
      <c r="AK278" s="118">
        <v>0</v>
      </c>
      <c r="AL278" s="118">
        <v>0</v>
      </c>
      <c r="AM278" s="118">
        <v>0</v>
      </c>
      <c r="AN278" s="118">
        <v>0</v>
      </c>
      <c r="AO278" s="118">
        <v>0</v>
      </c>
      <c r="AP278" s="118">
        <v>0</v>
      </c>
      <c r="AQ278" s="118">
        <v>0</v>
      </c>
      <c r="AR278" s="118">
        <v>0</v>
      </c>
      <c r="AS278" s="118">
        <v>0</v>
      </c>
      <c r="AT278" s="118">
        <v>0</v>
      </c>
      <c r="AU278" s="118">
        <f t="shared" si="21"/>
        <v>0</v>
      </c>
    </row>
    <row r="279" spans="1:50">
      <c r="A279" s="115">
        <v>18</v>
      </c>
      <c r="B279" s="116">
        <v>45960</v>
      </c>
      <c r="G279" s="115" t="s">
        <v>297</v>
      </c>
      <c r="H279" s="115">
        <v>5</v>
      </c>
      <c r="I279" s="117" t="str">
        <f t="shared" si="22"/>
        <v>TU_5</v>
      </c>
      <c r="J279" s="117" t="s">
        <v>795</v>
      </c>
      <c r="K279" s="118">
        <v>11</v>
      </c>
      <c r="L279" s="123" t="str">
        <f t="shared" si="19"/>
        <v>TU_5_11</v>
      </c>
      <c r="M279" s="117" t="s">
        <v>1079</v>
      </c>
      <c r="N279" s="115" t="s">
        <v>50</v>
      </c>
      <c r="O279" s="115" t="s">
        <v>298</v>
      </c>
      <c r="P279" s="115">
        <v>100</v>
      </c>
      <c r="Q279" s="115">
        <v>500</v>
      </c>
      <c r="S279" s="115" t="s">
        <v>271</v>
      </c>
      <c r="T279" s="115">
        <v>3</v>
      </c>
      <c r="U279" s="115">
        <v>10.210000000000001</v>
      </c>
      <c r="V279" s="115">
        <v>10.35</v>
      </c>
      <c r="W279" s="118">
        <v>3</v>
      </c>
      <c r="X279" s="118">
        <v>10.5</v>
      </c>
      <c r="Y279" s="118">
        <v>2</v>
      </c>
      <c r="Z279" s="118">
        <v>2</v>
      </c>
      <c r="AA279" s="118">
        <v>2</v>
      </c>
      <c r="AB279" s="118">
        <v>2</v>
      </c>
      <c r="AC279" s="118">
        <v>2</v>
      </c>
      <c r="AD279" s="118">
        <v>2</v>
      </c>
      <c r="AE279" s="118">
        <v>2</v>
      </c>
      <c r="AF279" s="118">
        <v>2</v>
      </c>
      <c r="AG279" s="118">
        <v>0</v>
      </c>
      <c r="AH279" s="118">
        <v>0</v>
      </c>
      <c r="AI279" s="118">
        <v>0</v>
      </c>
      <c r="AJ279" s="118">
        <v>0</v>
      </c>
      <c r="AK279" s="118">
        <v>0</v>
      </c>
      <c r="AL279" s="118">
        <v>0</v>
      </c>
      <c r="AM279" s="118">
        <v>0</v>
      </c>
      <c r="AN279" s="118">
        <v>0</v>
      </c>
      <c r="AO279" s="118">
        <v>0</v>
      </c>
      <c r="AP279" s="118">
        <v>0</v>
      </c>
      <c r="AQ279" s="118">
        <v>0</v>
      </c>
      <c r="AR279" s="118">
        <v>0</v>
      </c>
      <c r="AS279" s="118">
        <v>0</v>
      </c>
      <c r="AT279" s="118">
        <v>0</v>
      </c>
      <c r="AU279" s="118">
        <f t="shared" si="21"/>
        <v>0</v>
      </c>
    </row>
    <row r="280" spans="1:50">
      <c r="A280" s="115">
        <v>18</v>
      </c>
      <c r="B280" s="116">
        <v>45960</v>
      </c>
      <c r="G280" s="115" t="s">
        <v>297</v>
      </c>
      <c r="H280" s="115">
        <v>5</v>
      </c>
      <c r="I280" s="117" t="str">
        <f t="shared" si="22"/>
        <v>TU_5</v>
      </c>
      <c r="J280" s="117" t="s">
        <v>795</v>
      </c>
      <c r="K280" s="118">
        <v>12</v>
      </c>
      <c r="L280" s="123" t="str">
        <f t="shared" ref="L280:L343" si="23">_xlfn.CONCAT(J280 &amp; "_" &amp; K280)</f>
        <v>TU_5_12</v>
      </c>
      <c r="M280" s="117" t="s">
        <v>1080</v>
      </c>
      <c r="N280" s="115" t="s">
        <v>50</v>
      </c>
      <c r="O280" s="115" t="s">
        <v>298</v>
      </c>
      <c r="P280" s="115">
        <v>100</v>
      </c>
      <c r="Q280" s="115">
        <v>500</v>
      </c>
      <c r="S280" s="115" t="s">
        <v>272</v>
      </c>
      <c r="T280" s="115">
        <v>3</v>
      </c>
      <c r="U280" s="115">
        <v>10.37</v>
      </c>
      <c r="V280" s="115">
        <v>10.5</v>
      </c>
      <c r="W280" s="118">
        <v>3</v>
      </c>
      <c r="X280" s="118">
        <v>11.06</v>
      </c>
      <c r="Y280" s="118">
        <v>0</v>
      </c>
      <c r="Z280" s="118">
        <v>0</v>
      </c>
      <c r="AA280" s="118">
        <v>0</v>
      </c>
      <c r="AB280" s="118">
        <v>0</v>
      </c>
      <c r="AC280" s="118">
        <v>0</v>
      </c>
      <c r="AD280" s="118">
        <v>0</v>
      </c>
      <c r="AE280" s="118">
        <v>0</v>
      </c>
      <c r="AF280" s="118">
        <v>0</v>
      </c>
      <c r="AG280" s="118">
        <v>0</v>
      </c>
      <c r="AH280" s="118">
        <v>0</v>
      </c>
      <c r="AI280" s="118">
        <v>0</v>
      </c>
      <c r="AJ280" s="118">
        <v>0</v>
      </c>
      <c r="AK280" s="118">
        <v>0</v>
      </c>
      <c r="AL280" s="118">
        <v>0</v>
      </c>
      <c r="AM280" s="118">
        <v>0</v>
      </c>
      <c r="AN280" s="118">
        <v>0</v>
      </c>
      <c r="AO280" s="118">
        <v>0</v>
      </c>
      <c r="AP280" s="118">
        <v>0</v>
      </c>
      <c r="AQ280" s="118">
        <v>0</v>
      </c>
      <c r="AR280" s="118">
        <v>0</v>
      </c>
      <c r="AS280" s="118">
        <v>0</v>
      </c>
      <c r="AT280" s="118">
        <v>0</v>
      </c>
      <c r="AU280" s="118">
        <f t="shared" si="21"/>
        <v>0</v>
      </c>
    </row>
    <row r="281" spans="1:50">
      <c r="A281" s="115">
        <v>18</v>
      </c>
      <c r="B281" s="116">
        <v>45960</v>
      </c>
      <c r="G281" s="115" t="s">
        <v>297</v>
      </c>
      <c r="H281" s="115">
        <v>5</v>
      </c>
      <c r="I281" s="117" t="str">
        <f t="shared" si="22"/>
        <v>TU_5</v>
      </c>
      <c r="J281" s="117" t="s">
        <v>795</v>
      </c>
      <c r="K281" s="118">
        <v>13</v>
      </c>
      <c r="L281" s="123" t="str">
        <f t="shared" si="23"/>
        <v>TU_5_13</v>
      </c>
      <c r="M281" s="117" t="s">
        <v>1081</v>
      </c>
      <c r="N281" s="115" t="s">
        <v>50</v>
      </c>
      <c r="O281" s="115" t="s">
        <v>298</v>
      </c>
      <c r="P281" s="115">
        <v>100</v>
      </c>
      <c r="Q281" s="115">
        <v>500</v>
      </c>
      <c r="S281" s="115" t="s">
        <v>273</v>
      </c>
      <c r="T281" s="115">
        <v>3</v>
      </c>
      <c r="U281" s="115">
        <v>10.53</v>
      </c>
      <c r="V281" s="115">
        <v>11.03</v>
      </c>
      <c r="W281" s="118">
        <v>3</v>
      </c>
      <c r="X281" s="118">
        <v>11.19</v>
      </c>
      <c r="Y281" s="118">
        <v>0</v>
      </c>
      <c r="Z281" s="118">
        <v>0</v>
      </c>
      <c r="AA281" s="118">
        <v>0</v>
      </c>
      <c r="AB281" s="118">
        <v>0</v>
      </c>
      <c r="AC281" s="118">
        <v>0</v>
      </c>
      <c r="AD281" s="118">
        <v>0</v>
      </c>
      <c r="AE281" s="118">
        <v>0</v>
      </c>
      <c r="AF281" s="118">
        <v>0</v>
      </c>
      <c r="AG281" s="118">
        <v>0</v>
      </c>
      <c r="AH281" s="118">
        <v>0</v>
      </c>
      <c r="AI281" s="118">
        <v>0</v>
      </c>
      <c r="AJ281" s="118">
        <v>0</v>
      </c>
      <c r="AK281" s="118">
        <v>0</v>
      </c>
      <c r="AL281" s="118">
        <v>0</v>
      </c>
      <c r="AM281" s="118">
        <v>0</v>
      </c>
      <c r="AN281" s="118">
        <v>0</v>
      </c>
      <c r="AO281" s="118">
        <v>0</v>
      </c>
      <c r="AP281" s="118">
        <v>0</v>
      </c>
      <c r="AQ281" s="118">
        <v>0</v>
      </c>
      <c r="AR281" s="118">
        <v>0</v>
      </c>
      <c r="AS281" s="118">
        <v>0</v>
      </c>
      <c r="AT281" s="118">
        <v>0</v>
      </c>
      <c r="AU281" s="118">
        <f t="shared" si="21"/>
        <v>0</v>
      </c>
    </row>
    <row r="282" spans="1:50">
      <c r="A282" s="115">
        <v>18</v>
      </c>
      <c r="B282" s="116">
        <v>45960</v>
      </c>
      <c r="G282" s="115" t="s">
        <v>297</v>
      </c>
      <c r="H282" s="115">
        <v>5</v>
      </c>
      <c r="I282" s="117" t="str">
        <f t="shared" si="22"/>
        <v>TU_5</v>
      </c>
      <c r="J282" s="117" t="s">
        <v>795</v>
      </c>
      <c r="K282" s="118">
        <v>14</v>
      </c>
      <c r="L282" s="123" t="str">
        <f t="shared" si="23"/>
        <v>TU_5_14</v>
      </c>
      <c r="M282" s="117" t="s">
        <v>1082</v>
      </c>
      <c r="N282" s="115" t="s">
        <v>50</v>
      </c>
      <c r="O282" s="115" t="s">
        <v>298</v>
      </c>
      <c r="P282" s="115">
        <v>100</v>
      </c>
      <c r="Q282" s="115">
        <v>500</v>
      </c>
      <c r="S282" s="115" t="s">
        <v>274</v>
      </c>
      <c r="T282" s="115">
        <v>3</v>
      </c>
      <c r="U282" s="115">
        <v>11.06</v>
      </c>
      <c r="V282" s="115">
        <v>11.19</v>
      </c>
      <c r="W282" s="118">
        <v>3</v>
      </c>
      <c r="X282" s="118">
        <v>11.35</v>
      </c>
      <c r="Y282" s="118">
        <v>1</v>
      </c>
      <c r="Z282" s="118">
        <v>1</v>
      </c>
      <c r="AA282" s="118">
        <v>1</v>
      </c>
      <c r="AB282" s="118">
        <v>0</v>
      </c>
      <c r="AC282" s="118">
        <v>0</v>
      </c>
      <c r="AD282" s="118">
        <v>0</v>
      </c>
      <c r="AE282" s="118">
        <v>0</v>
      </c>
      <c r="AF282" s="118">
        <v>0</v>
      </c>
      <c r="AG282" s="118">
        <v>0</v>
      </c>
      <c r="AH282" s="118">
        <v>0</v>
      </c>
      <c r="AI282" s="118">
        <v>0</v>
      </c>
      <c r="AJ282" s="118">
        <v>0</v>
      </c>
      <c r="AK282" s="118">
        <v>0</v>
      </c>
      <c r="AL282" s="118">
        <v>0</v>
      </c>
      <c r="AM282" s="118">
        <v>0</v>
      </c>
      <c r="AN282" s="118">
        <v>0</v>
      </c>
      <c r="AO282" s="118">
        <v>0</v>
      </c>
      <c r="AP282" s="118">
        <v>0</v>
      </c>
      <c r="AQ282" s="118">
        <v>0</v>
      </c>
      <c r="AR282" s="118">
        <v>0</v>
      </c>
      <c r="AS282" s="118">
        <v>0</v>
      </c>
      <c r="AT282" s="118">
        <v>0</v>
      </c>
      <c r="AU282" s="118">
        <f t="shared" si="21"/>
        <v>0</v>
      </c>
    </row>
    <row r="283" spans="1:50">
      <c r="A283" s="115">
        <v>18</v>
      </c>
      <c r="B283" s="116">
        <v>45960</v>
      </c>
      <c r="G283" s="115" t="s">
        <v>297</v>
      </c>
      <c r="H283" s="115">
        <v>5</v>
      </c>
      <c r="I283" s="117" t="str">
        <f t="shared" si="22"/>
        <v>TU_5</v>
      </c>
      <c r="J283" s="117" t="s">
        <v>795</v>
      </c>
      <c r="K283" s="118">
        <v>15</v>
      </c>
      <c r="L283" s="123" t="str">
        <f t="shared" si="23"/>
        <v>TU_5_15</v>
      </c>
      <c r="M283" s="117" t="s">
        <v>1083</v>
      </c>
      <c r="N283" s="115" t="s">
        <v>50</v>
      </c>
      <c r="O283" s="115" t="s">
        <v>298</v>
      </c>
      <c r="P283" s="115">
        <v>100</v>
      </c>
      <c r="Q283" s="115">
        <v>500</v>
      </c>
      <c r="S283" s="115" t="s">
        <v>275</v>
      </c>
      <c r="T283" s="115">
        <v>3</v>
      </c>
      <c r="U283" s="115">
        <v>11.21</v>
      </c>
      <c r="V283" s="115">
        <v>11.33</v>
      </c>
      <c r="W283" s="118">
        <v>3</v>
      </c>
      <c r="X283" s="118">
        <v>11.48</v>
      </c>
      <c r="Y283" s="118">
        <v>0</v>
      </c>
      <c r="Z283" s="118">
        <v>0</v>
      </c>
      <c r="AA283" s="118">
        <v>0</v>
      </c>
      <c r="AB283" s="118">
        <v>0</v>
      </c>
      <c r="AC283" s="118">
        <v>0</v>
      </c>
      <c r="AD283" s="118">
        <v>0</v>
      </c>
      <c r="AE283" s="118">
        <v>0</v>
      </c>
      <c r="AF283" s="118">
        <v>0</v>
      </c>
      <c r="AG283" s="118">
        <v>0</v>
      </c>
      <c r="AH283" s="118">
        <v>0</v>
      </c>
      <c r="AI283" s="118">
        <v>0</v>
      </c>
      <c r="AJ283" s="118">
        <v>0</v>
      </c>
      <c r="AK283" s="118">
        <v>0</v>
      </c>
      <c r="AL283" s="118">
        <v>0</v>
      </c>
      <c r="AM283" s="118">
        <v>0</v>
      </c>
      <c r="AN283" s="118">
        <v>0</v>
      </c>
      <c r="AO283" s="118">
        <v>0</v>
      </c>
      <c r="AP283" s="118">
        <v>0</v>
      </c>
      <c r="AQ283" s="118">
        <v>0</v>
      </c>
      <c r="AR283" s="118">
        <v>0</v>
      </c>
      <c r="AS283" s="118">
        <v>0</v>
      </c>
      <c r="AT283" s="118">
        <v>0</v>
      </c>
      <c r="AU283" s="118">
        <f t="shared" si="21"/>
        <v>0</v>
      </c>
    </row>
    <row r="284" spans="1:50">
      <c r="A284" s="115">
        <v>18</v>
      </c>
      <c r="B284" s="116">
        <v>45960</v>
      </c>
      <c r="G284" s="115" t="s">
        <v>297</v>
      </c>
      <c r="H284" s="115">
        <v>5</v>
      </c>
      <c r="I284" s="117" t="str">
        <f t="shared" si="22"/>
        <v>TU_5</v>
      </c>
      <c r="J284" s="117" t="s">
        <v>795</v>
      </c>
      <c r="K284" s="118">
        <v>16</v>
      </c>
      <c r="L284" s="123" t="str">
        <f t="shared" si="23"/>
        <v>TU_5_16</v>
      </c>
      <c r="M284" s="117" t="s">
        <v>1084</v>
      </c>
      <c r="N284" s="115" t="s">
        <v>50</v>
      </c>
      <c r="O284" s="115" t="s">
        <v>298</v>
      </c>
      <c r="P284" s="115">
        <v>100</v>
      </c>
      <c r="Q284" s="115">
        <v>500</v>
      </c>
      <c r="S284" s="115" t="s">
        <v>276</v>
      </c>
      <c r="T284" s="115">
        <v>3</v>
      </c>
      <c r="U284" s="115">
        <v>11.35</v>
      </c>
      <c r="V284" s="115">
        <v>11.48</v>
      </c>
      <c r="W284" s="118">
        <v>3</v>
      </c>
      <c r="X284" s="118">
        <v>12.09</v>
      </c>
      <c r="Y284" s="118">
        <v>2</v>
      </c>
      <c r="Z284" s="118">
        <v>2</v>
      </c>
      <c r="AA284" s="118">
        <v>1</v>
      </c>
      <c r="AB284" s="118">
        <v>0</v>
      </c>
      <c r="AC284" s="118">
        <v>0</v>
      </c>
      <c r="AD284" s="118">
        <v>0</v>
      </c>
      <c r="AE284" s="118">
        <v>0</v>
      </c>
      <c r="AF284" s="118">
        <v>0</v>
      </c>
      <c r="AG284" s="118">
        <v>0</v>
      </c>
      <c r="AH284" s="118">
        <v>0</v>
      </c>
      <c r="AI284" s="118">
        <v>0</v>
      </c>
      <c r="AJ284" s="118">
        <v>0</v>
      </c>
      <c r="AK284" s="118">
        <v>0</v>
      </c>
      <c r="AL284" s="118">
        <v>0</v>
      </c>
      <c r="AM284" s="118">
        <v>0</v>
      </c>
      <c r="AN284" s="118">
        <v>0</v>
      </c>
      <c r="AO284" s="118">
        <v>0</v>
      </c>
      <c r="AP284" s="118">
        <v>0</v>
      </c>
      <c r="AQ284" s="118">
        <v>0</v>
      </c>
      <c r="AR284" s="118">
        <v>0</v>
      </c>
      <c r="AS284" s="118">
        <v>0</v>
      </c>
      <c r="AT284" s="118">
        <v>0</v>
      </c>
      <c r="AU284" s="118">
        <f t="shared" si="21"/>
        <v>0</v>
      </c>
    </row>
    <row r="285" spans="1:50">
      <c r="A285" s="115">
        <v>18</v>
      </c>
      <c r="B285" s="116">
        <v>45960</v>
      </c>
      <c r="G285" s="115" t="s">
        <v>297</v>
      </c>
      <c r="H285" s="115">
        <v>5</v>
      </c>
      <c r="I285" s="117" t="str">
        <f t="shared" si="22"/>
        <v>TU_5</v>
      </c>
      <c r="J285" s="117" t="s">
        <v>795</v>
      </c>
      <c r="K285" s="118">
        <v>17</v>
      </c>
      <c r="L285" s="123" t="str">
        <f t="shared" si="23"/>
        <v>TU_5_17</v>
      </c>
      <c r="M285" s="117" t="s">
        <v>1085</v>
      </c>
      <c r="N285" s="115" t="s">
        <v>50</v>
      </c>
      <c r="O285" s="115" t="s">
        <v>298</v>
      </c>
      <c r="P285" s="115">
        <v>100</v>
      </c>
      <c r="Q285" s="115">
        <v>500</v>
      </c>
      <c r="S285" s="115" t="s">
        <v>277</v>
      </c>
      <c r="T285" s="115">
        <v>3</v>
      </c>
      <c r="U285" s="115">
        <v>11.5</v>
      </c>
      <c r="V285" s="115">
        <v>12.01</v>
      </c>
      <c r="W285" s="118">
        <v>3</v>
      </c>
      <c r="X285" s="118">
        <v>12.17</v>
      </c>
      <c r="Y285" s="118">
        <v>0</v>
      </c>
      <c r="Z285" s="118">
        <v>0</v>
      </c>
      <c r="AA285" s="118">
        <v>0</v>
      </c>
      <c r="AB285" s="118">
        <v>0</v>
      </c>
      <c r="AC285" s="118">
        <v>0</v>
      </c>
      <c r="AD285" s="118">
        <v>0</v>
      </c>
      <c r="AE285" s="118">
        <v>0</v>
      </c>
      <c r="AF285" s="118">
        <v>0</v>
      </c>
      <c r="AG285" s="118">
        <v>0</v>
      </c>
      <c r="AH285" s="118">
        <v>0</v>
      </c>
      <c r="AI285" s="118">
        <v>0</v>
      </c>
      <c r="AJ285" s="118">
        <v>0</v>
      </c>
      <c r="AK285" s="118">
        <v>0</v>
      </c>
      <c r="AL285" s="118">
        <v>0</v>
      </c>
      <c r="AM285" s="118">
        <v>0</v>
      </c>
      <c r="AN285" s="118">
        <v>0</v>
      </c>
      <c r="AO285" s="118">
        <v>0</v>
      </c>
      <c r="AP285" s="118">
        <v>0</v>
      </c>
      <c r="AQ285" s="118">
        <v>0</v>
      </c>
      <c r="AR285" s="118">
        <v>0</v>
      </c>
      <c r="AS285" s="118">
        <v>0</v>
      </c>
      <c r="AT285" s="118">
        <v>0</v>
      </c>
      <c r="AU285" s="118">
        <f t="shared" si="21"/>
        <v>0</v>
      </c>
    </row>
    <row r="286" spans="1:50">
      <c r="A286" s="115">
        <v>18</v>
      </c>
      <c r="B286" s="116">
        <v>45960</v>
      </c>
      <c r="G286" s="115" t="s">
        <v>297</v>
      </c>
      <c r="H286" s="115">
        <v>5</v>
      </c>
      <c r="I286" s="117" t="str">
        <f t="shared" si="22"/>
        <v>TU_5</v>
      </c>
      <c r="J286" s="117" t="s">
        <v>795</v>
      </c>
      <c r="K286" s="118">
        <v>18</v>
      </c>
      <c r="L286" s="123" t="str">
        <f t="shared" si="23"/>
        <v>TU_5_18</v>
      </c>
      <c r="M286" s="117" t="s">
        <v>1086</v>
      </c>
      <c r="N286" s="115" t="s">
        <v>50</v>
      </c>
      <c r="O286" s="115" t="s">
        <v>298</v>
      </c>
      <c r="P286" s="115">
        <v>100</v>
      </c>
      <c r="Q286" s="115">
        <v>500</v>
      </c>
      <c r="S286" s="115" t="s">
        <v>278</v>
      </c>
      <c r="T286" s="115">
        <v>1</v>
      </c>
      <c r="U286" s="115">
        <v>12.1</v>
      </c>
      <c r="V286" s="115">
        <v>12.19</v>
      </c>
      <c r="W286" s="118">
        <v>1</v>
      </c>
      <c r="X286" s="118">
        <v>12.34</v>
      </c>
      <c r="Y286" s="118">
        <v>0</v>
      </c>
      <c r="Z286" s="118">
        <v>0</v>
      </c>
      <c r="AA286" s="118">
        <v>0</v>
      </c>
      <c r="AB286" s="118">
        <v>0</v>
      </c>
      <c r="AC286" s="118">
        <v>0</v>
      </c>
      <c r="AD286" s="118">
        <v>0</v>
      </c>
      <c r="AE286" s="118">
        <v>0</v>
      </c>
      <c r="AF286" s="118">
        <v>0</v>
      </c>
      <c r="AG286" s="118">
        <v>0</v>
      </c>
      <c r="AH286" s="118">
        <v>0</v>
      </c>
      <c r="AI286" s="118">
        <v>0</v>
      </c>
      <c r="AJ286" s="118">
        <v>0</v>
      </c>
      <c r="AK286" s="118">
        <v>0</v>
      </c>
      <c r="AL286" s="118">
        <v>0</v>
      </c>
      <c r="AM286" s="118">
        <v>0</v>
      </c>
      <c r="AN286" s="118">
        <v>0</v>
      </c>
      <c r="AO286" s="118">
        <v>0</v>
      </c>
      <c r="AP286" s="118">
        <v>0</v>
      </c>
      <c r="AQ286" s="118">
        <v>0</v>
      </c>
      <c r="AR286" s="118">
        <v>0</v>
      </c>
      <c r="AS286" s="118">
        <v>0</v>
      </c>
      <c r="AT286" s="118">
        <v>0</v>
      </c>
      <c r="AU286" s="118">
        <f t="shared" si="21"/>
        <v>0</v>
      </c>
    </row>
    <row r="287" spans="1:50">
      <c r="A287" s="114">
        <v>19</v>
      </c>
      <c r="B287" s="116">
        <v>45961</v>
      </c>
      <c r="C287" s="115" t="s">
        <v>251</v>
      </c>
      <c r="D287" s="115" t="s">
        <v>301</v>
      </c>
      <c r="F287" s="115" t="s">
        <v>265</v>
      </c>
      <c r="G287" s="115" t="s">
        <v>302</v>
      </c>
      <c r="H287" s="115">
        <v>8</v>
      </c>
      <c r="I287" s="117" t="str">
        <f t="shared" si="22"/>
        <v>AB_8</v>
      </c>
      <c r="J287" s="125" t="s">
        <v>778</v>
      </c>
      <c r="K287" s="127">
        <v>1</v>
      </c>
      <c r="L287" s="123" t="str">
        <f t="shared" si="23"/>
        <v>AB_8_1</v>
      </c>
      <c r="M287" s="125" t="s">
        <v>1087</v>
      </c>
      <c r="N287" s="115" t="s">
        <v>88</v>
      </c>
      <c r="O287" s="115" t="s">
        <v>303</v>
      </c>
      <c r="P287" s="115">
        <v>100</v>
      </c>
      <c r="Q287" s="115">
        <v>500</v>
      </c>
      <c r="R287" s="115">
        <v>70</v>
      </c>
      <c r="S287" s="115" t="s">
        <v>282</v>
      </c>
      <c r="T287" s="115">
        <v>4</v>
      </c>
      <c r="U287" s="115">
        <v>10.3</v>
      </c>
      <c r="V287" s="115">
        <v>10.47</v>
      </c>
      <c r="W287" s="118">
        <v>4</v>
      </c>
      <c r="X287" s="118">
        <v>11.03</v>
      </c>
      <c r="Y287" s="118">
        <v>0</v>
      </c>
      <c r="Z287" s="118">
        <v>0</v>
      </c>
      <c r="AA287" s="118">
        <v>0</v>
      </c>
      <c r="AB287" s="118">
        <v>0</v>
      </c>
      <c r="AC287" s="118">
        <v>0</v>
      </c>
      <c r="AD287" s="118">
        <v>0</v>
      </c>
      <c r="AE287" s="118">
        <v>0</v>
      </c>
      <c r="AF287" s="118">
        <v>0</v>
      </c>
      <c r="AG287" s="118">
        <v>0</v>
      </c>
      <c r="AH287" s="118">
        <v>0</v>
      </c>
      <c r="AI287" s="118">
        <v>0</v>
      </c>
      <c r="AJ287" s="118">
        <v>0</v>
      </c>
      <c r="AK287" s="118">
        <v>0</v>
      </c>
      <c r="AL287" s="118">
        <v>0</v>
      </c>
      <c r="AM287" s="118">
        <v>0</v>
      </c>
      <c r="AN287" s="118">
        <v>0</v>
      </c>
      <c r="AO287" s="118">
        <v>0</v>
      </c>
      <c r="AP287" s="118">
        <v>0</v>
      </c>
      <c r="AQ287" s="118">
        <v>0</v>
      </c>
      <c r="AR287" s="118">
        <v>0</v>
      </c>
      <c r="AS287" s="118">
        <v>0</v>
      </c>
      <c r="AT287" s="118">
        <v>0</v>
      </c>
      <c r="AU287" s="118">
        <f t="shared" si="21"/>
        <v>0</v>
      </c>
      <c r="AX287" s="114" t="s">
        <v>53</v>
      </c>
    </row>
    <row r="288" spans="1:50">
      <c r="A288" s="114">
        <v>19</v>
      </c>
      <c r="B288" s="116">
        <v>45961</v>
      </c>
      <c r="D288" s="115" t="s">
        <v>304</v>
      </c>
      <c r="G288" s="115" t="s">
        <v>302</v>
      </c>
      <c r="H288" s="115">
        <v>8</v>
      </c>
      <c r="I288" s="117" t="str">
        <f t="shared" si="22"/>
        <v>AB_8</v>
      </c>
      <c r="J288" s="125" t="s">
        <v>778</v>
      </c>
      <c r="K288" s="127">
        <v>2</v>
      </c>
      <c r="L288" s="123" t="str">
        <f t="shared" si="23"/>
        <v>AB_8_2</v>
      </c>
      <c r="M288" s="125" t="s">
        <v>1088</v>
      </c>
      <c r="N288" s="115" t="s">
        <v>88</v>
      </c>
      <c r="O288" s="115" t="s">
        <v>303</v>
      </c>
      <c r="P288" s="115">
        <v>100</v>
      </c>
      <c r="Q288" s="115">
        <v>500</v>
      </c>
      <c r="S288" s="115" t="s">
        <v>284</v>
      </c>
      <c r="T288" s="115">
        <v>3</v>
      </c>
      <c r="U288" s="115">
        <v>11.01</v>
      </c>
      <c r="V288" s="115">
        <v>11.12</v>
      </c>
      <c r="W288" s="118">
        <v>3</v>
      </c>
      <c r="X288" s="118">
        <v>11.27</v>
      </c>
      <c r="Y288" s="118">
        <v>1</v>
      </c>
      <c r="Z288" s="118">
        <v>1</v>
      </c>
      <c r="AA288" s="118">
        <v>1</v>
      </c>
      <c r="AB288" s="118">
        <v>1</v>
      </c>
      <c r="AC288" s="118">
        <v>1</v>
      </c>
      <c r="AD288" s="118">
        <v>1</v>
      </c>
      <c r="AE288" s="118">
        <v>1</v>
      </c>
      <c r="AF288" s="118">
        <v>1</v>
      </c>
      <c r="AG288" s="118">
        <v>1</v>
      </c>
      <c r="AH288" s="118">
        <v>1</v>
      </c>
      <c r="AI288" s="118">
        <v>1</v>
      </c>
      <c r="AJ288" s="118">
        <v>1</v>
      </c>
      <c r="AK288" s="118">
        <v>1</v>
      </c>
      <c r="AL288" s="118">
        <v>0</v>
      </c>
      <c r="AM288" s="118">
        <v>0</v>
      </c>
      <c r="AN288" s="118">
        <v>0</v>
      </c>
      <c r="AO288" s="118">
        <v>0</v>
      </c>
      <c r="AP288" s="118">
        <v>0</v>
      </c>
      <c r="AQ288" s="118">
        <v>0</v>
      </c>
      <c r="AR288" s="118">
        <v>0</v>
      </c>
      <c r="AS288" s="118">
        <v>0</v>
      </c>
      <c r="AT288" s="118">
        <v>0</v>
      </c>
      <c r="AU288" s="118">
        <f t="shared" si="21"/>
        <v>0</v>
      </c>
    </row>
    <row r="289" spans="1:50">
      <c r="A289" s="114">
        <v>19</v>
      </c>
      <c r="B289" s="116">
        <v>45961</v>
      </c>
      <c r="G289" s="115" t="s">
        <v>302</v>
      </c>
      <c r="H289" s="115">
        <v>8</v>
      </c>
      <c r="I289" s="117" t="str">
        <f t="shared" si="22"/>
        <v>AB_8</v>
      </c>
      <c r="J289" s="125" t="s">
        <v>778</v>
      </c>
      <c r="K289" s="127">
        <v>3</v>
      </c>
      <c r="L289" s="123" t="str">
        <f t="shared" si="23"/>
        <v>AB_8_3</v>
      </c>
      <c r="M289" s="125" t="s">
        <v>1089</v>
      </c>
      <c r="N289" s="115" t="s">
        <v>88</v>
      </c>
      <c r="O289" s="115" t="s">
        <v>303</v>
      </c>
      <c r="P289" s="115">
        <v>100</v>
      </c>
      <c r="Q289" s="115">
        <v>500</v>
      </c>
      <c r="S289" s="115" t="s">
        <v>285</v>
      </c>
      <c r="T289" s="115">
        <v>4</v>
      </c>
      <c r="U289" s="115">
        <v>11.12</v>
      </c>
      <c r="V289" s="115">
        <v>11.26</v>
      </c>
      <c r="W289" s="118">
        <v>4</v>
      </c>
      <c r="X289" s="118">
        <v>11.42</v>
      </c>
      <c r="Y289" s="118">
        <v>0</v>
      </c>
      <c r="Z289" s="118">
        <v>0</v>
      </c>
      <c r="AA289" s="118">
        <v>0</v>
      </c>
      <c r="AB289" s="118">
        <v>0</v>
      </c>
      <c r="AC289" s="118">
        <v>0</v>
      </c>
      <c r="AD289" s="118">
        <v>0</v>
      </c>
      <c r="AE289" s="118">
        <v>0</v>
      </c>
      <c r="AF289" s="118">
        <v>0</v>
      </c>
      <c r="AG289" s="118">
        <v>0</v>
      </c>
      <c r="AH289" s="118">
        <v>0</v>
      </c>
      <c r="AI289" s="118">
        <v>0</v>
      </c>
      <c r="AJ289" s="118">
        <v>0</v>
      </c>
      <c r="AK289" s="118">
        <v>0</v>
      </c>
      <c r="AL289" s="118">
        <v>0</v>
      </c>
      <c r="AM289" s="118">
        <v>0</v>
      </c>
      <c r="AN289" s="118">
        <v>0</v>
      </c>
      <c r="AO289" s="118">
        <v>0</v>
      </c>
      <c r="AP289" s="118">
        <v>0</v>
      </c>
      <c r="AQ289" s="118">
        <v>0</v>
      </c>
      <c r="AR289" s="118">
        <v>0</v>
      </c>
      <c r="AS289" s="118">
        <v>0</v>
      </c>
      <c r="AT289" s="118">
        <v>0</v>
      </c>
      <c r="AU289" s="118">
        <f t="shared" si="21"/>
        <v>0</v>
      </c>
    </row>
    <row r="290" spans="1:50">
      <c r="A290" s="114">
        <v>19</v>
      </c>
      <c r="B290" s="116">
        <v>45961</v>
      </c>
      <c r="G290" s="115" t="s">
        <v>302</v>
      </c>
      <c r="H290" s="115">
        <v>8</v>
      </c>
      <c r="I290" s="117" t="str">
        <f t="shared" si="22"/>
        <v>AB_8</v>
      </c>
      <c r="J290" s="125" t="s">
        <v>778</v>
      </c>
      <c r="K290" s="127">
        <v>4</v>
      </c>
      <c r="L290" s="123" t="str">
        <f t="shared" si="23"/>
        <v>AB_8_4</v>
      </c>
      <c r="M290" s="125" t="s">
        <v>1090</v>
      </c>
      <c r="N290" s="115" t="s">
        <v>88</v>
      </c>
      <c r="O290" s="115" t="s">
        <v>303</v>
      </c>
      <c r="P290" s="115">
        <v>100</v>
      </c>
      <c r="Q290" s="115">
        <v>500</v>
      </c>
      <c r="S290" s="115" t="s">
        <v>286</v>
      </c>
      <c r="T290" s="115">
        <v>2</v>
      </c>
      <c r="U290" s="115">
        <v>11.27</v>
      </c>
      <c r="V290" s="115">
        <v>11.39</v>
      </c>
      <c r="W290" s="118">
        <v>2</v>
      </c>
      <c r="X290" s="118">
        <v>11.53</v>
      </c>
      <c r="Y290" s="118">
        <v>2</v>
      </c>
      <c r="Z290" s="118">
        <v>2</v>
      </c>
      <c r="AA290" s="118">
        <v>2</v>
      </c>
      <c r="AB290" s="118">
        <v>1</v>
      </c>
      <c r="AC290" s="118">
        <v>1</v>
      </c>
      <c r="AD290" s="118">
        <v>1</v>
      </c>
      <c r="AE290" s="118">
        <v>1</v>
      </c>
      <c r="AF290" s="118">
        <v>1</v>
      </c>
      <c r="AG290" s="118">
        <v>1</v>
      </c>
      <c r="AH290" s="118">
        <v>1</v>
      </c>
      <c r="AI290" s="118">
        <v>1</v>
      </c>
      <c r="AJ290" s="118">
        <v>1</v>
      </c>
      <c r="AK290" s="118">
        <v>1</v>
      </c>
      <c r="AL290" s="118">
        <v>0</v>
      </c>
      <c r="AM290" s="118">
        <v>0</v>
      </c>
      <c r="AN290" s="118">
        <v>0</v>
      </c>
      <c r="AO290" s="118">
        <v>0</v>
      </c>
      <c r="AP290" s="118">
        <v>0</v>
      </c>
      <c r="AQ290" s="118">
        <v>0</v>
      </c>
      <c r="AR290" s="118">
        <v>0</v>
      </c>
      <c r="AS290" s="118">
        <v>0</v>
      </c>
      <c r="AT290" s="118">
        <v>0</v>
      </c>
      <c r="AU290" s="118">
        <f t="shared" si="21"/>
        <v>0</v>
      </c>
    </row>
    <row r="291" spans="1:50">
      <c r="A291" s="114">
        <v>19</v>
      </c>
      <c r="B291" s="116">
        <v>45961</v>
      </c>
      <c r="G291" s="115" t="s">
        <v>302</v>
      </c>
      <c r="H291" s="115">
        <v>8</v>
      </c>
      <c r="I291" s="117" t="str">
        <f t="shared" si="22"/>
        <v>AB_8</v>
      </c>
      <c r="J291" s="125" t="s">
        <v>778</v>
      </c>
      <c r="K291" s="127">
        <v>5</v>
      </c>
      <c r="L291" s="123" t="str">
        <f t="shared" si="23"/>
        <v>AB_8_5</v>
      </c>
      <c r="M291" s="125" t="s">
        <v>1091</v>
      </c>
      <c r="N291" s="115" t="s">
        <v>88</v>
      </c>
      <c r="O291" s="115" t="s">
        <v>303</v>
      </c>
      <c r="P291" s="115">
        <v>100</v>
      </c>
      <c r="Q291" s="115">
        <v>500</v>
      </c>
      <c r="S291" s="115" t="s">
        <v>287</v>
      </c>
      <c r="T291" s="115">
        <v>4</v>
      </c>
      <c r="U291" s="115">
        <v>11.4</v>
      </c>
      <c r="V291" s="115">
        <v>11.54</v>
      </c>
      <c r="W291" s="118">
        <v>4</v>
      </c>
      <c r="X291" s="118">
        <v>12.05</v>
      </c>
      <c r="Y291" s="118">
        <v>1</v>
      </c>
      <c r="Z291" s="118">
        <v>0</v>
      </c>
      <c r="AA291" s="118">
        <v>0</v>
      </c>
      <c r="AB291" s="118">
        <v>0</v>
      </c>
      <c r="AC291" s="118">
        <v>0</v>
      </c>
      <c r="AD291" s="118">
        <v>0</v>
      </c>
      <c r="AE291" s="118">
        <v>0</v>
      </c>
      <c r="AF291" s="118">
        <v>0</v>
      </c>
      <c r="AG291" s="118">
        <v>0</v>
      </c>
      <c r="AH291" s="118">
        <v>0</v>
      </c>
      <c r="AI291" s="118">
        <v>0</v>
      </c>
      <c r="AJ291" s="118">
        <v>0</v>
      </c>
      <c r="AK291" s="118">
        <v>0</v>
      </c>
      <c r="AL291" s="118">
        <v>0</v>
      </c>
      <c r="AM291" s="118">
        <v>0</v>
      </c>
      <c r="AN291" s="118">
        <v>0</v>
      </c>
      <c r="AO291" s="118">
        <v>0</v>
      </c>
      <c r="AP291" s="118">
        <v>0</v>
      </c>
      <c r="AQ291" s="118">
        <v>0</v>
      </c>
      <c r="AR291" s="118">
        <v>0</v>
      </c>
      <c r="AS291" s="118">
        <v>0</v>
      </c>
      <c r="AT291" s="118">
        <v>0</v>
      </c>
      <c r="AU291" s="118">
        <f t="shared" si="21"/>
        <v>0</v>
      </c>
    </row>
    <row r="292" spans="1:50">
      <c r="A292" s="114">
        <v>19</v>
      </c>
      <c r="B292" s="116">
        <v>45961</v>
      </c>
      <c r="G292" s="115" t="s">
        <v>302</v>
      </c>
      <c r="H292" s="115">
        <v>8</v>
      </c>
      <c r="I292" s="117" t="str">
        <f t="shared" si="22"/>
        <v>AB_8</v>
      </c>
      <c r="J292" s="125" t="s">
        <v>778</v>
      </c>
      <c r="K292" s="127">
        <v>6</v>
      </c>
      <c r="L292" s="123" t="str">
        <f t="shared" si="23"/>
        <v>AB_8_6</v>
      </c>
      <c r="M292" s="125" t="s">
        <v>1092</v>
      </c>
      <c r="N292" s="115" t="s">
        <v>88</v>
      </c>
      <c r="O292" s="115" t="s">
        <v>303</v>
      </c>
      <c r="P292" s="115">
        <v>100</v>
      </c>
      <c r="Q292" s="115">
        <v>500</v>
      </c>
      <c r="S292" s="115" t="s">
        <v>288</v>
      </c>
      <c r="T292" s="115">
        <v>4</v>
      </c>
      <c r="U292" s="115">
        <v>11.55</v>
      </c>
      <c r="V292" s="115">
        <v>12.1</v>
      </c>
      <c r="W292" s="118">
        <v>4</v>
      </c>
      <c r="X292" s="118">
        <v>12.26</v>
      </c>
      <c r="Y292" s="118">
        <v>4</v>
      </c>
      <c r="Z292" s="118">
        <v>4</v>
      </c>
      <c r="AA292" s="118">
        <v>0</v>
      </c>
      <c r="AB292" s="118">
        <v>0</v>
      </c>
      <c r="AC292" s="118">
        <v>0</v>
      </c>
      <c r="AD292" s="118">
        <v>0</v>
      </c>
      <c r="AE292" s="118">
        <v>0</v>
      </c>
      <c r="AF292" s="118">
        <v>0</v>
      </c>
      <c r="AG292" s="118">
        <v>0</v>
      </c>
      <c r="AH292" s="118">
        <v>0</v>
      </c>
      <c r="AI292" s="118">
        <v>0</v>
      </c>
      <c r="AJ292" s="118">
        <v>0</v>
      </c>
      <c r="AK292" s="118">
        <v>0</v>
      </c>
      <c r="AL292" s="118">
        <v>0</v>
      </c>
      <c r="AM292" s="118">
        <v>0</v>
      </c>
      <c r="AN292" s="118">
        <v>0</v>
      </c>
      <c r="AO292" s="118">
        <v>0</v>
      </c>
      <c r="AP292" s="118">
        <v>0</v>
      </c>
      <c r="AQ292" s="118">
        <v>0</v>
      </c>
      <c r="AR292" s="118">
        <v>0</v>
      </c>
      <c r="AS292" s="118">
        <v>0</v>
      </c>
      <c r="AT292" s="118">
        <v>0</v>
      </c>
      <c r="AU292" s="118">
        <f t="shared" si="21"/>
        <v>0</v>
      </c>
    </row>
    <row r="293" spans="1:50">
      <c r="A293" s="114">
        <v>19</v>
      </c>
      <c r="B293" s="116">
        <v>45961</v>
      </c>
      <c r="G293" s="115" t="s">
        <v>302</v>
      </c>
      <c r="H293" s="115">
        <v>8</v>
      </c>
      <c r="I293" s="117" t="str">
        <f t="shared" si="22"/>
        <v>AB_8</v>
      </c>
      <c r="J293" s="125" t="s">
        <v>778</v>
      </c>
      <c r="K293" s="127">
        <v>7</v>
      </c>
      <c r="L293" s="123" t="str">
        <f t="shared" si="23"/>
        <v>AB_8_7</v>
      </c>
      <c r="M293" s="125" t="s">
        <v>1093</v>
      </c>
      <c r="N293" s="115" t="s">
        <v>88</v>
      </c>
      <c r="O293" s="115" t="s">
        <v>305</v>
      </c>
      <c r="P293" s="115">
        <v>100</v>
      </c>
      <c r="Q293" s="115">
        <v>500</v>
      </c>
      <c r="R293" s="115">
        <v>80</v>
      </c>
      <c r="S293" s="115" t="s">
        <v>269</v>
      </c>
      <c r="T293" s="115">
        <v>3</v>
      </c>
      <c r="U293" s="115">
        <v>10.32</v>
      </c>
      <c r="V293" s="115">
        <v>10.42</v>
      </c>
      <c r="W293" s="118">
        <v>3</v>
      </c>
      <c r="X293" s="118">
        <v>11</v>
      </c>
      <c r="Y293" s="118">
        <v>1</v>
      </c>
      <c r="Z293" s="118">
        <v>1</v>
      </c>
      <c r="AA293" s="118">
        <v>1</v>
      </c>
      <c r="AB293" s="118">
        <v>1</v>
      </c>
      <c r="AC293" s="118">
        <v>1</v>
      </c>
      <c r="AD293" s="118">
        <v>1</v>
      </c>
      <c r="AE293" s="118">
        <v>1</v>
      </c>
      <c r="AF293" s="118">
        <v>1</v>
      </c>
      <c r="AG293" s="118">
        <v>1</v>
      </c>
      <c r="AH293" s="118">
        <v>1</v>
      </c>
      <c r="AI293" s="118">
        <v>1</v>
      </c>
      <c r="AJ293" s="118">
        <v>1</v>
      </c>
      <c r="AK293" s="118">
        <v>1</v>
      </c>
      <c r="AL293" s="118">
        <v>1</v>
      </c>
      <c r="AM293" s="118">
        <v>1</v>
      </c>
      <c r="AN293" s="118">
        <v>1</v>
      </c>
      <c r="AO293" s="118">
        <v>1</v>
      </c>
      <c r="AP293" s="118">
        <v>0</v>
      </c>
      <c r="AQ293" s="118">
        <v>0</v>
      </c>
      <c r="AR293" s="118">
        <v>0</v>
      </c>
      <c r="AS293" s="118">
        <v>0</v>
      </c>
      <c r="AT293" s="118">
        <v>0</v>
      </c>
      <c r="AU293" s="118">
        <f t="shared" si="21"/>
        <v>0</v>
      </c>
      <c r="AX293" s="114" t="s">
        <v>67</v>
      </c>
    </row>
    <row r="294" spans="1:50">
      <c r="A294" s="114">
        <v>19</v>
      </c>
      <c r="B294" s="116">
        <v>45961</v>
      </c>
      <c r="G294" s="115" t="s">
        <v>302</v>
      </c>
      <c r="H294" s="115">
        <v>8</v>
      </c>
      <c r="I294" s="117" t="str">
        <f t="shared" si="22"/>
        <v>AB_8</v>
      </c>
      <c r="J294" s="125" t="s">
        <v>778</v>
      </c>
      <c r="K294" s="127">
        <v>8</v>
      </c>
      <c r="L294" s="123" t="str">
        <f t="shared" si="23"/>
        <v>AB_8_8</v>
      </c>
      <c r="M294" s="125" t="s">
        <v>1094</v>
      </c>
      <c r="N294" s="115" t="s">
        <v>88</v>
      </c>
      <c r="O294" s="115" t="s">
        <v>305</v>
      </c>
      <c r="P294" s="115">
        <v>100</v>
      </c>
      <c r="Q294" s="115">
        <v>500</v>
      </c>
      <c r="S294" s="115" t="s">
        <v>270</v>
      </c>
      <c r="T294" s="115">
        <v>2</v>
      </c>
      <c r="U294" s="115">
        <v>10.48</v>
      </c>
      <c r="V294" s="115">
        <v>10.57</v>
      </c>
      <c r="W294" s="118">
        <v>2</v>
      </c>
      <c r="X294" s="118">
        <v>11.12</v>
      </c>
      <c r="Y294" s="118">
        <v>0</v>
      </c>
      <c r="Z294" s="118">
        <v>0</v>
      </c>
      <c r="AA294" s="118">
        <v>0</v>
      </c>
      <c r="AB294" s="118">
        <v>0</v>
      </c>
      <c r="AC294" s="118">
        <v>0</v>
      </c>
      <c r="AD294" s="118">
        <v>0</v>
      </c>
      <c r="AE294" s="118">
        <v>0</v>
      </c>
      <c r="AF294" s="118">
        <v>0</v>
      </c>
      <c r="AG294" s="118">
        <v>0</v>
      </c>
      <c r="AH294" s="118">
        <v>0</v>
      </c>
      <c r="AI294" s="118">
        <v>0</v>
      </c>
      <c r="AJ294" s="118">
        <v>0</v>
      </c>
      <c r="AK294" s="118">
        <v>0</v>
      </c>
      <c r="AL294" s="118">
        <v>0</v>
      </c>
      <c r="AM294" s="118">
        <v>0</v>
      </c>
      <c r="AN294" s="118">
        <v>0</v>
      </c>
      <c r="AO294" s="118">
        <v>0</v>
      </c>
      <c r="AP294" s="118">
        <v>0</v>
      </c>
      <c r="AQ294" s="118">
        <v>0</v>
      </c>
      <c r="AR294" s="118">
        <v>0</v>
      </c>
      <c r="AS294" s="118">
        <v>0</v>
      </c>
      <c r="AT294" s="118">
        <v>0</v>
      </c>
      <c r="AU294" s="118">
        <f t="shared" si="21"/>
        <v>0</v>
      </c>
    </row>
    <row r="295" spans="1:50">
      <c r="A295" s="114">
        <v>19</v>
      </c>
      <c r="B295" s="116">
        <v>45961</v>
      </c>
      <c r="G295" s="115" t="s">
        <v>302</v>
      </c>
      <c r="H295" s="115">
        <v>8</v>
      </c>
      <c r="I295" s="117" t="str">
        <f t="shared" si="22"/>
        <v>AB_8</v>
      </c>
      <c r="J295" s="125" t="s">
        <v>778</v>
      </c>
      <c r="K295" s="127">
        <v>9</v>
      </c>
      <c r="L295" s="123" t="str">
        <f t="shared" si="23"/>
        <v>AB_8_9</v>
      </c>
      <c r="M295" s="125" t="s">
        <v>1095</v>
      </c>
      <c r="N295" s="115" t="s">
        <v>88</v>
      </c>
      <c r="O295" s="115" t="s">
        <v>305</v>
      </c>
      <c r="P295" s="115">
        <v>100</v>
      </c>
      <c r="Q295" s="115">
        <v>500</v>
      </c>
      <c r="S295" s="115" t="s">
        <v>271</v>
      </c>
      <c r="T295" s="115">
        <v>4</v>
      </c>
      <c r="U295" s="115">
        <v>10.59</v>
      </c>
      <c r="V295" s="115">
        <v>11.13</v>
      </c>
      <c r="W295" s="118">
        <v>4</v>
      </c>
      <c r="X295" s="118">
        <v>11.28</v>
      </c>
      <c r="Y295" s="118">
        <v>0</v>
      </c>
      <c r="Z295" s="118">
        <v>0</v>
      </c>
      <c r="AA295" s="118">
        <v>0</v>
      </c>
      <c r="AB295" s="118">
        <v>0</v>
      </c>
      <c r="AC295" s="118">
        <v>0</v>
      </c>
      <c r="AD295" s="118">
        <v>0</v>
      </c>
      <c r="AE295" s="118">
        <v>0</v>
      </c>
      <c r="AF295" s="118">
        <v>0</v>
      </c>
      <c r="AG295" s="118">
        <v>0</v>
      </c>
      <c r="AH295" s="118">
        <v>0</v>
      </c>
      <c r="AI295" s="118">
        <v>0</v>
      </c>
      <c r="AJ295" s="118">
        <v>0</v>
      </c>
      <c r="AK295" s="118">
        <v>0</v>
      </c>
      <c r="AL295" s="118">
        <v>0</v>
      </c>
      <c r="AM295" s="118">
        <v>0</v>
      </c>
      <c r="AN295" s="118">
        <v>0</v>
      </c>
      <c r="AO295" s="118">
        <v>0</v>
      </c>
      <c r="AP295" s="118">
        <v>0</v>
      </c>
      <c r="AQ295" s="118">
        <v>0</v>
      </c>
      <c r="AR295" s="118">
        <v>0</v>
      </c>
      <c r="AS295" s="118">
        <v>0</v>
      </c>
      <c r="AT295" s="118">
        <v>0</v>
      </c>
      <c r="AU295" s="118">
        <f t="shared" si="21"/>
        <v>0</v>
      </c>
    </row>
    <row r="296" spans="1:50">
      <c r="A296" s="114">
        <v>19</v>
      </c>
      <c r="B296" s="116">
        <v>45961</v>
      </c>
      <c r="G296" s="115" t="s">
        <v>302</v>
      </c>
      <c r="H296" s="115">
        <v>8</v>
      </c>
      <c r="I296" s="117" t="str">
        <f t="shared" si="22"/>
        <v>AB_8</v>
      </c>
      <c r="J296" s="125" t="s">
        <v>778</v>
      </c>
      <c r="K296" s="127">
        <v>10</v>
      </c>
      <c r="L296" s="123" t="str">
        <f t="shared" si="23"/>
        <v>AB_8_10</v>
      </c>
      <c r="M296" s="125" t="s">
        <v>1096</v>
      </c>
      <c r="N296" s="115" t="s">
        <v>88</v>
      </c>
      <c r="O296" s="115" t="s">
        <v>305</v>
      </c>
      <c r="P296" s="115">
        <v>100</v>
      </c>
      <c r="Q296" s="115">
        <v>500</v>
      </c>
      <c r="S296" s="115" t="s">
        <v>272</v>
      </c>
      <c r="T296" s="115">
        <v>4</v>
      </c>
      <c r="U296" s="115">
        <v>11.14</v>
      </c>
      <c r="V296" s="115">
        <v>11.26</v>
      </c>
      <c r="W296" s="118">
        <v>4</v>
      </c>
      <c r="X296" s="118">
        <v>11.41</v>
      </c>
      <c r="Y296" s="118">
        <v>1</v>
      </c>
      <c r="Z296" s="118">
        <v>1</v>
      </c>
      <c r="AA296" s="118">
        <v>1</v>
      </c>
      <c r="AB296" s="118">
        <v>1</v>
      </c>
      <c r="AC296" s="118">
        <v>1</v>
      </c>
      <c r="AD296" s="118">
        <v>1</v>
      </c>
      <c r="AE296" s="118">
        <v>1</v>
      </c>
      <c r="AF296" s="118">
        <v>1</v>
      </c>
      <c r="AG296" s="118">
        <v>1</v>
      </c>
      <c r="AH296" s="118">
        <v>1</v>
      </c>
      <c r="AI296" s="118">
        <v>1</v>
      </c>
      <c r="AJ296" s="118">
        <v>1</v>
      </c>
      <c r="AK296" s="118">
        <v>1</v>
      </c>
      <c r="AL296" s="118">
        <v>0</v>
      </c>
      <c r="AM296" s="118">
        <v>0</v>
      </c>
      <c r="AN296" s="118">
        <v>0</v>
      </c>
      <c r="AO296" s="118">
        <v>0</v>
      </c>
      <c r="AP296" s="118">
        <v>0</v>
      </c>
      <c r="AQ296" s="118">
        <v>0</v>
      </c>
      <c r="AR296" s="118">
        <v>0</v>
      </c>
      <c r="AS296" s="118">
        <v>0</v>
      </c>
      <c r="AT296" s="118">
        <v>0</v>
      </c>
      <c r="AU296" s="118">
        <f t="shared" si="21"/>
        <v>0</v>
      </c>
    </row>
    <row r="297" spans="1:50">
      <c r="A297" s="114">
        <v>19</v>
      </c>
      <c r="B297" s="116">
        <v>45961</v>
      </c>
      <c r="G297" s="115" t="s">
        <v>302</v>
      </c>
      <c r="H297" s="115">
        <v>8</v>
      </c>
      <c r="I297" s="117" t="str">
        <f t="shared" si="22"/>
        <v>AB_8</v>
      </c>
      <c r="J297" s="125" t="s">
        <v>778</v>
      </c>
      <c r="K297" s="127">
        <v>11</v>
      </c>
      <c r="L297" s="123" t="str">
        <f t="shared" si="23"/>
        <v>AB_8_11</v>
      </c>
      <c r="M297" s="125" t="s">
        <v>1097</v>
      </c>
      <c r="N297" s="115" t="s">
        <v>88</v>
      </c>
      <c r="O297" s="115" t="s">
        <v>305</v>
      </c>
      <c r="P297" s="115">
        <v>100</v>
      </c>
      <c r="Q297" s="115">
        <v>500</v>
      </c>
      <c r="S297" s="115" t="s">
        <v>273</v>
      </c>
      <c r="T297" s="115">
        <v>4</v>
      </c>
      <c r="U297" s="115">
        <v>11.34</v>
      </c>
      <c r="V297" s="115">
        <v>11.44</v>
      </c>
      <c r="W297" s="118">
        <v>4</v>
      </c>
      <c r="X297" s="118">
        <v>12.05</v>
      </c>
      <c r="Y297" s="118">
        <v>3</v>
      </c>
      <c r="Z297" s="118">
        <v>3</v>
      </c>
      <c r="AA297" s="118">
        <v>3</v>
      </c>
      <c r="AB297" s="118">
        <v>1</v>
      </c>
      <c r="AC297" s="118">
        <v>1</v>
      </c>
      <c r="AD297" s="118">
        <v>1</v>
      </c>
      <c r="AE297" s="118">
        <v>1</v>
      </c>
      <c r="AF297" s="118">
        <v>1</v>
      </c>
      <c r="AG297" s="118">
        <v>1</v>
      </c>
      <c r="AH297" s="118">
        <v>1</v>
      </c>
      <c r="AI297" s="118">
        <v>1</v>
      </c>
      <c r="AJ297" s="118">
        <v>1</v>
      </c>
      <c r="AK297" s="118">
        <v>1</v>
      </c>
      <c r="AL297" s="118">
        <v>0</v>
      </c>
      <c r="AM297" s="118">
        <v>0</v>
      </c>
      <c r="AN297" s="118">
        <v>0</v>
      </c>
      <c r="AO297" s="118">
        <v>0</v>
      </c>
      <c r="AP297" s="118">
        <v>0</v>
      </c>
      <c r="AQ297" s="118">
        <v>0</v>
      </c>
      <c r="AR297" s="118">
        <v>0</v>
      </c>
      <c r="AS297" s="118">
        <v>0</v>
      </c>
      <c r="AT297" s="118">
        <v>0</v>
      </c>
      <c r="AU297" s="118">
        <f t="shared" si="21"/>
        <v>0</v>
      </c>
    </row>
    <row r="298" spans="1:50">
      <c r="A298" s="114">
        <v>19</v>
      </c>
      <c r="B298" s="116">
        <v>45961</v>
      </c>
      <c r="G298" s="115" t="s">
        <v>302</v>
      </c>
      <c r="H298" s="115">
        <v>8</v>
      </c>
      <c r="I298" s="117" t="str">
        <f t="shared" si="22"/>
        <v>AB_8</v>
      </c>
      <c r="J298" s="125" t="s">
        <v>778</v>
      </c>
      <c r="K298" s="127">
        <v>12</v>
      </c>
      <c r="L298" s="123" t="str">
        <f t="shared" si="23"/>
        <v>AB_8_12</v>
      </c>
      <c r="M298" s="125" t="s">
        <v>1098</v>
      </c>
      <c r="N298" s="115" t="s">
        <v>88</v>
      </c>
      <c r="O298" s="115" t="s">
        <v>305</v>
      </c>
      <c r="P298" s="115">
        <v>100</v>
      </c>
      <c r="Q298" s="115">
        <v>500</v>
      </c>
      <c r="S298" s="115" t="s">
        <v>274</v>
      </c>
      <c r="T298" s="115">
        <v>4</v>
      </c>
      <c r="U298" s="115">
        <v>11.47</v>
      </c>
      <c r="V298" s="115">
        <v>11.59</v>
      </c>
      <c r="W298" s="118">
        <v>4</v>
      </c>
      <c r="X298" s="118">
        <v>12.14</v>
      </c>
      <c r="Y298" s="118">
        <v>4</v>
      </c>
      <c r="Z298" s="118">
        <v>4</v>
      </c>
      <c r="AA298" s="118">
        <v>4</v>
      </c>
      <c r="AB298" s="118">
        <v>1</v>
      </c>
      <c r="AC298" s="118">
        <v>1</v>
      </c>
      <c r="AD298" s="118">
        <v>1</v>
      </c>
      <c r="AE298" s="118">
        <v>1</v>
      </c>
      <c r="AF298" s="118">
        <v>1</v>
      </c>
      <c r="AG298" s="118">
        <v>1</v>
      </c>
      <c r="AH298" s="118">
        <v>1</v>
      </c>
      <c r="AI298" s="118">
        <v>1</v>
      </c>
      <c r="AJ298" s="118">
        <v>1</v>
      </c>
      <c r="AK298" s="118">
        <v>1</v>
      </c>
      <c r="AL298" s="118">
        <v>0</v>
      </c>
      <c r="AM298" s="118">
        <v>0</v>
      </c>
      <c r="AN298" s="118">
        <v>0</v>
      </c>
      <c r="AO298" s="118">
        <v>0</v>
      </c>
      <c r="AP298" s="118">
        <v>0</v>
      </c>
      <c r="AQ298" s="118">
        <v>0</v>
      </c>
      <c r="AR298" s="118">
        <v>0</v>
      </c>
      <c r="AS298" s="118">
        <v>0</v>
      </c>
      <c r="AT298" s="118">
        <v>0</v>
      </c>
      <c r="AU298" s="118">
        <f t="shared" si="21"/>
        <v>0</v>
      </c>
    </row>
    <row r="299" spans="1:50">
      <c r="A299" s="114">
        <v>19</v>
      </c>
      <c r="B299" s="116">
        <v>45961</v>
      </c>
      <c r="G299" s="115" t="s">
        <v>302</v>
      </c>
      <c r="H299" s="115">
        <v>8</v>
      </c>
      <c r="I299" s="117" t="str">
        <f t="shared" si="22"/>
        <v>AB_8</v>
      </c>
      <c r="J299" s="125" t="s">
        <v>778</v>
      </c>
      <c r="K299" s="127">
        <v>13</v>
      </c>
      <c r="L299" s="123" t="str">
        <f t="shared" si="23"/>
        <v>AB_8_13</v>
      </c>
      <c r="M299" s="125" t="s">
        <v>1099</v>
      </c>
      <c r="N299" s="115" t="s">
        <v>88</v>
      </c>
      <c r="O299" s="115" t="s">
        <v>305</v>
      </c>
      <c r="P299" s="115">
        <v>100</v>
      </c>
      <c r="Q299" s="115">
        <v>500</v>
      </c>
      <c r="S299" s="115" t="s">
        <v>275</v>
      </c>
      <c r="T299" s="115">
        <v>3</v>
      </c>
      <c r="U299" s="115">
        <v>12.02</v>
      </c>
      <c r="V299" s="115">
        <v>12.14</v>
      </c>
      <c r="W299" s="118">
        <v>3</v>
      </c>
      <c r="X299" s="118">
        <v>12.3</v>
      </c>
      <c r="Y299" s="118">
        <v>1</v>
      </c>
      <c r="Z299" s="118">
        <v>1</v>
      </c>
      <c r="AA299" s="118">
        <v>1</v>
      </c>
      <c r="AB299" s="118">
        <v>1</v>
      </c>
      <c r="AC299" s="118">
        <v>1</v>
      </c>
      <c r="AD299" s="118">
        <v>1</v>
      </c>
      <c r="AE299" s="118">
        <v>0</v>
      </c>
      <c r="AF299" s="118">
        <v>0</v>
      </c>
      <c r="AG299" s="118">
        <v>0</v>
      </c>
      <c r="AH299" s="118">
        <v>0</v>
      </c>
      <c r="AI299" s="118">
        <v>0</v>
      </c>
      <c r="AJ299" s="118">
        <v>0</v>
      </c>
      <c r="AK299" s="118">
        <v>0</v>
      </c>
      <c r="AL299" s="118">
        <v>0</v>
      </c>
      <c r="AM299" s="118">
        <v>0</v>
      </c>
      <c r="AN299" s="118">
        <v>0</v>
      </c>
      <c r="AO299" s="118">
        <v>0</v>
      </c>
      <c r="AP299" s="118">
        <v>0</v>
      </c>
      <c r="AQ299" s="118">
        <v>0</v>
      </c>
      <c r="AR299" s="118">
        <v>0</v>
      </c>
      <c r="AS299" s="118">
        <v>0</v>
      </c>
      <c r="AT299" s="118">
        <v>0</v>
      </c>
      <c r="AU299" s="118">
        <f t="shared" si="21"/>
        <v>0</v>
      </c>
    </row>
    <row r="300" spans="1:50">
      <c r="A300" s="114">
        <v>20</v>
      </c>
      <c r="B300" s="116">
        <v>45964</v>
      </c>
      <c r="C300" s="115" t="s">
        <v>251</v>
      </c>
      <c r="D300" s="115" t="s">
        <v>306</v>
      </c>
      <c r="F300" s="115" t="s">
        <v>231</v>
      </c>
      <c r="G300" s="115" t="s">
        <v>307</v>
      </c>
      <c r="H300" s="115">
        <v>6</v>
      </c>
      <c r="I300" s="117" t="str">
        <f t="shared" ref="I300:I335" si="24">_xlfn.CONCAT(N300 &amp; "_" &amp; H300)</f>
        <v>TU_6</v>
      </c>
      <c r="J300" s="117" t="s">
        <v>796</v>
      </c>
      <c r="K300" s="118">
        <v>1</v>
      </c>
      <c r="L300" s="123" t="str">
        <f t="shared" si="23"/>
        <v>TU_6_1</v>
      </c>
      <c r="M300" s="117" t="s">
        <v>1100</v>
      </c>
      <c r="N300" s="115" t="s">
        <v>50</v>
      </c>
      <c r="O300" s="115" t="s">
        <v>308</v>
      </c>
      <c r="P300" s="115">
        <v>100</v>
      </c>
      <c r="Q300" s="115">
        <v>500</v>
      </c>
      <c r="R300" s="115">
        <v>70</v>
      </c>
      <c r="S300" s="115" t="s">
        <v>282</v>
      </c>
      <c r="T300" s="115">
        <v>1</v>
      </c>
      <c r="U300" s="115">
        <v>10.130000000000001</v>
      </c>
      <c r="V300" s="115">
        <v>10.26</v>
      </c>
      <c r="W300" s="118">
        <v>1</v>
      </c>
      <c r="X300" s="118">
        <v>10.4</v>
      </c>
      <c r="Y300" s="118">
        <v>0</v>
      </c>
      <c r="Z300" s="118">
        <v>0</v>
      </c>
      <c r="AA300" s="118">
        <v>0</v>
      </c>
      <c r="AB300" s="118">
        <v>0</v>
      </c>
      <c r="AC300" s="118">
        <v>0</v>
      </c>
      <c r="AD300" s="118">
        <v>0</v>
      </c>
      <c r="AE300" s="118">
        <v>0</v>
      </c>
      <c r="AF300" s="118">
        <v>0</v>
      </c>
      <c r="AG300" s="118">
        <v>0</v>
      </c>
      <c r="AH300" s="118">
        <v>0</v>
      </c>
      <c r="AI300" s="118">
        <v>0</v>
      </c>
      <c r="AJ300" s="118">
        <v>0</v>
      </c>
      <c r="AK300" s="118">
        <v>0</v>
      </c>
      <c r="AL300" s="118">
        <v>0</v>
      </c>
      <c r="AM300" s="118">
        <v>0</v>
      </c>
      <c r="AN300" s="118">
        <v>0</v>
      </c>
      <c r="AO300" s="118">
        <v>0</v>
      </c>
      <c r="AP300" s="118">
        <v>0</v>
      </c>
      <c r="AQ300" s="118">
        <v>0</v>
      </c>
      <c r="AR300" s="118">
        <v>0</v>
      </c>
      <c r="AS300" s="118">
        <v>0</v>
      </c>
      <c r="AT300" s="118">
        <v>0</v>
      </c>
      <c r="AU300" s="118">
        <f t="shared" si="21"/>
        <v>0</v>
      </c>
      <c r="AX300" s="114" t="s">
        <v>53</v>
      </c>
    </row>
    <row r="301" spans="1:50">
      <c r="A301" s="114">
        <v>20</v>
      </c>
      <c r="B301" s="116">
        <v>45964</v>
      </c>
      <c r="D301" s="115" t="s">
        <v>309</v>
      </c>
      <c r="G301" s="115" t="s">
        <v>307</v>
      </c>
      <c r="H301" s="115">
        <v>6</v>
      </c>
      <c r="I301" s="117" t="str">
        <f t="shared" si="24"/>
        <v>TU_6</v>
      </c>
      <c r="J301" s="117" t="s">
        <v>796</v>
      </c>
      <c r="K301" s="118">
        <v>2</v>
      </c>
      <c r="L301" s="123" t="str">
        <f t="shared" si="23"/>
        <v>TU_6_2</v>
      </c>
      <c r="M301" s="117" t="s">
        <v>1101</v>
      </c>
      <c r="N301" s="115" t="s">
        <v>50</v>
      </c>
      <c r="O301" s="115" t="s">
        <v>308</v>
      </c>
      <c r="P301" s="115">
        <v>100</v>
      </c>
      <c r="Q301" s="115">
        <v>500</v>
      </c>
      <c r="S301" s="115" t="s">
        <v>284</v>
      </c>
      <c r="T301" s="115">
        <v>4</v>
      </c>
      <c r="U301" s="115">
        <v>10.3</v>
      </c>
      <c r="V301" s="115">
        <v>10.46</v>
      </c>
      <c r="W301" s="118">
        <v>4</v>
      </c>
      <c r="X301" s="118">
        <v>11.03</v>
      </c>
      <c r="Y301" s="118">
        <v>1</v>
      </c>
      <c r="Z301" s="118">
        <v>1</v>
      </c>
      <c r="AA301" s="118">
        <v>0</v>
      </c>
      <c r="AB301" s="118">
        <v>0</v>
      </c>
      <c r="AC301" s="118">
        <v>0</v>
      </c>
      <c r="AD301" s="118">
        <v>0</v>
      </c>
      <c r="AE301" s="118">
        <v>0</v>
      </c>
      <c r="AF301" s="118">
        <v>0</v>
      </c>
      <c r="AG301" s="118">
        <v>0</v>
      </c>
      <c r="AH301" s="118">
        <v>0</v>
      </c>
      <c r="AI301" s="118">
        <v>0</v>
      </c>
      <c r="AJ301" s="118">
        <v>0</v>
      </c>
      <c r="AK301" s="118">
        <v>0</v>
      </c>
      <c r="AL301" s="118">
        <v>0</v>
      </c>
      <c r="AM301" s="118">
        <v>0</v>
      </c>
      <c r="AN301" s="118">
        <v>0</v>
      </c>
      <c r="AO301" s="118">
        <v>0</v>
      </c>
      <c r="AP301" s="118">
        <v>0</v>
      </c>
      <c r="AQ301" s="118">
        <v>0</v>
      </c>
      <c r="AR301" s="118">
        <v>0</v>
      </c>
      <c r="AS301" s="118">
        <v>0</v>
      </c>
      <c r="AT301" s="118">
        <v>0</v>
      </c>
      <c r="AU301" s="118">
        <f t="shared" si="21"/>
        <v>0</v>
      </c>
    </row>
    <row r="302" spans="1:50">
      <c r="A302" s="114">
        <v>20</v>
      </c>
      <c r="B302" s="116">
        <v>45964</v>
      </c>
      <c r="G302" s="115" t="s">
        <v>307</v>
      </c>
      <c r="H302" s="115">
        <v>6</v>
      </c>
      <c r="I302" s="117" t="str">
        <f t="shared" si="24"/>
        <v>TU_6</v>
      </c>
      <c r="J302" s="117" t="s">
        <v>796</v>
      </c>
      <c r="K302" s="118">
        <v>3</v>
      </c>
      <c r="L302" s="123" t="str">
        <f t="shared" si="23"/>
        <v>TU_6_3</v>
      </c>
      <c r="M302" s="117" t="s">
        <v>1102</v>
      </c>
      <c r="N302" s="115" t="s">
        <v>50</v>
      </c>
      <c r="O302" s="115" t="s">
        <v>308</v>
      </c>
      <c r="P302" s="115">
        <v>100</v>
      </c>
      <c r="Q302" s="115">
        <v>500</v>
      </c>
      <c r="S302" s="115" t="s">
        <v>285</v>
      </c>
      <c r="T302" s="115">
        <v>4</v>
      </c>
      <c r="U302" s="115">
        <v>10.55</v>
      </c>
      <c r="V302" s="115">
        <v>11.1</v>
      </c>
      <c r="W302" s="118">
        <v>4</v>
      </c>
      <c r="X302" s="118">
        <v>11.45</v>
      </c>
      <c r="Y302" s="118">
        <v>0</v>
      </c>
      <c r="Z302" s="118">
        <v>0</v>
      </c>
      <c r="AA302" s="118">
        <v>0</v>
      </c>
      <c r="AB302" s="118">
        <v>0</v>
      </c>
      <c r="AC302" s="118">
        <v>0</v>
      </c>
      <c r="AD302" s="118">
        <v>0</v>
      </c>
      <c r="AE302" s="118">
        <v>0</v>
      </c>
      <c r="AF302" s="118">
        <v>0</v>
      </c>
      <c r="AG302" s="118">
        <v>0</v>
      </c>
      <c r="AH302" s="118">
        <v>0</v>
      </c>
      <c r="AI302" s="118">
        <v>0</v>
      </c>
      <c r="AJ302" s="118">
        <v>0</v>
      </c>
      <c r="AK302" s="118">
        <v>0</v>
      </c>
      <c r="AL302" s="118">
        <v>0</v>
      </c>
      <c r="AM302" s="118">
        <v>0</v>
      </c>
      <c r="AN302" s="118">
        <v>0</v>
      </c>
      <c r="AO302" s="118">
        <v>0</v>
      </c>
      <c r="AP302" s="118">
        <v>0</v>
      </c>
      <c r="AQ302" s="118">
        <v>0</v>
      </c>
      <c r="AR302" s="118">
        <v>0</v>
      </c>
      <c r="AS302" s="118">
        <v>0</v>
      </c>
      <c r="AT302" s="118">
        <v>0</v>
      </c>
      <c r="AU302" s="118">
        <f t="shared" si="21"/>
        <v>0</v>
      </c>
    </row>
    <row r="303" spans="1:50">
      <c r="A303" s="114">
        <v>20</v>
      </c>
      <c r="B303" s="116">
        <v>45964</v>
      </c>
      <c r="G303" s="115" t="s">
        <v>307</v>
      </c>
      <c r="H303" s="115">
        <v>6</v>
      </c>
      <c r="I303" s="117" t="str">
        <f t="shared" si="24"/>
        <v>TU_6</v>
      </c>
      <c r="J303" s="117" t="s">
        <v>796</v>
      </c>
      <c r="K303" s="118">
        <v>4</v>
      </c>
      <c r="L303" s="123" t="str">
        <f t="shared" si="23"/>
        <v>TU_6_4</v>
      </c>
      <c r="M303" s="117" t="s">
        <v>1103</v>
      </c>
      <c r="N303" s="115" t="s">
        <v>50</v>
      </c>
      <c r="O303" s="115" t="s">
        <v>308</v>
      </c>
      <c r="P303" s="115">
        <v>100</v>
      </c>
      <c r="Q303" s="115">
        <v>500</v>
      </c>
      <c r="S303" s="115" t="s">
        <v>286</v>
      </c>
      <c r="T303" s="115">
        <v>4</v>
      </c>
      <c r="U303" s="115">
        <v>11.1</v>
      </c>
      <c r="V303" s="115">
        <v>11.25</v>
      </c>
      <c r="W303" s="118">
        <v>4</v>
      </c>
      <c r="X303" s="118">
        <v>11.39</v>
      </c>
      <c r="Y303" s="118">
        <v>2</v>
      </c>
      <c r="Z303" s="118">
        <v>2</v>
      </c>
      <c r="AA303" s="118">
        <v>2</v>
      </c>
      <c r="AB303" s="118">
        <v>2</v>
      </c>
      <c r="AC303" s="118">
        <v>2</v>
      </c>
      <c r="AD303" s="118">
        <v>2</v>
      </c>
      <c r="AE303" s="118">
        <v>2</v>
      </c>
      <c r="AF303" s="118">
        <v>2</v>
      </c>
      <c r="AG303" s="118">
        <v>2</v>
      </c>
      <c r="AH303" s="118">
        <v>2</v>
      </c>
      <c r="AI303" s="118">
        <v>2</v>
      </c>
      <c r="AJ303" s="118">
        <v>2</v>
      </c>
      <c r="AK303" s="118">
        <v>2</v>
      </c>
      <c r="AL303" s="118">
        <v>1</v>
      </c>
      <c r="AM303" s="118">
        <v>1</v>
      </c>
      <c r="AN303" s="118">
        <v>1</v>
      </c>
      <c r="AO303" s="118">
        <v>1</v>
      </c>
      <c r="AP303" s="118">
        <v>1</v>
      </c>
      <c r="AQ303" s="118">
        <v>1</v>
      </c>
      <c r="AR303" s="118">
        <v>1</v>
      </c>
      <c r="AS303" s="118">
        <v>1</v>
      </c>
      <c r="AT303" s="118">
        <v>1</v>
      </c>
      <c r="AU303" s="118">
        <f t="shared" si="21"/>
        <v>1</v>
      </c>
      <c r="AV303" s="115" t="s">
        <v>310</v>
      </c>
      <c r="AW303" s="115" t="s">
        <v>311</v>
      </c>
    </row>
    <row r="304" spans="1:50">
      <c r="A304" s="114">
        <v>20</v>
      </c>
      <c r="B304" s="116">
        <v>45964</v>
      </c>
      <c r="G304" s="115" t="s">
        <v>307</v>
      </c>
      <c r="H304" s="115">
        <v>6</v>
      </c>
      <c r="I304" s="117" t="str">
        <f t="shared" si="24"/>
        <v>TU_6</v>
      </c>
      <c r="J304" s="117" t="s">
        <v>796</v>
      </c>
      <c r="K304" s="118">
        <v>5</v>
      </c>
      <c r="L304" s="123" t="str">
        <f t="shared" si="23"/>
        <v>TU_6_5</v>
      </c>
      <c r="M304" s="117" t="s">
        <v>1104</v>
      </c>
      <c r="N304" s="115" t="s">
        <v>50</v>
      </c>
      <c r="O304" s="115" t="s">
        <v>308</v>
      </c>
      <c r="P304" s="115">
        <v>100</v>
      </c>
      <c r="Q304" s="115">
        <v>500</v>
      </c>
      <c r="S304" s="115" t="s">
        <v>287</v>
      </c>
      <c r="T304" s="115">
        <v>4</v>
      </c>
      <c r="U304" s="115">
        <v>11.29</v>
      </c>
      <c r="V304" s="115">
        <v>11.4</v>
      </c>
      <c r="W304" s="118">
        <v>4</v>
      </c>
      <c r="X304" s="118">
        <v>11.59</v>
      </c>
      <c r="Y304" s="118">
        <v>0</v>
      </c>
      <c r="Z304" s="118">
        <v>0</v>
      </c>
      <c r="AA304" s="118">
        <v>0</v>
      </c>
      <c r="AB304" s="118">
        <v>0</v>
      </c>
      <c r="AC304" s="118">
        <v>0</v>
      </c>
      <c r="AD304" s="118">
        <v>0</v>
      </c>
      <c r="AE304" s="118">
        <v>0</v>
      </c>
      <c r="AF304" s="118">
        <v>0</v>
      </c>
      <c r="AG304" s="118">
        <v>0</v>
      </c>
      <c r="AH304" s="118">
        <v>0</v>
      </c>
      <c r="AI304" s="118">
        <v>0</v>
      </c>
      <c r="AJ304" s="118">
        <v>0</v>
      </c>
      <c r="AK304" s="118">
        <v>0</v>
      </c>
      <c r="AL304" s="118">
        <v>0</v>
      </c>
      <c r="AM304" s="118">
        <v>0</v>
      </c>
      <c r="AN304" s="118">
        <v>0</v>
      </c>
      <c r="AO304" s="118">
        <v>0</v>
      </c>
      <c r="AP304" s="118">
        <v>0</v>
      </c>
      <c r="AQ304" s="118">
        <v>0</v>
      </c>
      <c r="AR304" s="118">
        <v>0</v>
      </c>
      <c r="AS304" s="118">
        <v>0</v>
      </c>
      <c r="AT304" s="118">
        <v>0</v>
      </c>
      <c r="AU304" s="118">
        <f t="shared" si="21"/>
        <v>0</v>
      </c>
    </row>
    <row r="305" spans="1:55">
      <c r="A305" s="114">
        <v>20</v>
      </c>
      <c r="B305" s="116">
        <v>45964</v>
      </c>
      <c r="G305" s="115" t="s">
        <v>307</v>
      </c>
      <c r="H305" s="115">
        <v>6</v>
      </c>
      <c r="I305" s="117" t="str">
        <f t="shared" si="24"/>
        <v>TU_6</v>
      </c>
      <c r="J305" s="117" t="s">
        <v>796</v>
      </c>
      <c r="K305" s="118">
        <v>6</v>
      </c>
      <c r="L305" s="123" t="str">
        <f t="shared" si="23"/>
        <v>TU_6_6</v>
      </c>
      <c r="M305" s="117" t="s">
        <v>1105</v>
      </c>
      <c r="N305" s="115" t="s">
        <v>50</v>
      </c>
      <c r="O305" s="115" t="s">
        <v>308</v>
      </c>
      <c r="P305" s="115">
        <v>100</v>
      </c>
      <c r="Q305" s="115">
        <v>500</v>
      </c>
      <c r="S305" s="115" t="s">
        <v>288</v>
      </c>
      <c r="T305" s="115">
        <v>4</v>
      </c>
      <c r="U305" s="115">
        <v>11.45</v>
      </c>
      <c r="V305" s="115">
        <v>11.59</v>
      </c>
      <c r="W305" s="118">
        <v>4</v>
      </c>
      <c r="X305" s="118">
        <v>12.15</v>
      </c>
      <c r="Y305" s="118">
        <v>1</v>
      </c>
      <c r="Z305" s="118">
        <v>1</v>
      </c>
      <c r="AA305" s="118">
        <v>1</v>
      </c>
      <c r="AB305" s="118">
        <v>1</v>
      </c>
      <c r="AC305" s="118">
        <v>1</v>
      </c>
      <c r="AD305" s="118">
        <v>1</v>
      </c>
      <c r="AE305" s="118">
        <v>1</v>
      </c>
      <c r="AF305" s="118">
        <v>1</v>
      </c>
      <c r="AG305" s="118">
        <v>1</v>
      </c>
      <c r="AH305" s="118">
        <v>1</v>
      </c>
      <c r="AI305" s="118">
        <v>1</v>
      </c>
      <c r="AJ305" s="118">
        <v>0</v>
      </c>
      <c r="AK305" s="118">
        <v>0</v>
      </c>
      <c r="AL305" s="118">
        <v>0</v>
      </c>
      <c r="AM305" s="118">
        <v>0</v>
      </c>
      <c r="AN305" s="118">
        <v>0</v>
      </c>
      <c r="AO305" s="118">
        <v>0</v>
      </c>
      <c r="AP305" s="118">
        <v>0</v>
      </c>
      <c r="AQ305" s="118">
        <v>0</v>
      </c>
      <c r="AR305" s="118">
        <v>0</v>
      </c>
      <c r="AS305" s="118">
        <v>0</v>
      </c>
      <c r="AT305" s="118">
        <v>0</v>
      </c>
      <c r="AU305" s="118">
        <f t="shared" si="21"/>
        <v>0</v>
      </c>
    </row>
    <row r="306" spans="1:55">
      <c r="A306" s="114">
        <v>20</v>
      </c>
      <c r="B306" s="116">
        <v>45964</v>
      </c>
      <c r="G306" s="115" t="s">
        <v>307</v>
      </c>
      <c r="H306" s="115">
        <v>6</v>
      </c>
      <c r="I306" s="117" t="str">
        <f t="shared" si="24"/>
        <v>TU_6</v>
      </c>
      <c r="J306" s="117" t="s">
        <v>796</v>
      </c>
      <c r="K306" s="118">
        <v>7</v>
      </c>
      <c r="L306" s="123" t="str">
        <f t="shared" si="23"/>
        <v>TU_6_7</v>
      </c>
      <c r="M306" s="117" t="s">
        <v>1106</v>
      </c>
      <c r="N306" s="115" t="s">
        <v>50</v>
      </c>
      <c r="O306" s="115" t="s">
        <v>308</v>
      </c>
      <c r="P306" s="115">
        <v>100</v>
      </c>
      <c r="Q306" s="115">
        <v>500</v>
      </c>
      <c r="S306" s="115" t="s">
        <v>289</v>
      </c>
      <c r="T306" s="115">
        <v>4</v>
      </c>
      <c r="U306" s="115">
        <v>12.05</v>
      </c>
      <c r="V306" s="115">
        <v>12.18</v>
      </c>
      <c r="W306" s="118">
        <v>4</v>
      </c>
      <c r="X306" s="118">
        <v>12.34</v>
      </c>
      <c r="Y306" s="118">
        <v>2</v>
      </c>
      <c r="Z306" s="118">
        <v>2</v>
      </c>
      <c r="AA306" s="118">
        <v>2</v>
      </c>
      <c r="AB306" s="118">
        <v>1</v>
      </c>
      <c r="AC306" s="118">
        <v>1</v>
      </c>
      <c r="AD306" s="118">
        <v>1</v>
      </c>
      <c r="AE306" s="118">
        <v>1</v>
      </c>
      <c r="AF306" s="118">
        <v>1</v>
      </c>
      <c r="AG306" s="118">
        <v>1</v>
      </c>
      <c r="AH306" s="118">
        <v>1</v>
      </c>
      <c r="AI306" s="118">
        <v>0</v>
      </c>
      <c r="AJ306" s="118">
        <v>0</v>
      </c>
      <c r="AK306" s="118">
        <v>0</v>
      </c>
      <c r="AL306" s="118">
        <v>0</v>
      </c>
      <c r="AM306" s="118">
        <v>0</v>
      </c>
      <c r="AN306" s="118">
        <v>0</v>
      </c>
      <c r="AO306" s="118">
        <v>0</v>
      </c>
      <c r="AP306" s="118">
        <v>0</v>
      </c>
      <c r="AQ306" s="118">
        <v>0</v>
      </c>
      <c r="AR306" s="118">
        <v>0</v>
      </c>
      <c r="AS306" s="118">
        <v>0</v>
      </c>
      <c r="AT306" s="118">
        <v>0</v>
      </c>
      <c r="AU306" s="118">
        <f t="shared" si="21"/>
        <v>0</v>
      </c>
    </row>
    <row r="307" spans="1:55">
      <c r="A307" s="114">
        <v>20</v>
      </c>
      <c r="B307" s="116">
        <v>45964</v>
      </c>
      <c r="G307" s="115" t="s">
        <v>307</v>
      </c>
      <c r="H307" s="115">
        <v>6</v>
      </c>
      <c r="I307" s="117" t="str">
        <f t="shared" si="24"/>
        <v>TU_6</v>
      </c>
      <c r="J307" s="117" t="s">
        <v>796</v>
      </c>
      <c r="K307" s="118">
        <v>8</v>
      </c>
      <c r="L307" s="123" t="str">
        <f t="shared" si="23"/>
        <v>TU_6_8</v>
      </c>
      <c r="M307" s="117" t="s">
        <v>1107</v>
      </c>
      <c r="N307" s="115" t="s">
        <v>50</v>
      </c>
      <c r="O307" s="115" t="s">
        <v>308</v>
      </c>
      <c r="P307" s="115">
        <v>100</v>
      </c>
      <c r="Q307" s="115">
        <v>500</v>
      </c>
      <c r="S307" s="115" t="s">
        <v>290</v>
      </c>
      <c r="T307" s="115">
        <v>4</v>
      </c>
      <c r="U307" s="115">
        <v>12.18</v>
      </c>
      <c r="V307" s="115">
        <v>12.29</v>
      </c>
      <c r="W307" s="118">
        <v>4</v>
      </c>
      <c r="X307" s="118">
        <v>12.43</v>
      </c>
      <c r="Y307" s="118">
        <v>0</v>
      </c>
      <c r="Z307" s="118">
        <v>0</v>
      </c>
      <c r="AA307" s="118">
        <v>0</v>
      </c>
      <c r="AB307" s="118">
        <v>0</v>
      </c>
      <c r="AC307" s="118">
        <v>0</v>
      </c>
      <c r="AD307" s="118">
        <v>0</v>
      </c>
      <c r="AE307" s="118">
        <v>0</v>
      </c>
      <c r="AF307" s="118">
        <v>0</v>
      </c>
      <c r="AG307" s="118">
        <v>0</v>
      </c>
      <c r="AH307" s="118">
        <v>0</v>
      </c>
      <c r="AI307" s="118">
        <v>0</v>
      </c>
      <c r="AJ307" s="118">
        <v>0</v>
      </c>
      <c r="AK307" s="118">
        <v>0</v>
      </c>
      <c r="AL307" s="118">
        <v>0</v>
      </c>
      <c r="AM307" s="118">
        <v>0</v>
      </c>
      <c r="AN307" s="118">
        <v>0</v>
      </c>
      <c r="AO307" s="118">
        <v>0</v>
      </c>
      <c r="AP307" s="118">
        <v>0</v>
      </c>
      <c r="AQ307" s="118">
        <v>0</v>
      </c>
      <c r="AR307" s="118">
        <v>0</v>
      </c>
      <c r="AS307" s="118">
        <v>0</v>
      </c>
      <c r="AT307" s="118">
        <v>0</v>
      </c>
      <c r="AU307" s="118">
        <f t="shared" si="21"/>
        <v>0</v>
      </c>
    </row>
    <row r="308" spans="1:55">
      <c r="A308" s="114">
        <v>20</v>
      </c>
      <c r="B308" s="116">
        <v>45964</v>
      </c>
      <c r="G308" s="115" t="s">
        <v>307</v>
      </c>
      <c r="H308" s="115">
        <v>6</v>
      </c>
      <c r="I308" s="117" t="str">
        <f t="shared" si="24"/>
        <v>TU_6</v>
      </c>
      <c r="J308" s="117" t="s">
        <v>796</v>
      </c>
      <c r="K308" s="118">
        <v>9</v>
      </c>
      <c r="L308" s="123" t="str">
        <f t="shared" si="23"/>
        <v>TU_6_9</v>
      </c>
      <c r="M308" s="117" t="s">
        <v>1108</v>
      </c>
      <c r="N308" s="115" t="s">
        <v>50</v>
      </c>
      <c r="O308" s="115" t="s">
        <v>308</v>
      </c>
      <c r="P308" s="115">
        <v>100</v>
      </c>
      <c r="Q308" s="115">
        <v>500</v>
      </c>
      <c r="S308" s="115" t="s">
        <v>291</v>
      </c>
      <c r="T308" s="115">
        <v>4</v>
      </c>
      <c r="U308" s="115">
        <v>12.37</v>
      </c>
      <c r="V308" s="115">
        <v>12.48</v>
      </c>
      <c r="W308" s="118">
        <v>4</v>
      </c>
      <c r="X308" s="118">
        <v>13.02</v>
      </c>
      <c r="Y308" s="118">
        <v>3</v>
      </c>
      <c r="Z308" s="118">
        <v>3</v>
      </c>
      <c r="AA308" s="118">
        <v>2</v>
      </c>
      <c r="AB308" s="118">
        <v>2</v>
      </c>
      <c r="AC308" s="118">
        <v>2</v>
      </c>
      <c r="AD308" s="118">
        <v>2</v>
      </c>
      <c r="AE308" s="118">
        <v>2</v>
      </c>
      <c r="AF308" s="118">
        <v>2</v>
      </c>
      <c r="AG308" s="118">
        <v>2</v>
      </c>
      <c r="AH308" s="118">
        <v>2</v>
      </c>
      <c r="AI308" s="118">
        <v>2</v>
      </c>
      <c r="AJ308" s="118">
        <v>0</v>
      </c>
      <c r="AK308" s="118">
        <v>0</v>
      </c>
      <c r="AL308" s="118">
        <v>0</v>
      </c>
      <c r="AM308" s="118">
        <v>0</v>
      </c>
      <c r="AN308" s="118">
        <v>0</v>
      </c>
      <c r="AO308" s="118">
        <v>0</v>
      </c>
      <c r="AP308" s="118">
        <v>0</v>
      </c>
      <c r="AQ308" s="118">
        <v>0</v>
      </c>
      <c r="AR308" s="118">
        <v>0</v>
      </c>
      <c r="AS308" s="118">
        <v>0</v>
      </c>
      <c r="AT308" s="118">
        <v>0</v>
      </c>
      <c r="AU308" s="118">
        <f t="shared" si="21"/>
        <v>0</v>
      </c>
    </row>
    <row r="309" spans="1:55" s="133" customFormat="1">
      <c r="A309" s="131">
        <v>20</v>
      </c>
      <c r="B309" s="132">
        <v>45964</v>
      </c>
      <c r="G309" s="133" t="s">
        <v>307</v>
      </c>
      <c r="H309" s="133">
        <v>6</v>
      </c>
      <c r="I309" s="134" t="str">
        <f t="shared" si="24"/>
        <v>TU_6</v>
      </c>
      <c r="J309" s="134" t="s">
        <v>796</v>
      </c>
      <c r="K309" s="135">
        <v>10</v>
      </c>
      <c r="L309" s="136" t="str">
        <f t="shared" si="23"/>
        <v>TU_6_10</v>
      </c>
      <c r="M309" s="134" t="s">
        <v>1109</v>
      </c>
      <c r="N309" s="133" t="s">
        <v>50</v>
      </c>
      <c r="O309" s="133" t="s">
        <v>308</v>
      </c>
      <c r="P309" s="133">
        <v>100</v>
      </c>
      <c r="Q309" s="133">
        <v>500</v>
      </c>
      <c r="R309" s="133">
        <v>80</v>
      </c>
      <c r="S309" s="133" t="s">
        <v>269</v>
      </c>
      <c r="T309" s="133">
        <v>3</v>
      </c>
      <c r="U309" s="133">
        <v>10.17</v>
      </c>
      <c r="V309" s="133">
        <v>10.26</v>
      </c>
      <c r="W309" s="135">
        <v>3</v>
      </c>
      <c r="X309" s="135">
        <v>10.42</v>
      </c>
      <c r="Y309" s="135">
        <v>3</v>
      </c>
      <c r="Z309" s="135">
        <v>3</v>
      </c>
      <c r="AA309" s="135">
        <v>3</v>
      </c>
      <c r="AB309" s="135">
        <v>3</v>
      </c>
      <c r="AC309" s="135">
        <v>3</v>
      </c>
      <c r="AD309" s="135">
        <v>3</v>
      </c>
      <c r="AE309" s="135">
        <v>3</v>
      </c>
      <c r="AF309" s="135">
        <v>3</v>
      </c>
      <c r="AG309" s="135">
        <v>3</v>
      </c>
      <c r="AH309" s="135">
        <v>2</v>
      </c>
      <c r="AI309" s="135">
        <v>2</v>
      </c>
      <c r="AJ309" s="135">
        <v>2</v>
      </c>
      <c r="AK309" s="135">
        <v>2</v>
      </c>
      <c r="AL309" s="135">
        <v>2</v>
      </c>
      <c r="AM309" s="135">
        <v>2</v>
      </c>
      <c r="AN309" s="135">
        <v>2</v>
      </c>
      <c r="AO309" s="135">
        <v>1</v>
      </c>
      <c r="AP309" s="135">
        <v>1</v>
      </c>
      <c r="AQ309" s="135">
        <v>1</v>
      </c>
      <c r="AR309" s="135">
        <v>1</v>
      </c>
      <c r="AS309" s="135">
        <v>1</v>
      </c>
      <c r="AT309" s="135">
        <v>1</v>
      </c>
      <c r="AU309" s="135">
        <f t="shared" si="21"/>
        <v>1</v>
      </c>
      <c r="AV309" s="133" t="s">
        <v>244</v>
      </c>
      <c r="AW309" s="133" t="s">
        <v>312</v>
      </c>
      <c r="AX309" s="131" t="s">
        <v>67</v>
      </c>
      <c r="BC309" s="137"/>
    </row>
    <row r="310" spans="1:55">
      <c r="A310" s="114">
        <v>20</v>
      </c>
      <c r="B310" s="116">
        <v>45964</v>
      </c>
      <c r="G310" s="115" t="s">
        <v>307</v>
      </c>
      <c r="H310" s="115">
        <v>6</v>
      </c>
      <c r="I310" s="117" t="str">
        <f t="shared" si="24"/>
        <v>TU_6</v>
      </c>
      <c r="J310" s="117" t="s">
        <v>796</v>
      </c>
      <c r="K310" s="118">
        <v>11</v>
      </c>
      <c r="L310" s="123" t="str">
        <f t="shared" si="23"/>
        <v>TU_6_11</v>
      </c>
      <c r="M310" s="117" t="s">
        <v>1110</v>
      </c>
      <c r="N310" s="115" t="s">
        <v>50</v>
      </c>
      <c r="O310" s="115" t="s">
        <v>308</v>
      </c>
      <c r="P310" s="115">
        <v>100</v>
      </c>
      <c r="Q310" s="115">
        <v>500</v>
      </c>
      <c r="S310" s="115" t="s">
        <v>270</v>
      </c>
      <c r="T310" s="115">
        <v>3</v>
      </c>
      <c r="U310" s="115">
        <v>10.29</v>
      </c>
      <c r="V310" s="115">
        <v>10.4</v>
      </c>
      <c r="W310" s="118">
        <v>3</v>
      </c>
      <c r="X310" s="118">
        <v>10.54</v>
      </c>
      <c r="Y310" s="118">
        <v>0</v>
      </c>
      <c r="Z310" s="118">
        <v>0</v>
      </c>
      <c r="AA310" s="118">
        <v>0</v>
      </c>
      <c r="AB310" s="118">
        <v>0</v>
      </c>
      <c r="AC310" s="118">
        <v>0</v>
      </c>
      <c r="AD310" s="118">
        <v>0</v>
      </c>
      <c r="AE310" s="118">
        <v>0</v>
      </c>
      <c r="AF310" s="118">
        <v>0</v>
      </c>
      <c r="AG310" s="118">
        <v>0</v>
      </c>
      <c r="AH310" s="118">
        <v>0</v>
      </c>
      <c r="AI310" s="118">
        <v>0</v>
      </c>
      <c r="AJ310" s="118">
        <v>0</v>
      </c>
      <c r="AK310" s="118">
        <v>0</v>
      </c>
      <c r="AL310" s="118">
        <v>0</v>
      </c>
      <c r="AM310" s="118">
        <v>0</v>
      </c>
      <c r="AN310" s="118">
        <v>0</v>
      </c>
      <c r="AO310" s="118">
        <v>0</v>
      </c>
      <c r="AP310" s="118">
        <v>0</v>
      </c>
      <c r="AQ310" s="118">
        <v>0</v>
      </c>
      <c r="AR310" s="118">
        <v>0</v>
      </c>
      <c r="AS310" s="118">
        <v>0</v>
      </c>
      <c r="AT310" s="118">
        <v>0</v>
      </c>
      <c r="AU310" s="118">
        <f t="shared" si="21"/>
        <v>0</v>
      </c>
    </row>
    <row r="311" spans="1:55">
      <c r="A311" s="114">
        <v>20</v>
      </c>
      <c r="B311" s="116">
        <v>45964</v>
      </c>
      <c r="G311" s="115" t="s">
        <v>307</v>
      </c>
      <c r="H311" s="115">
        <v>6</v>
      </c>
      <c r="I311" s="117" t="str">
        <f t="shared" si="24"/>
        <v>TU_6</v>
      </c>
      <c r="J311" s="117" t="s">
        <v>796</v>
      </c>
      <c r="K311" s="118">
        <v>12</v>
      </c>
      <c r="L311" s="123" t="str">
        <f t="shared" si="23"/>
        <v>TU_6_12</v>
      </c>
      <c r="M311" s="117" t="s">
        <v>1111</v>
      </c>
      <c r="N311" s="115" t="s">
        <v>50</v>
      </c>
      <c r="O311" s="115" t="s">
        <v>308</v>
      </c>
      <c r="P311" s="115">
        <v>100</v>
      </c>
      <c r="Q311" s="115">
        <v>500</v>
      </c>
      <c r="S311" s="115" t="s">
        <v>271</v>
      </c>
      <c r="T311" s="115">
        <v>3</v>
      </c>
      <c r="U311" s="115">
        <v>11</v>
      </c>
      <c r="V311" s="115">
        <v>11.07</v>
      </c>
      <c r="W311" s="118">
        <v>3</v>
      </c>
      <c r="X311" s="118">
        <v>11.23</v>
      </c>
      <c r="Y311" s="118">
        <v>0</v>
      </c>
      <c r="Z311" s="118">
        <v>0</v>
      </c>
      <c r="AA311" s="118">
        <v>0</v>
      </c>
      <c r="AB311" s="118">
        <v>0</v>
      </c>
      <c r="AC311" s="118">
        <v>0</v>
      </c>
      <c r="AD311" s="118">
        <v>0</v>
      </c>
      <c r="AE311" s="118">
        <v>0</v>
      </c>
      <c r="AF311" s="118">
        <v>0</v>
      </c>
      <c r="AG311" s="118">
        <v>0</v>
      </c>
      <c r="AH311" s="118">
        <v>0</v>
      </c>
      <c r="AI311" s="118">
        <v>0</v>
      </c>
      <c r="AJ311" s="118">
        <v>0</v>
      </c>
      <c r="AK311" s="118">
        <v>0</v>
      </c>
      <c r="AL311" s="118">
        <v>0</v>
      </c>
      <c r="AM311" s="118">
        <v>0</v>
      </c>
      <c r="AN311" s="118">
        <v>0</v>
      </c>
      <c r="AO311" s="118">
        <v>0</v>
      </c>
      <c r="AP311" s="118">
        <v>0</v>
      </c>
      <c r="AQ311" s="118">
        <v>0</v>
      </c>
      <c r="AR311" s="118">
        <v>0</v>
      </c>
      <c r="AS311" s="118">
        <v>0</v>
      </c>
      <c r="AT311" s="118">
        <v>0</v>
      </c>
      <c r="AU311" s="118">
        <f t="shared" si="21"/>
        <v>0</v>
      </c>
    </row>
    <row r="312" spans="1:55">
      <c r="A312" s="114">
        <v>20</v>
      </c>
      <c r="B312" s="116">
        <v>45964</v>
      </c>
      <c r="G312" s="115" t="s">
        <v>307</v>
      </c>
      <c r="H312" s="115">
        <v>6</v>
      </c>
      <c r="I312" s="117" t="str">
        <f t="shared" si="24"/>
        <v>TU_6</v>
      </c>
      <c r="J312" s="117" t="s">
        <v>796</v>
      </c>
      <c r="K312" s="118">
        <v>13</v>
      </c>
      <c r="L312" s="123" t="str">
        <f t="shared" si="23"/>
        <v>TU_6_13</v>
      </c>
      <c r="M312" s="117" t="s">
        <v>1112</v>
      </c>
      <c r="N312" s="115" t="s">
        <v>50</v>
      </c>
      <c r="O312" s="115" t="s">
        <v>308</v>
      </c>
      <c r="P312" s="115">
        <v>100</v>
      </c>
      <c r="Q312" s="115">
        <v>500</v>
      </c>
      <c r="S312" s="115" t="s">
        <v>272</v>
      </c>
      <c r="T312" s="115">
        <v>3</v>
      </c>
      <c r="U312" s="115">
        <v>11.17</v>
      </c>
      <c r="V312" s="115">
        <v>11.25</v>
      </c>
      <c r="W312" s="118">
        <v>3</v>
      </c>
      <c r="X312" s="118">
        <v>11.4</v>
      </c>
      <c r="Y312" s="118">
        <v>0</v>
      </c>
      <c r="Z312" s="118">
        <v>0</v>
      </c>
      <c r="AA312" s="118">
        <v>0</v>
      </c>
      <c r="AB312" s="118">
        <v>0</v>
      </c>
      <c r="AC312" s="118">
        <v>0</v>
      </c>
      <c r="AD312" s="118">
        <v>0</v>
      </c>
      <c r="AE312" s="118">
        <v>0</v>
      </c>
      <c r="AF312" s="118">
        <v>0</v>
      </c>
      <c r="AG312" s="118">
        <v>0</v>
      </c>
      <c r="AH312" s="118">
        <v>0</v>
      </c>
      <c r="AI312" s="118">
        <v>0</v>
      </c>
      <c r="AJ312" s="118">
        <v>0</v>
      </c>
      <c r="AK312" s="118">
        <v>0</v>
      </c>
      <c r="AL312" s="118">
        <v>0</v>
      </c>
      <c r="AM312" s="118">
        <v>0</v>
      </c>
      <c r="AN312" s="118">
        <v>0</v>
      </c>
      <c r="AO312" s="118">
        <v>0</v>
      </c>
      <c r="AP312" s="118">
        <v>0</v>
      </c>
      <c r="AQ312" s="118">
        <v>0</v>
      </c>
      <c r="AR312" s="118">
        <v>0</v>
      </c>
      <c r="AS312" s="118">
        <v>0</v>
      </c>
      <c r="AT312" s="118">
        <v>0</v>
      </c>
      <c r="AU312" s="118">
        <f t="shared" si="21"/>
        <v>0</v>
      </c>
    </row>
    <row r="313" spans="1:55">
      <c r="A313" s="114">
        <v>20</v>
      </c>
      <c r="B313" s="116">
        <v>45964</v>
      </c>
      <c r="G313" s="115" t="s">
        <v>307</v>
      </c>
      <c r="H313" s="115">
        <v>6</v>
      </c>
      <c r="I313" s="117" t="str">
        <f t="shared" si="24"/>
        <v>TU_6</v>
      </c>
      <c r="J313" s="117" t="s">
        <v>796</v>
      </c>
      <c r="K313" s="118">
        <v>14</v>
      </c>
      <c r="L313" s="123" t="str">
        <f t="shared" si="23"/>
        <v>TU_6_14</v>
      </c>
      <c r="M313" s="117" t="s">
        <v>1113</v>
      </c>
      <c r="N313" s="115" t="s">
        <v>50</v>
      </c>
      <c r="O313" s="115" t="s">
        <v>308</v>
      </c>
      <c r="P313" s="115">
        <v>100</v>
      </c>
      <c r="Q313" s="115">
        <v>500</v>
      </c>
      <c r="S313" s="115" t="s">
        <v>273</v>
      </c>
      <c r="T313" s="115">
        <v>3</v>
      </c>
      <c r="U313" s="115">
        <v>11.4</v>
      </c>
      <c r="V313" s="115">
        <v>11.54</v>
      </c>
      <c r="W313" s="118">
        <v>3</v>
      </c>
      <c r="X313" s="118">
        <v>12.09</v>
      </c>
      <c r="Y313" s="118">
        <v>0</v>
      </c>
      <c r="Z313" s="118">
        <v>0</v>
      </c>
      <c r="AA313" s="118">
        <v>0</v>
      </c>
      <c r="AB313" s="118">
        <v>0</v>
      </c>
      <c r="AC313" s="118">
        <v>0</v>
      </c>
      <c r="AD313" s="118">
        <v>0</v>
      </c>
      <c r="AE313" s="118">
        <v>0</v>
      </c>
      <c r="AF313" s="118">
        <v>0</v>
      </c>
      <c r="AG313" s="118">
        <v>0</v>
      </c>
      <c r="AH313" s="118">
        <v>0</v>
      </c>
      <c r="AI313" s="118">
        <v>0</v>
      </c>
      <c r="AJ313" s="118">
        <v>0</v>
      </c>
      <c r="AK313" s="118">
        <v>0</v>
      </c>
      <c r="AL313" s="118">
        <v>0</v>
      </c>
      <c r="AM313" s="118">
        <v>0</v>
      </c>
      <c r="AN313" s="118">
        <v>0</v>
      </c>
      <c r="AO313" s="118">
        <v>0</v>
      </c>
      <c r="AP313" s="118">
        <v>0</v>
      </c>
      <c r="AQ313" s="118">
        <v>0</v>
      </c>
      <c r="AR313" s="118">
        <v>0</v>
      </c>
      <c r="AS313" s="118">
        <v>0</v>
      </c>
      <c r="AT313" s="118">
        <v>0</v>
      </c>
      <c r="AU313" s="118">
        <f t="shared" si="21"/>
        <v>0</v>
      </c>
    </row>
    <row r="314" spans="1:55">
      <c r="A314" s="114">
        <v>20</v>
      </c>
      <c r="B314" s="116">
        <v>45964</v>
      </c>
      <c r="G314" s="115" t="s">
        <v>307</v>
      </c>
      <c r="H314" s="115">
        <v>6</v>
      </c>
      <c r="I314" s="117" t="str">
        <f t="shared" si="24"/>
        <v>TU_6</v>
      </c>
      <c r="J314" s="117" t="s">
        <v>796</v>
      </c>
      <c r="K314" s="118">
        <v>15</v>
      </c>
      <c r="L314" s="123" t="str">
        <f t="shared" si="23"/>
        <v>TU_6_15</v>
      </c>
      <c r="M314" s="117" t="s">
        <v>1114</v>
      </c>
      <c r="N314" s="115" t="s">
        <v>50</v>
      </c>
      <c r="O314" s="115" t="s">
        <v>308</v>
      </c>
      <c r="P314" s="115">
        <v>100</v>
      </c>
      <c r="Q314" s="115">
        <v>500</v>
      </c>
      <c r="S314" s="115" t="s">
        <v>274</v>
      </c>
      <c r="T314" s="115">
        <v>4</v>
      </c>
      <c r="U314" s="115">
        <v>12.02</v>
      </c>
      <c r="V314" s="115">
        <v>12.16</v>
      </c>
      <c r="W314" s="118">
        <v>4</v>
      </c>
      <c r="X314" s="118">
        <v>12.3</v>
      </c>
      <c r="Y314" s="118">
        <v>1</v>
      </c>
      <c r="Z314" s="118">
        <v>1</v>
      </c>
      <c r="AA314" s="118">
        <v>0</v>
      </c>
      <c r="AB314" s="118">
        <v>0</v>
      </c>
      <c r="AC314" s="118">
        <v>0</v>
      </c>
      <c r="AD314" s="118">
        <v>0</v>
      </c>
      <c r="AE314" s="118">
        <v>0</v>
      </c>
      <c r="AF314" s="118">
        <v>0</v>
      </c>
      <c r="AG314" s="118">
        <v>0</v>
      </c>
      <c r="AH314" s="118">
        <v>0</v>
      </c>
      <c r="AI314" s="118">
        <v>0</v>
      </c>
      <c r="AJ314" s="118">
        <v>0</v>
      </c>
      <c r="AK314" s="118">
        <v>0</v>
      </c>
      <c r="AL314" s="118">
        <v>0</v>
      </c>
      <c r="AM314" s="118">
        <v>0</v>
      </c>
      <c r="AN314" s="118">
        <v>0</v>
      </c>
      <c r="AO314" s="118">
        <v>0</v>
      </c>
      <c r="AP314" s="118">
        <v>0</v>
      </c>
      <c r="AQ314" s="118">
        <v>0</v>
      </c>
      <c r="AR314" s="118">
        <v>0</v>
      </c>
      <c r="AS314" s="118">
        <v>0</v>
      </c>
      <c r="AT314" s="118">
        <v>0</v>
      </c>
      <c r="AU314" s="118">
        <f t="shared" si="21"/>
        <v>0</v>
      </c>
    </row>
    <row r="315" spans="1:55">
      <c r="A315" s="114">
        <v>20</v>
      </c>
      <c r="B315" s="116">
        <v>45964</v>
      </c>
      <c r="G315" s="115" t="s">
        <v>307</v>
      </c>
      <c r="H315" s="115">
        <v>6</v>
      </c>
      <c r="I315" s="117" t="str">
        <f t="shared" si="24"/>
        <v>TU_6</v>
      </c>
      <c r="J315" s="117" t="s">
        <v>796</v>
      </c>
      <c r="K315" s="118">
        <v>16</v>
      </c>
      <c r="L315" s="123" t="str">
        <f t="shared" si="23"/>
        <v>TU_6_16</v>
      </c>
      <c r="M315" s="117" t="s">
        <v>1115</v>
      </c>
      <c r="N315" s="115" t="s">
        <v>50</v>
      </c>
      <c r="O315" s="115" t="s">
        <v>308</v>
      </c>
      <c r="P315" s="115">
        <v>100</v>
      </c>
      <c r="Q315" s="115">
        <v>500</v>
      </c>
      <c r="S315" s="115" t="s">
        <v>275</v>
      </c>
      <c r="T315" s="115">
        <v>4</v>
      </c>
      <c r="U315" s="115">
        <v>12.24</v>
      </c>
      <c r="V315" s="115">
        <v>12.32</v>
      </c>
      <c r="W315" s="118">
        <v>4</v>
      </c>
      <c r="X315" s="118">
        <v>12.48</v>
      </c>
      <c r="Y315" s="118">
        <v>1</v>
      </c>
      <c r="Z315" s="118">
        <v>1</v>
      </c>
      <c r="AA315" s="118">
        <v>0</v>
      </c>
      <c r="AB315" s="118">
        <v>0</v>
      </c>
      <c r="AC315" s="118">
        <v>0</v>
      </c>
      <c r="AD315" s="118">
        <v>0</v>
      </c>
      <c r="AE315" s="118">
        <v>0</v>
      </c>
      <c r="AF315" s="118">
        <v>0</v>
      </c>
      <c r="AG315" s="118">
        <v>0</v>
      </c>
      <c r="AH315" s="118">
        <v>0</v>
      </c>
      <c r="AI315" s="118">
        <v>0</v>
      </c>
      <c r="AJ315" s="118">
        <v>0</v>
      </c>
      <c r="AK315" s="118">
        <v>0</v>
      </c>
      <c r="AL315" s="118">
        <v>0</v>
      </c>
      <c r="AM315" s="118">
        <v>0</v>
      </c>
      <c r="AN315" s="118">
        <v>0</v>
      </c>
      <c r="AO315" s="118">
        <v>0</v>
      </c>
      <c r="AP315" s="118">
        <v>0</v>
      </c>
      <c r="AQ315" s="118">
        <v>0</v>
      </c>
      <c r="AR315" s="118">
        <v>0</v>
      </c>
      <c r="AS315" s="118">
        <v>0</v>
      </c>
      <c r="AT315" s="118">
        <v>0</v>
      </c>
      <c r="AU315" s="118">
        <f t="shared" si="21"/>
        <v>0</v>
      </c>
    </row>
    <row r="316" spans="1:55">
      <c r="A316" s="114">
        <v>20</v>
      </c>
      <c r="B316" s="116">
        <v>45964</v>
      </c>
      <c r="G316" s="115" t="s">
        <v>307</v>
      </c>
      <c r="H316" s="115">
        <v>6</v>
      </c>
      <c r="I316" s="117" t="str">
        <f t="shared" si="24"/>
        <v>TU_6</v>
      </c>
      <c r="J316" s="117" t="s">
        <v>796</v>
      </c>
      <c r="K316" s="118">
        <v>17</v>
      </c>
      <c r="L316" s="123" t="str">
        <f t="shared" si="23"/>
        <v>TU_6_17</v>
      </c>
      <c r="M316" s="117" t="s">
        <v>1116</v>
      </c>
      <c r="N316" s="115" t="s">
        <v>50</v>
      </c>
      <c r="O316" s="115" t="s">
        <v>308</v>
      </c>
      <c r="P316" s="115">
        <v>100</v>
      </c>
      <c r="Q316" s="115">
        <v>500</v>
      </c>
      <c r="S316" s="115" t="s">
        <v>276</v>
      </c>
      <c r="T316" s="115">
        <v>4</v>
      </c>
      <c r="U316" s="115">
        <v>12.34</v>
      </c>
      <c r="V316" s="115">
        <v>12.47</v>
      </c>
      <c r="W316" s="118">
        <v>4</v>
      </c>
      <c r="X316" s="118">
        <v>13.03</v>
      </c>
      <c r="Y316" s="118">
        <v>1</v>
      </c>
      <c r="Z316" s="118">
        <v>1</v>
      </c>
      <c r="AA316" s="118">
        <v>1</v>
      </c>
      <c r="AB316" s="118">
        <v>1</v>
      </c>
      <c r="AC316" s="118">
        <v>1</v>
      </c>
      <c r="AD316" s="118">
        <v>1</v>
      </c>
      <c r="AE316" s="118">
        <v>1</v>
      </c>
      <c r="AF316" s="118">
        <v>1</v>
      </c>
      <c r="AG316" s="118">
        <v>1</v>
      </c>
      <c r="AH316" s="118">
        <v>1</v>
      </c>
      <c r="AI316" s="118">
        <v>1</v>
      </c>
      <c r="AJ316" s="118">
        <v>1</v>
      </c>
      <c r="AK316" s="118">
        <v>1</v>
      </c>
      <c r="AL316" s="118">
        <v>1</v>
      </c>
      <c r="AM316" s="118">
        <v>1</v>
      </c>
      <c r="AN316" s="118">
        <v>0</v>
      </c>
      <c r="AO316" s="118">
        <v>0</v>
      </c>
      <c r="AP316" s="118">
        <v>0</v>
      </c>
      <c r="AQ316" s="118">
        <v>0</v>
      </c>
      <c r="AR316" s="118">
        <v>0</v>
      </c>
      <c r="AS316" s="118">
        <v>0</v>
      </c>
      <c r="AT316" s="118">
        <v>0</v>
      </c>
      <c r="AU316" s="118">
        <f t="shared" si="21"/>
        <v>0</v>
      </c>
    </row>
    <row r="317" spans="1:55">
      <c r="A317" s="114">
        <v>20</v>
      </c>
      <c r="B317" s="116">
        <v>45964</v>
      </c>
      <c r="G317" s="115" t="s">
        <v>307</v>
      </c>
      <c r="H317" s="115">
        <v>6</v>
      </c>
      <c r="I317" s="117" t="str">
        <f t="shared" si="24"/>
        <v>TU_6</v>
      </c>
      <c r="J317" s="117" t="s">
        <v>796</v>
      </c>
      <c r="K317" s="118">
        <v>18</v>
      </c>
      <c r="L317" s="123" t="str">
        <f t="shared" si="23"/>
        <v>TU_6_18</v>
      </c>
      <c r="M317" s="117" t="s">
        <v>1117</v>
      </c>
      <c r="N317" s="115" t="s">
        <v>50</v>
      </c>
      <c r="O317" s="115" t="s">
        <v>308</v>
      </c>
      <c r="P317" s="115">
        <v>100</v>
      </c>
      <c r="Q317" s="115">
        <v>500</v>
      </c>
      <c r="S317" s="115" t="s">
        <v>257</v>
      </c>
      <c r="T317" s="115">
        <v>3</v>
      </c>
      <c r="U317" s="115" t="s">
        <v>117</v>
      </c>
      <c r="V317" s="115" t="s">
        <v>117</v>
      </c>
      <c r="W317" s="118">
        <v>3</v>
      </c>
      <c r="X317" s="118">
        <v>10.55</v>
      </c>
      <c r="Y317" s="118">
        <v>1</v>
      </c>
      <c r="Z317" s="118">
        <v>1</v>
      </c>
      <c r="AA317" s="118">
        <v>1</v>
      </c>
      <c r="AB317" s="118">
        <v>1</v>
      </c>
      <c r="AC317" s="118">
        <v>1</v>
      </c>
      <c r="AD317" s="118">
        <v>1</v>
      </c>
      <c r="AE317" s="118">
        <v>1</v>
      </c>
      <c r="AF317" s="118">
        <v>1</v>
      </c>
      <c r="AG317" s="118">
        <v>1</v>
      </c>
      <c r="AH317" s="118">
        <v>1</v>
      </c>
      <c r="AI317" s="118">
        <v>1</v>
      </c>
      <c r="AJ317" s="118">
        <v>1</v>
      </c>
      <c r="AK317" s="118">
        <v>1</v>
      </c>
      <c r="AL317" s="118">
        <v>1</v>
      </c>
      <c r="AM317" s="118">
        <v>1</v>
      </c>
      <c r="AN317" s="118">
        <v>1</v>
      </c>
      <c r="AO317" s="118">
        <v>1</v>
      </c>
      <c r="AP317" s="118">
        <v>1</v>
      </c>
      <c r="AQ317" s="118">
        <v>1</v>
      </c>
      <c r="AR317" s="118">
        <v>1</v>
      </c>
      <c r="AS317" s="118">
        <v>1</v>
      </c>
      <c r="AT317" s="118">
        <v>1</v>
      </c>
      <c r="AU317" s="118">
        <f t="shared" si="21"/>
        <v>1</v>
      </c>
      <c r="AV317" s="115" t="s">
        <v>244</v>
      </c>
      <c r="AW317" s="115" t="s">
        <v>313</v>
      </c>
    </row>
    <row r="318" spans="1:55">
      <c r="A318" s="114">
        <v>20</v>
      </c>
      <c r="B318" s="116">
        <v>45964</v>
      </c>
      <c r="G318" s="115" t="s">
        <v>307</v>
      </c>
      <c r="H318" s="115">
        <v>6</v>
      </c>
      <c r="I318" s="117" t="str">
        <f t="shared" si="24"/>
        <v>TU_6</v>
      </c>
      <c r="J318" s="117" t="s">
        <v>796</v>
      </c>
      <c r="K318" s="118">
        <v>19</v>
      </c>
      <c r="L318" s="123" t="str">
        <f t="shared" si="23"/>
        <v>TU_6_19</v>
      </c>
      <c r="M318" s="117" t="s">
        <v>1118</v>
      </c>
      <c r="N318" s="115" t="s">
        <v>50</v>
      </c>
      <c r="O318" s="115" t="s">
        <v>308</v>
      </c>
      <c r="P318" s="115">
        <v>100</v>
      </c>
      <c r="Q318" s="115">
        <v>500</v>
      </c>
      <c r="S318" s="115" t="s">
        <v>258</v>
      </c>
      <c r="T318" s="115">
        <v>5</v>
      </c>
      <c r="U318" s="115" t="s">
        <v>117</v>
      </c>
      <c r="V318" s="115" t="s">
        <v>117</v>
      </c>
      <c r="W318" s="118">
        <v>5</v>
      </c>
      <c r="X318" s="118">
        <v>11.24</v>
      </c>
      <c r="Y318" s="118">
        <v>4</v>
      </c>
      <c r="Z318" s="118">
        <v>4</v>
      </c>
      <c r="AA318" s="118">
        <v>4</v>
      </c>
      <c r="AB318" s="118">
        <v>4</v>
      </c>
      <c r="AC318" s="118">
        <v>4</v>
      </c>
      <c r="AD318" s="118">
        <v>4</v>
      </c>
      <c r="AE318" s="118">
        <v>4</v>
      </c>
      <c r="AF318" s="118">
        <v>4</v>
      </c>
      <c r="AG318" s="118">
        <v>4</v>
      </c>
      <c r="AH318" s="118">
        <v>4</v>
      </c>
      <c r="AI318" s="118">
        <v>4</v>
      </c>
      <c r="AJ318" s="118">
        <v>4</v>
      </c>
      <c r="AK318" s="118">
        <v>4</v>
      </c>
      <c r="AL318" s="118">
        <v>4</v>
      </c>
      <c r="AM318" s="118">
        <v>4</v>
      </c>
      <c r="AN318" s="118">
        <v>2</v>
      </c>
      <c r="AO318" s="118">
        <v>2</v>
      </c>
      <c r="AP318" s="118">
        <v>2</v>
      </c>
      <c r="AQ318" s="118">
        <v>0</v>
      </c>
      <c r="AR318" s="118">
        <v>0</v>
      </c>
      <c r="AS318" s="118">
        <v>0</v>
      </c>
      <c r="AT318" s="118">
        <v>0</v>
      </c>
      <c r="AU318" s="118">
        <f t="shared" si="21"/>
        <v>0</v>
      </c>
    </row>
    <row r="319" spans="1:55">
      <c r="A319" s="114">
        <v>20</v>
      </c>
      <c r="B319" s="116">
        <v>45964</v>
      </c>
      <c r="G319" s="115" t="s">
        <v>307</v>
      </c>
      <c r="H319" s="115">
        <v>6</v>
      </c>
      <c r="I319" s="117" t="str">
        <f t="shared" si="24"/>
        <v>TU_6</v>
      </c>
      <c r="J319" s="117" t="s">
        <v>796</v>
      </c>
      <c r="K319" s="118">
        <v>20</v>
      </c>
      <c r="L319" s="123" t="str">
        <f t="shared" si="23"/>
        <v>TU_6_20</v>
      </c>
      <c r="M319" s="117" t="s">
        <v>1119</v>
      </c>
      <c r="N319" s="115" t="s">
        <v>50</v>
      </c>
      <c r="O319" s="115" t="s">
        <v>308</v>
      </c>
      <c r="P319" s="115">
        <v>100</v>
      </c>
      <c r="Q319" s="115">
        <v>500</v>
      </c>
      <c r="S319" s="115" t="s">
        <v>259</v>
      </c>
      <c r="T319" s="115">
        <v>3</v>
      </c>
      <c r="U319" s="115" t="s">
        <v>117</v>
      </c>
      <c r="V319" s="115" t="s">
        <v>117</v>
      </c>
      <c r="W319" s="118">
        <v>3</v>
      </c>
      <c r="X319" s="118">
        <v>11.38</v>
      </c>
      <c r="Y319" s="118">
        <v>0</v>
      </c>
      <c r="Z319" s="118">
        <v>0</v>
      </c>
      <c r="AA319" s="118">
        <v>0</v>
      </c>
      <c r="AB319" s="118">
        <v>0</v>
      </c>
      <c r="AC319" s="118">
        <v>0</v>
      </c>
      <c r="AD319" s="118">
        <v>0</v>
      </c>
      <c r="AE319" s="118">
        <v>0</v>
      </c>
      <c r="AF319" s="118">
        <v>0</v>
      </c>
      <c r="AG319" s="118">
        <v>0</v>
      </c>
      <c r="AH319" s="118">
        <v>0</v>
      </c>
      <c r="AI319" s="118">
        <v>0</v>
      </c>
      <c r="AJ319" s="118">
        <v>0</v>
      </c>
      <c r="AK319" s="118">
        <v>0</v>
      </c>
      <c r="AL319" s="118">
        <v>0</v>
      </c>
      <c r="AM319" s="118">
        <v>0</v>
      </c>
      <c r="AN319" s="118">
        <v>0</v>
      </c>
      <c r="AO319" s="118">
        <v>0</v>
      </c>
      <c r="AP319" s="118">
        <v>0</v>
      </c>
      <c r="AQ319" s="118">
        <v>0</v>
      </c>
      <c r="AR319" s="118">
        <v>0</v>
      </c>
      <c r="AS319" s="118">
        <v>0</v>
      </c>
      <c r="AT319" s="118">
        <v>0</v>
      </c>
      <c r="AU319" s="118">
        <f t="shared" si="21"/>
        <v>0</v>
      </c>
    </row>
    <row r="320" spans="1:55">
      <c r="A320" s="114">
        <v>20</v>
      </c>
      <c r="B320" s="116">
        <v>45964</v>
      </c>
      <c r="G320" s="115" t="s">
        <v>307</v>
      </c>
      <c r="H320" s="115">
        <v>6</v>
      </c>
      <c r="I320" s="117" t="str">
        <f t="shared" si="24"/>
        <v>TU_6</v>
      </c>
      <c r="J320" s="117" t="s">
        <v>796</v>
      </c>
      <c r="K320" s="118">
        <v>21</v>
      </c>
      <c r="L320" s="123" t="str">
        <f t="shared" si="23"/>
        <v>TU_6_21</v>
      </c>
      <c r="M320" s="117" t="s">
        <v>1120</v>
      </c>
      <c r="N320" s="115" t="s">
        <v>50</v>
      </c>
      <c r="O320" s="115" t="s">
        <v>308</v>
      </c>
      <c r="P320" s="115">
        <v>100</v>
      </c>
      <c r="Q320" s="115">
        <v>500</v>
      </c>
      <c r="S320" s="115" t="s">
        <v>260</v>
      </c>
      <c r="T320" s="115">
        <v>5</v>
      </c>
      <c r="U320" s="115" t="s">
        <v>117</v>
      </c>
      <c r="V320" s="115" t="s">
        <v>117</v>
      </c>
      <c r="W320" s="118">
        <v>5</v>
      </c>
      <c r="X320" s="118">
        <v>12</v>
      </c>
      <c r="Y320" s="118">
        <v>1</v>
      </c>
      <c r="Z320" s="118">
        <v>1</v>
      </c>
      <c r="AA320" s="118">
        <v>1</v>
      </c>
      <c r="AB320" s="118">
        <v>1</v>
      </c>
      <c r="AC320" s="118">
        <v>1</v>
      </c>
      <c r="AD320" s="118">
        <v>1</v>
      </c>
      <c r="AE320" s="118">
        <v>1</v>
      </c>
      <c r="AF320" s="118">
        <v>1</v>
      </c>
      <c r="AG320" s="118">
        <v>1</v>
      </c>
      <c r="AH320" s="118">
        <v>1</v>
      </c>
      <c r="AI320" s="118">
        <v>1</v>
      </c>
      <c r="AJ320" s="118">
        <v>1</v>
      </c>
      <c r="AK320" s="118">
        <v>1</v>
      </c>
      <c r="AL320" s="118">
        <v>1</v>
      </c>
      <c r="AM320" s="118">
        <v>1</v>
      </c>
      <c r="AN320" s="118">
        <v>0</v>
      </c>
      <c r="AO320" s="118">
        <v>0</v>
      </c>
      <c r="AP320" s="118">
        <v>0</v>
      </c>
      <c r="AQ320" s="118">
        <v>0</v>
      </c>
      <c r="AR320" s="118">
        <v>0</v>
      </c>
      <c r="AS320" s="118">
        <v>0</v>
      </c>
      <c r="AT320" s="118">
        <v>0</v>
      </c>
      <c r="AU320" s="118">
        <f t="shared" si="21"/>
        <v>0</v>
      </c>
    </row>
    <row r="321" spans="1:50">
      <c r="A321" s="114">
        <v>20</v>
      </c>
      <c r="B321" s="116">
        <v>45964</v>
      </c>
      <c r="G321" s="115" t="s">
        <v>307</v>
      </c>
      <c r="H321" s="115">
        <v>6</v>
      </c>
      <c r="I321" s="117" t="str">
        <f t="shared" si="24"/>
        <v>TU_6</v>
      </c>
      <c r="J321" s="117" t="s">
        <v>796</v>
      </c>
      <c r="K321" s="118">
        <v>22</v>
      </c>
      <c r="L321" s="123" t="str">
        <f t="shared" si="23"/>
        <v>TU_6_22</v>
      </c>
      <c r="M321" s="117" t="s">
        <v>1121</v>
      </c>
      <c r="N321" s="115" t="s">
        <v>50</v>
      </c>
      <c r="O321" s="115" t="s">
        <v>308</v>
      </c>
      <c r="P321" s="115">
        <v>100</v>
      </c>
      <c r="Q321" s="115">
        <v>500</v>
      </c>
      <c r="S321" s="115" t="s">
        <v>261</v>
      </c>
      <c r="T321" s="115">
        <v>4</v>
      </c>
      <c r="U321" s="115" t="s">
        <v>117</v>
      </c>
      <c r="V321" s="115" t="s">
        <v>117</v>
      </c>
      <c r="W321" s="118">
        <v>4</v>
      </c>
      <c r="X321" s="118">
        <v>12.18</v>
      </c>
      <c r="Y321" s="118">
        <v>2</v>
      </c>
      <c r="Z321" s="118">
        <v>2</v>
      </c>
      <c r="AA321" s="118">
        <v>2</v>
      </c>
      <c r="AB321" s="118">
        <v>2</v>
      </c>
      <c r="AC321" s="118">
        <v>2</v>
      </c>
      <c r="AD321" s="118">
        <v>2</v>
      </c>
      <c r="AE321" s="118">
        <v>2</v>
      </c>
      <c r="AF321" s="118">
        <v>2</v>
      </c>
      <c r="AG321" s="118">
        <v>2</v>
      </c>
      <c r="AH321" s="118">
        <v>2</v>
      </c>
      <c r="AI321" s="118">
        <v>1</v>
      </c>
      <c r="AJ321" s="118">
        <v>1</v>
      </c>
      <c r="AK321" s="118">
        <v>1</v>
      </c>
      <c r="AL321" s="118">
        <v>1</v>
      </c>
      <c r="AM321" s="118">
        <v>1</v>
      </c>
      <c r="AN321" s="118">
        <v>1</v>
      </c>
      <c r="AO321" s="118">
        <v>1</v>
      </c>
      <c r="AP321" s="118">
        <v>0</v>
      </c>
      <c r="AQ321" s="118">
        <v>0</v>
      </c>
      <c r="AR321" s="118">
        <v>0</v>
      </c>
      <c r="AS321" s="118">
        <v>0</v>
      </c>
      <c r="AT321" s="118">
        <v>0</v>
      </c>
      <c r="AU321" s="118">
        <f t="shared" si="21"/>
        <v>0</v>
      </c>
    </row>
    <row r="322" spans="1:50">
      <c r="A322" s="114">
        <v>20</v>
      </c>
      <c r="B322" s="116">
        <v>45964</v>
      </c>
      <c r="G322" s="115" t="s">
        <v>307</v>
      </c>
      <c r="H322" s="115">
        <v>6</v>
      </c>
      <c r="I322" s="117" t="str">
        <f t="shared" si="24"/>
        <v>TU_6</v>
      </c>
      <c r="J322" s="117" t="s">
        <v>796</v>
      </c>
      <c r="K322" s="118">
        <v>23</v>
      </c>
      <c r="L322" s="123" t="str">
        <f t="shared" si="23"/>
        <v>TU_6_23</v>
      </c>
      <c r="M322" s="117" t="s">
        <v>1122</v>
      </c>
      <c r="N322" s="115" t="s">
        <v>50</v>
      </c>
      <c r="O322" s="115" t="s">
        <v>308</v>
      </c>
      <c r="P322" s="115">
        <v>100</v>
      </c>
      <c r="Q322" s="115">
        <v>500</v>
      </c>
      <c r="S322" s="115" t="s">
        <v>262</v>
      </c>
      <c r="T322" s="115">
        <v>4</v>
      </c>
      <c r="U322" s="115" t="s">
        <v>117</v>
      </c>
      <c r="V322" s="115" t="s">
        <v>117</v>
      </c>
      <c r="W322" s="118">
        <v>4</v>
      </c>
      <c r="X322" s="118">
        <v>12.32</v>
      </c>
      <c r="Y322" s="118">
        <v>2</v>
      </c>
      <c r="Z322" s="118">
        <v>2</v>
      </c>
      <c r="AA322" s="118">
        <v>2</v>
      </c>
      <c r="AB322" s="118">
        <v>2</v>
      </c>
      <c r="AC322" s="118">
        <v>2</v>
      </c>
      <c r="AD322" s="118">
        <v>2</v>
      </c>
      <c r="AE322" s="118">
        <v>2</v>
      </c>
      <c r="AF322" s="118">
        <v>2</v>
      </c>
      <c r="AG322" s="118">
        <v>2</v>
      </c>
      <c r="AH322" s="118">
        <v>1</v>
      </c>
      <c r="AI322" s="118">
        <v>1</v>
      </c>
      <c r="AJ322" s="118">
        <v>1</v>
      </c>
      <c r="AK322" s="118">
        <v>1</v>
      </c>
      <c r="AL322" s="118">
        <v>1</v>
      </c>
      <c r="AM322" s="118">
        <v>1</v>
      </c>
      <c r="AN322" s="118">
        <v>1</v>
      </c>
      <c r="AO322" s="118">
        <v>1</v>
      </c>
      <c r="AP322" s="118">
        <v>0</v>
      </c>
      <c r="AQ322" s="118">
        <v>0</v>
      </c>
      <c r="AR322" s="118">
        <v>0</v>
      </c>
      <c r="AS322" s="118">
        <v>0</v>
      </c>
      <c r="AT322" s="118">
        <v>0</v>
      </c>
      <c r="AU322" s="118">
        <f t="shared" si="21"/>
        <v>0</v>
      </c>
    </row>
    <row r="323" spans="1:50">
      <c r="A323" s="114">
        <v>20</v>
      </c>
      <c r="B323" s="116">
        <v>45964</v>
      </c>
      <c r="G323" s="115" t="s">
        <v>307</v>
      </c>
      <c r="H323" s="115">
        <v>6</v>
      </c>
      <c r="I323" s="117" t="str">
        <f t="shared" si="24"/>
        <v>TU_6</v>
      </c>
      <c r="J323" s="117" t="s">
        <v>796</v>
      </c>
      <c r="K323" s="118">
        <v>24</v>
      </c>
      <c r="L323" s="123" t="str">
        <f t="shared" si="23"/>
        <v>TU_6_24</v>
      </c>
      <c r="M323" s="117" t="s">
        <v>1123</v>
      </c>
      <c r="N323" s="115" t="s">
        <v>50</v>
      </c>
      <c r="O323" s="115" t="s">
        <v>308</v>
      </c>
      <c r="P323" s="115">
        <v>100</v>
      </c>
      <c r="Q323" s="115">
        <v>500</v>
      </c>
      <c r="S323" s="115" t="s">
        <v>263</v>
      </c>
      <c r="T323" s="115">
        <v>4</v>
      </c>
      <c r="U323" s="115" t="s">
        <v>117</v>
      </c>
      <c r="V323" s="115" t="s">
        <v>117</v>
      </c>
      <c r="W323" s="118">
        <v>4</v>
      </c>
      <c r="X323" s="118">
        <v>12.46</v>
      </c>
      <c r="Y323" s="118">
        <v>0</v>
      </c>
      <c r="Z323" s="118">
        <v>0</v>
      </c>
      <c r="AA323" s="118">
        <v>0</v>
      </c>
      <c r="AB323" s="118">
        <v>0</v>
      </c>
      <c r="AC323" s="118">
        <v>0</v>
      </c>
      <c r="AD323" s="118">
        <v>0</v>
      </c>
      <c r="AE323" s="118">
        <v>0</v>
      </c>
      <c r="AF323" s="118">
        <v>0</v>
      </c>
      <c r="AG323" s="118">
        <v>0</v>
      </c>
      <c r="AH323" s="118">
        <v>0</v>
      </c>
      <c r="AI323" s="118">
        <v>0</v>
      </c>
      <c r="AJ323" s="118">
        <v>0</v>
      </c>
      <c r="AK323" s="118">
        <v>0</v>
      </c>
      <c r="AL323" s="118">
        <v>0</v>
      </c>
      <c r="AM323" s="118">
        <v>0</v>
      </c>
      <c r="AN323" s="118">
        <v>0</v>
      </c>
      <c r="AO323" s="118">
        <v>0</v>
      </c>
      <c r="AP323" s="118">
        <v>0</v>
      </c>
      <c r="AQ323" s="118">
        <v>0</v>
      </c>
      <c r="AR323" s="118">
        <v>0</v>
      </c>
      <c r="AS323" s="118">
        <v>0</v>
      </c>
      <c r="AT323" s="118">
        <v>0</v>
      </c>
      <c r="AU323" s="118">
        <f t="shared" si="21"/>
        <v>0</v>
      </c>
    </row>
    <row r="324" spans="1:50">
      <c r="A324" s="114">
        <v>20</v>
      </c>
      <c r="B324" s="116">
        <v>45964</v>
      </c>
      <c r="G324" s="115" t="s">
        <v>307</v>
      </c>
      <c r="H324" s="115">
        <v>6</v>
      </c>
      <c r="I324" s="117" t="str">
        <f t="shared" si="24"/>
        <v>TU_6</v>
      </c>
      <c r="J324" s="117" t="s">
        <v>796</v>
      </c>
      <c r="K324" s="118">
        <v>25</v>
      </c>
      <c r="L324" s="123" t="str">
        <f t="shared" si="23"/>
        <v>TU_6_25</v>
      </c>
      <c r="M324" s="117" t="s">
        <v>1124</v>
      </c>
      <c r="N324" s="115" t="s">
        <v>50</v>
      </c>
      <c r="O324" s="115" t="s">
        <v>308</v>
      </c>
      <c r="P324" s="115">
        <v>100</v>
      </c>
      <c r="Q324" s="115">
        <v>500</v>
      </c>
      <c r="S324" s="115" t="s">
        <v>314</v>
      </c>
      <c r="T324" s="115">
        <v>5</v>
      </c>
      <c r="U324" s="115" t="s">
        <v>117</v>
      </c>
      <c r="V324" s="115" t="s">
        <v>117</v>
      </c>
      <c r="W324" s="118">
        <v>5</v>
      </c>
      <c r="X324" s="118">
        <v>13.04</v>
      </c>
      <c r="Y324" s="118">
        <v>2</v>
      </c>
      <c r="Z324" s="118">
        <v>2</v>
      </c>
      <c r="AA324" s="118">
        <v>2</v>
      </c>
      <c r="AB324" s="118">
        <v>2</v>
      </c>
      <c r="AC324" s="118">
        <v>2</v>
      </c>
      <c r="AD324" s="118">
        <v>2</v>
      </c>
      <c r="AE324" s="118">
        <v>2</v>
      </c>
      <c r="AF324" s="118">
        <v>2</v>
      </c>
      <c r="AG324" s="118">
        <v>2</v>
      </c>
      <c r="AH324" s="118">
        <v>2</v>
      </c>
      <c r="AI324" s="118">
        <v>2</v>
      </c>
      <c r="AJ324" s="118">
        <v>2</v>
      </c>
      <c r="AK324" s="118">
        <v>2</v>
      </c>
      <c r="AL324" s="118">
        <v>1</v>
      </c>
      <c r="AM324" s="118">
        <v>1</v>
      </c>
      <c r="AN324" s="118">
        <v>1</v>
      </c>
      <c r="AO324" s="118">
        <v>1</v>
      </c>
      <c r="AP324" s="118">
        <v>1</v>
      </c>
      <c r="AQ324" s="118">
        <v>1</v>
      </c>
      <c r="AR324" s="118">
        <v>1</v>
      </c>
      <c r="AS324" s="118">
        <v>1</v>
      </c>
      <c r="AT324" s="118">
        <v>1</v>
      </c>
      <c r="AU324" s="118">
        <f t="shared" si="21"/>
        <v>1</v>
      </c>
      <c r="AV324" s="115" t="s">
        <v>244</v>
      </c>
      <c r="AW324" s="115" t="s">
        <v>315</v>
      </c>
    </row>
    <row r="325" spans="1:50">
      <c r="A325" s="115">
        <v>21</v>
      </c>
      <c r="B325" s="116">
        <v>45968</v>
      </c>
      <c r="C325" s="115" t="s">
        <v>251</v>
      </c>
      <c r="D325" s="115" t="s">
        <v>316</v>
      </c>
      <c r="F325" s="138" t="s">
        <v>317</v>
      </c>
      <c r="G325" s="115" t="s">
        <v>318</v>
      </c>
      <c r="H325" s="115">
        <v>9</v>
      </c>
      <c r="I325" s="117" t="str">
        <f t="shared" si="24"/>
        <v>AB_9</v>
      </c>
      <c r="J325" s="125" t="s">
        <v>779</v>
      </c>
      <c r="K325" s="127">
        <v>1</v>
      </c>
      <c r="L325" s="123" t="str">
        <f t="shared" si="23"/>
        <v>AB_9_1</v>
      </c>
      <c r="M325" s="125" t="s">
        <v>1125</v>
      </c>
      <c r="N325" s="115" t="s">
        <v>88</v>
      </c>
      <c r="O325" s="115" t="s">
        <v>319</v>
      </c>
      <c r="P325" s="115">
        <v>100</v>
      </c>
      <c r="Q325" s="115">
        <v>500</v>
      </c>
      <c r="R325" s="115">
        <v>70</v>
      </c>
      <c r="S325" s="115" t="s">
        <v>282</v>
      </c>
      <c r="T325" s="115">
        <v>5</v>
      </c>
      <c r="U325" s="115">
        <v>1016</v>
      </c>
      <c r="V325" s="115">
        <v>10.37</v>
      </c>
      <c r="W325" s="118">
        <v>5</v>
      </c>
      <c r="X325" s="118">
        <v>10.52</v>
      </c>
      <c r="Y325" s="118">
        <v>2</v>
      </c>
      <c r="Z325" s="118">
        <v>2</v>
      </c>
      <c r="AA325" s="118">
        <v>2</v>
      </c>
      <c r="AB325" s="118">
        <v>2</v>
      </c>
      <c r="AC325" s="118">
        <v>2</v>
      </c>
      <c r="AD325" s="118">
        <v>2</v>
      </c>
      <c r="AE325" s="118">
        <v>2</v>
      </c>
      <c r="AF325" s="118">
        <v>2</v>
      </c>
      <c r="AG325" s="118">
        <v>2</v>
      </c>
      <c r="AH325" s="118">
        <v>2</v>
      </c>
      <c r="AI325" s="118">
        <v>2</v>
      </c>
      <c r="AJ325" s="118">
        <v>2</v>
      </c>
      <c r="AK325" s="118">
        <v>2</v>
      </c>
      <c r="AL325" s="118">
        <v>0</v>
      </c>
      <c r="AM325" s="118">
        <v>0</v>
      </c>
      <c r="AN325" s="118">
        <v>0</v>
      </c>
      <c r="AO325" s="118">
        <v>0</v>
      </c>
      <c r="AP325" s="118">
        <v>0</v>
      </c>
      <c r="AQ325" s="118">
        <v>0</v>
      </c>
      <c r="AR325" s="118">
        <v>0</v>
      </c>
      <c r="AS325" s="118">
        <v>0</v>
      </c>
      <c r="AT325" s="118">
        <v>0</v>
      </c>
      <c r="AU325" s="118">
        <f t="shared" ref="AU325:AU388" si="25">AT325</f>
        <v>0</v>
      </c>
      <c r="AX325" s="114" t="s">
        <v>53</v>
      </c>
    </row>
    <row r="326" spans="1:50">
      <c r="A326" s="115">
        <v>21</v>
      </c>
      <c r="B326" s="116">
        <v>45968</v>
      </c>
      <c r="D326" s="115" t="s">
        <v>320</v>
      </c>
      <c r="G326" s="115" t="s">
        <v>318</v>
      </c>
      <c r="H326" s="115">
        <v>9</v>
      </c>
      <c r="I326" s="117" t="str">
        <f t="shared" si="24"/>
        <v>AB_9</v>
      </c>
      <c r="J326" s="125" t="s">
        <v>779</v>
      </c>
      <c r="K326" s="127">
        <v>2</v>
      </c>
      <c r="L326" s="123" t="str">
        <f t="shared" si="23"/>
        <v>AB_9_2</v>
      </c>
      <c r="M326" s="125" t="s">
        <v>1126</v>
      </c>
      <c r="N326" s="115" t="s">
        <v>88</v>
      </c>
      <c r="O326" s="115" t="s">
        <v>319</v>
      </c>
      <c r="P326" s="115">
        <v>100</v>
      </c>
      <c r="Q326" s="115">
        <v>500</v>
      </c>
      <c r="S326" s="115" t="s">
        <v>284</v>
      </c>
      <c r="T326" s="115">
        <v>4</v>
      </c>
      <c r="U326" s="115">
        <v>11.04</v>
      </c>
      <c r="V326" s="115">
        <v>11.18</v>
      </c>
      <c r="W326" s="118">
        <v>4</v>
      </c>
      <c r="X326" s="118">
        <v>11.33</v>
      </c>
      <c r="Y326" s="118">
        <v>1</v>
      </c>
      <c r="Z326" s="118">
        <v>1</v>
      </c>
      <c r="AA326" s="118">
        <v>1</v>
      </c>
      <c r="AB326" s="118">
        <v>1</v>
      </c>
      <c r="AC326" s="118">
        <v>1</v>
      </c>
      <c r="AD326" s="118">
        <v>1</v>
      </c>
      <c r="AE326" s="118">
        <v>1</v>
      </c>
      <c r="AF326" s="118">
        <v>1</v>
      </c>
      <c r="AG326" s="118">
        <v>1</v>
      </c>
      <c r="AH326" s="118">
        <v>1</v>
      </c>
      <c r="AI326" s="118">
        <v>1</v>
      </c>
      <c r="AJ326" s="118">
        <v>1</v>
      </c>
      <c r="AK326" s="118">
        <v>1</v>
      </c>
      <c r="AL326" s="118">
        <v>1</v>
      </c>
      <c r="AM326" s="118">
        <v>0</v>
      </c>
      <c r="AN326" s="118">
        <v>0</v>
      </c>
      <c r="AO326" s="118">
        <v>0</v>
      </c>
      <c r="AP326" s="118">
        <v>0</v>
      </c>
      <c r="AQ326" s="118">
        <v>0</v>
      </c>
      <c r="AR326" s="118">
        <v>0</v>
      </c>
      <c r="AS326" s="118">
        <v>0</v>
      </c>
      <c r="AT326" s="118">
        <v>0</v>
      </c>
      <c r="AU326" s="118">
        <f t="shared" si="25"/>
        <v>0</v>
      </c>
    </row>
    <row r="327" spans="1:50">
      <c r="A327" s="115">
        <v>21</v>
      </c>
      <c r="B327" s="116">
        <v>45968</v>
      </c>
      <c r="G327" s="115" t="s">
        <v>318</v>
      </c>
      <c r="H327" s="115">
        <v>9</v>
      </c>
      <c r="I327" s="117" t="str">
        <f t="shared" si="24"/>
        <v>AB_9</v>
      </c>
      <c r="J327" s="125" t="s">
        <v>779</v>
      </c>
      <c r="K327" s="127">
        <v>3</v>
      </c>
      <c r="L327" s="123" t="str">
        <f t="shared" si="23"/>
        <v>AB_9_3</v>
      </c>
      <c r="M327" s="125" t="s">
        <v>1127</v>
      </c>
      <c r="N327" s="115" t="s">
        <v>88</v>
      </c>
      <c r="O327" s="115" t="s">
        <v>319</v>
      </c>
      <c r="P327" s="115">
        <v>100</v>
      </c>
      <c r="Q327" s="115">
        <v>500</v>
      </c>
      <c r="S327" s="115" t="s">
        <v>285</v>
      </c>
      <c r="T327" s="115">
        <v>4</v>
      </c>
      <c r="U327" s="115">
        <v>11.19</v>
      </c>
      <c r="V327" s="115">
        <v>11.32</v>
      </c>
      <c r="W327" s="118">
        <v>4</v>
      </c>
      <c r="X327" s="118">
        <v>11.45</v>
      </c>
      <c r="Y327" s="118">
        <v>4</v>
      </c>
      <c r="Z327" s="118">
        <v>4</v>
      </c>
      <c r="AA327" s="118">
        <v>4</v>
      </c>
      <c r="AB327" s="118">
        <v>4</v>
      </c>
      <c r="AC327" s="118">
        <v>3</v>
      </c>
      <c r="AD327" s="118">
        <v>3</v>
      </c>
      <c r="AE327" s="118">
        <v>3</v>
      </c>
      <c r="AF327" s="118">
        <v>3</v>
      </c>
      <c r="AG327" s="118">
        <v>3</v>
      </c>
      <c r="AH327" s="118">
        <v>3</v>
      </c>
      <c r="AI327" s="118">
        <v>3</v>
      </c>
      <c r="AJ327" s="118">
        <v>3</v>
      </c>
      <c r="AK327" s="118">
        <v>3</v>
      </c>
      <c r="AL327" s="118">
        <v>3</v>
      </c>
      <c r="AM327" s="118">
        <v>2</v>
      </c>
      <c r="AN327" s="118">
        <v>0</v>
      </c>
      <c r="AO327" s="118">
        <v>0</v>
      </c>
      <c r="AP327" s="118">
        <v>0</v>
      </c>
      <c r="AQ327" s="118">
        <v>0</v>
      </c>
      <c r="AR327" s="118">
        <v>0</v>
      </c>
      <c r="AS327" s="118">
        <v>0</v>
      </c>
      <c r="AT327" s="118">
        <v>0</v>
      </c>
      <c r="AU327" s="118">
        <f t="shared" si="25"/>
        <v>0</v>
      </c>
    </row>
    <row r="328" spans="1:50">
      <c r="A328" s="115">
        <v>21</v>
      </c>
      <c r="B328" s="116">
        <v>45968</v>
      </c>
      <c r="G328" s="115" t="s">
        <v>318</v>
      </c>
      <c r="H328" s="115">
        <v>9</v>
      </c>
      <c r="I328" s="117" t="str">
        <f t="shared" si="24"/>
        <v>AB_9</v>
      </c>
      <c r="J328" s="125" t="s">
        <v>779</v>
      </c>
      <c r="K328" s="127">
        <v>4</v>
      </c>
      <c r="L328" s="123" t="str">
        <f t="shared" si="23"/>
        <v>AB_9_4</v>
      </c>
      <c r="M328" s="125" t="s">
        <v>1128</v>
      </c>
      <c r="N328" s="115" t="s">
        <v>88</v>
      </c>
      <c r="O328" s="115" t="s">
        <v>319</v>
      </c>
      <c r="P328" s="115">
        <v>100</v>
      </c>
      <c r="Q328" s="115">
        <v>500</v>
      </c>
      <c r="S328" s="115" t="s">
        <v>286</v>
      </c>
      <c r="T328" s="115">
        <v>4</v>
      </c>
      <c r="U328" s="115">
        <v>11.33</v>
      </c>
      <c r="V328" s="115">
        <v>11.46</v>
      </c>
      <c r="W328" s="118">
        <v>4</v>
      </c>
      <c r="X328" s="118">
        <v>12.01</v>
      </c>
      <c r="Y328" s="118">
        <v>1</v>
      </c>
      <c r="Z328" s="118">
        <v>1</v>
      </c>
      <c r="AA328" s="118">
        <v>1</v>
      </c>
      <c r="AB328" s="118">
        <v>1</v>
      </c>
      <c r="AC328" s="118">
        <v>1</v>
      </c>
      <c r="AD328" s="118">
        <v>1</v>
      </c>
      <c r="AE328" s="118">
        <v>1</v>
      </c>
      <c r="AF328" s="118">
        <v>1</v>
      </c>
      <c r="AG328" s="118">
        <v>1</v>
      </c>
      <c r="AH328" s="118">
        <v>1</v>
      </c>
      <c r="AI328" s="118">
        <v>1</v>
      </c>
      <c r="AJ328" s="118">
        <v>1</v>
      </c>
      <c r="AK328" s="118">
        <v>1</v>
      </c>
      <c r="AL328" s="118">
        <v>1</v>
      </c>
      <c r="AM328" s="118">
        <v>0</v>
      </c>
      <c r="AN328" s="118">
        <v>0</v>
      </c>
      <c r="AO328" s="118">
        <v>0</v>
      </c>
      <c r="AP328" s="118">
        <v>0</v>
      </c>
      <c r="AQ328" s="118">
        <v>0</v>
      </c>
      <c r="AR328" s="118">
        <v>0</v>
      </c>
      <c r="AS328" s="118">
        <v>0</v>
      </c>
      <c r="AT328" s="118">
        <v>0</v>
      </c>
      <c r="AU328" s="118">
        <f t="shared" si="25"/>
        <v>0</v>
      </c>
    </row>
    <row r="329" spans="1:50">
      <c r="A329" s="115">
        <v>21</v>
      </c>
      <c r="B329" s="116">
        <v>45968</v>
      </c>
      <c r="G329" s="115" t="s">
        <v>318</v>
      </c>
      <c r="H329" s="115">
        <v>9</v>
      </c>
      <c r="I329" s="117" t="str">
        <f t="shared" si="24"/>
        <v>AB_9</v>
      </c>
      <c r="J329" s="125" t="s">
        <v>779</v>
      </c>
      <c r="K329" s="127">
        <v>5</v>
      </c>
      <c r="L329" s="123" t="str">
        <f t="shared" si="23"/>
        <v>AB_9_5</v>
      </c>
      <c r="M329" s="125" t="s">
        <v>1129</v>
      </c>
      <c r="N329" s="115" t="s">
        <v>88</v>
      </c>
      <c r="O329" s="115" t="s">
        <v>319</v>
      </c>
      <c r="P329" s="115">
        <v>100</v>
      </c>
      <c r="Q329" s="115">
        <v>500</v>
      </c>
      <c r="S329" s="115" t="s">
        <v>287</v>
      </c>
      <c r="T329" s="115">
        <v>4</v>
      </c>
      <c r="U329" s="115">
        <v>11.54</v>
      </c>
      <c r="V329" s="115">
        <v>12.01</v>
      </c>
      <c r="W329" s="118">
        <v>4</v>
      </c>
      <c r="X329" s="118">
        <v>12.25</v>
      </c>
      <c r="Y329" s="118">
        <v>2</v>
      </c>
      <c r="Z329" s="118">
        <v>2</v>
      </c>
      <c r="AA329" s="118">
        <v>2</v>
      </c>
      <c r="AB329" s="118">
        <v>2</v>
      </c>
      <c r="AC329" s="118">
        <v>2</v>
      </c>
      <c r="AD329" s="118">
        <v>2</v>
      </c>
      <c r="AE329" s="118">
        <v>2</v>
      </c>
      <c r="AF329" s="118">
        <v>2</v>
      </c>
      <c r="AG329" s="118">
        <v>2</v>
      </c>
      <c r="AH329" s="118">
        <v>2</v>
      </c>
      <c r="AI329" s="118">
        <v>2</v>
      </c>
      <c r="AJ329" s="118">
        <v>2</v>
      </c>
      <c r="AK329" s="118">
        <v>2</v>
      </c>
      <c r="AL329" s="118">
        <v>1</v>
      </c>
      <c r="AM329" s="118">
        <v>1</v>
      </c>
      <c r="AN329" s="118">
        <v>0</v>
      </c>
      <c r="AO329" s="118">
        <v>0</v>
      </c>
      <c r="AP329" s="118">
        <v>0</v>
      </c>
      <c r="AQ329" s="118">
        <v>0</v>
      </c>
      <c r="AR329" s="118">
        <v>0</v>
      </c>
      <c r="AS329" s="118">
        <v>0</v>
      </c>
      <c r="AT329" s="118">
        <v>0</v>
      </c>
      <c r="AU329" s="118">
        <f t="shared" si="25"/>
        <v>0</v>
      </c>
    </row>
    <row r="330" spans="1:50">
      <c r="A330" s="115">
        <v>21</v>
      </c>
      <c r="B330" s="116">
        <v>45968</v>
      </c>
      <c r="G330" s="115" t="s">
        <v>318</v>
      </c>
      <c r="H330" s="115">
        <v>9</v>
      </c>
      <c r="I330" s="117" t="str">
        <f t="shared" si="24"/>
        <v>AB_9</v>
      </c>
      <c r="J330" s="125" t="s">
        <v>779</v>
      </c>
      <c r="K330" s="127">
        <v>6</v>
      </c>
      <c r="L330" s="123" t="str">
        <f t="shared" si="23"/>
        <v>AB_9_6</v>
      </c>
      <c r="M330" s="125" t="s">
        <v>1130</v>
      </c>
      <c r="N330" s="115" t="s">
        <v>88</v>
      </c>
      <c r="O330" s="115" t="s">
        <v>319</v>
      </c>
      <c r="P330" s="115">
        <v>100</v>
      </c>
      <c r="Q330" s="115">
        <v>500</v>
      </c>
      <c r="R330" s="115">
        <v>80</v>
      </c>
      <c r="S330" s="115" t="s">
        <v>269</v>
      </c>
      <c r="T330" s="115">
        <v>4</v>
      </c>
      <c r="U330" s="115">
        <v>10.17</v>
      </c>
      <c r="V330" s="115">
        <v>10.35</v>
      </c>
      <c r="W330" s="118">
        <v>4</v>
      </c>
      <c r="X330" s="118">
        <v>10.51</v>
      </c>
      <c r="Y330" s="118">
        <v>3</v>
      </c>
      <c r="Z330" s="118">
        <v>3</v>
      </c>
      <c r="AA330" s="118">
        <v>3</v>
      </c>
      <c r="AB330" s="118">
        <v>3</v>
      </c>
      <c r="AC330" s="118">
        <v>3</v>
      </c>
      <c r="AD330" s="118">
        <v>3</v>
      </c>
      <c r="AE330" s="118">
        <v>3</v>
      </c>
      <c r="AF330" s="118">
        <v>3</v>
      </c>
      <c r="AG330" s="118">
        <v>3</v>
      </c>
      <c r="AH330" s="118">
        <v>3</v>
      </c>
      <c r="AI330" s="118">
        <v>3</v>
      </c>
      <c r="AJ330" s="118">
        <v>3</v>
      </c>
      <c r="AK330" s="118">
        <v>3</v>
      </c>
      <c r="AL330" s="118">
        <v>2</v>
      </c>
      <c r="AM330" s="118">
        <v>2</v>
      </c>
      <c r="AN330" s="118">
        <v>2</v>
      </c>
      <c r="AO330" s="118">
        <v>2</v>
      </c>
      <c r="AP330" s="118">
        <v>1</v>
      </c>
      <c r="AQ330" s="118">
        <v>1</v>
      </c>
      <c r="AR330" s="118">
        <v>1</v>
      </c>
      <c r="AS330" s="118">
        <v>0</v>
      </c>
      <c r="AT330" s="118"/>
      <c r="AU330" s="118">
        <f t="shared" si="25"/>
        <v>0</v>
      </c>
      <c r="AX330" s="114" t="s">
        <v>67</v>
      </c>
    </row>
    <row r="331" spans="1:50">
      <c r="A331" s="115">
        <v>21</v>
      </c>
      <c r="B331" s="116">
        <v>45968</v>
      </c>
      <c r="G331" s="115" t="s">
        <v>318</v>
      </c>
      <c r="H331" s="115">
        <v>9</v>
      </c>
      <c r="I331" s="117" t="str">
        <f t="shared" si="24"/>
        <v>AB_9</v>
      </c>
      <c r="J331" s="125" t="s">
        <v>779</v>
      </c>
      <c r="K331" s="127">
        <v>7</v>
      </c>
      <c r="L331" s="123" t="str">
        <f t="shared" si="23"/>
        <v>AB_9_7</v>
      </c>
      <c r="M331" s="125" t="s">
        <v>1131</v>
      </c>
      <c r="N331" s="115" t="s">
        <v>88</v>
      </c>
      <c r="O331" s="115" t="s">
        <v>319</v>
      </c>
      <c r="P331" s="115">
        <v>100</v>
      </c>
      <c r="Q331" s="115">
        <v>500</v>
      </c>
      <c r="S331" s="115" t="s">
        <v>270</v>
      </c>
      <c r="T331" s="115">
        <v>5</v>
      </c>
      <c r="U331" s="115">
        <v>10.51</v>
      </c>
      <c r="V331" s="115">
        <v>11.05</v>
      </c>
      <c r="W331" s="118">
        <v>5</v>
      </c>
      <c r="X331" s="118">
        <v>11.21</v>
      </c>
      <c r="Y331" s="118">
        <v>2</v>
      </c>
      <c r="Z331" s="118">
        <v>2</v>
      </c>
      <c r="AA331" s="118">
        <v>2</v>
      </c>
      <c r="AB331" s="118">
        <v>2</v>
      </c>
      <c r="AC331" s="118">
        <v>2</v>
      </c>
      <c r="AD331" s="118">
        <v>2</v>
      </c>
      <c r="AE331" s="118">
        <v>2</v>
      </c>
      <c r="AF331" s="118">
        <v>2</v>
      </c>
      <c r="AG331" s="118">
        <v>2</v>
      </c>
      <c r="AH331" s="118">
        <v>2</v>
      </c>
      <c r="AI331" s="118">
        <v>2</v>
      </c>
      <c r="AJ331" s="118">
        <v>2</v>
      </c>
      <c r="AK331" s="118">
        <v>2</v>
      </c>
      <c r="AL331" s="118">
        <v>2</v>
      </c>
      <c r="AM331" s="118">
        <v>2</v>
      </c>
      <c r="AN331" s="118">
        <v>1</v>
      </c>
      <c r="AO331" s="118">
        <v>1</v>
      </c>
      <c r="AP331" s="118">
        <v>1</v>
      </c>
      <c r="AQ331" s="118">
        <v>1</v>
      </c>
      <c r="AR331" s="118">
        <v>1</v>
      </c>
      <c r="AS331" s="118">
        <v>1</v>
      </c>
      <c r="AT331" s="118">
        <v>1</v>
      </c>
      <c r="AU331" s="118">
        <f t="shared" si="25"/>
        <v>1</v>
      </c>
      <c r="AV331" s="115" t="s">
        <v>244</v>
      </c>
      <c r="AW331" s="115" t="s">
        <v>321</v>
      </c>
    </row>
    <row r="332" spans="1:50">
      <c r="A332" s="115">
        <v>21</v>
      </c>
      <c r="B332" s="116">
        <v>45968</v>
      </c>
      <c r="G332" s="115" t="s">
        <v>318</v>
      </c>
      <c r="H332" s="115">
        <v>9</v>
      </c>
      <c r="I332" s="117" t="str">
        <f t="shared" si="24"/>
        <v>AB_9</v>
      </c>
      <c r="J332" s="125" t="s">
        <v>779</v>
      </c>
      <c r="K332" s="127">
        <v>8</v>
      </c>
      <c r="L332" s="123" t="str">
        <f t="shared" si="23"/>
        <v>AB_9_8</v>
      </c>
      <c r="M332" s="125" t="s">
        <v>1132</v>
      </c>
      <c r="N332" s="115" t="s">
        <v>88</v>
      </c>
      <c r="O332" s="115" t="s">
        <v>319</v>
      </c>
      <c r="P332" s="115">
        <v>100</v>
      </c>
      <c r="Q332" s="115">
        <v>500</v>
      </c>
      <c r="S332" s="115" t="s">
        <v>271</v>
      </c>
      <c r="T332" s="115">
        <v>4</v>
      </c>
      <c r="U332" s="115">
        <v>11.15</v>
      </c>
      <c r="V332" s="115">
        <v>11.3</v>
      </c>
      <c r="W332" s="118">
        <v>4</v>
      </c>
      <c r="X332" s="118">
        <v>11.44</v>
      </c>
      <c r="Y332" s="118">
        <v>3</v>
      </c>
      <c r="Z332" s="118">
        <v>3</v>
      </c>
      <c r="AA332" s="118">
        <v>3</v>
      </c>
      <c r="AB332" s="118">
        <v>3</v>
      </c>
      <c r="AC332" s="118">
        <v>3</v>
      </c>
      <c r="AD332" s="118">
        <v>3</v>
      </c>
      <c r="AE332" s="118">
        <v>3</v>
      </c>
      <c r="AF332" s="118">
        <v>3</v>
      </c>
      <c r="AG332" s="118">
        <v>3</v>
      </c>
      <c r="AH332" s="118">
        <v>3</v>
      </c>
      <c r="AI332" s="118">
        <v>3</v>
      </c>
      <c r="AJ332" s="118">
        <v>3</v>
      </c>
      <c r="AK332" s="118">
        <v>2</v>
      </c>
      <c r="AL332" s="118">
        <v>2</v>
      </c>
      <c r="AM332" s="118">
        <v>2</v>
      </c>
      <c r="AN332" s="118">
        <v>2</v>
      </c>
      <c r="AO332" s="118">
        <v>2</v>
      </c>
      <c r="AP332" s="118">
        <v>2</v>
      </c>
      <c r="AQ332" s="118">
        <v>0</v>
      </c>
      <c r="AR332" s="118">
        <v>0</v>
      </c>
      <c r="AS332" s="118">
        <v>0</v>
      </c>
      <c r="AT332" s="118">
        <v>0</v>
      </c>
      <c r="AU332" s="118">
        <f t="shared" si="25"/>
        <v>0</v>
      </c>
    </row>
    <row r="333" spans="1:50">
      <c r="A333" s="115">
        <v>21</v>
      </c>
      <c r="B333" s="116">
        <v>45968</v>
      </c>
      <c r="G333" s="115" t="s">
        <v>318</v>
      </c>
      <c r="H333" s="115">
        <v>9</v>
      </c>
      <c r="I333" s="117" t="str">
        <f t="shared" si="24"/>
        <v>AB_9</v>
      </c>
      <c r="J333" s="125" t="s">
        <v>779</v>
      </c>
      <c r="K333" s="127">
        <v>9</v>
      </c>
      <c r="L333" s="123" t="str">
        <f t="shared" si="23"/>
        <v>AB_9_9</v>
      </c>
      <c r="M333" s="125" t="s">
        <v>1133</v>
      </c>
      <c r="N333" s="115" t="s">
        <v>88</v>
      </c>
      <c r="O333" s="115" t="s">
        <v>319</v>
      </c>
      <c r="P333" s="115">
        <v>100</v>
      </c>
      <c r="Q333" s="115">
        <v>500</v>
      </c>
      <c r="S333" s="115" t="s">
        <v>272</v>
      </c>
      <c r="T333" s="115">
        <v>4</v>
      </c>
      <c r="U333" s="115">
        <v>11.33</v>
      </c>
      <c r="V333" s="115">
        <v>11.46</v>
      </c>
      <c r="W333" s="118">
        <v>4</v>
      </c>
      <c r="X333" s="118">
        <v>12.02</v>
      </c>
      <c r="Y333" s="118">
        <v>2</v>
      </c>
      <c r="Z333" s="118">
        <v>2</v>
      </c>
      <c r="AA333" s="118">
        <v>2</v>
      </c>
      <c r="AB333" s="118">
        <v>2</v>
      </c>
      <c r="AC333" s="118">
        <v>2</v>
      </c>
      <c r="AD333" s="118">
        <v>2</v>
      </c>
      <c r="AE333" s="118">
        <v>2</v>
      </c>
      <c r="AF333" s="118">
        <v>2</v>
      </c>
      <c r="AG333" s="118">
        <v>2</v>
      </c>
      <c r="AH333" s="118">
        <v>2</v>
      </c>
      <c r="AI333" s="118">
        <v>2</v>
      </c>
      <c r="AJ333" s="118">
        <v>2</v>
      </c>
      <c r="AK333" s="118">
        <v>2</v>
      </c>
      <c r="AL333" s="118">
        <v>1</v>
      </c>
      <c r="AM333" s="118">
        <v>1</v>
      </c>
      <c r="AN333" s="118">
        <v>1</v>
      </c>
      <c r="AO333" s="118">
        <v>1</v>
      </c>
      <c r="AP333" s="118">
        <v>0</v>
      </c>
      <c r="AQ333" s="118">
        <v>0</v>
      </c>
      <c r="AR333" s="118">
        <v>0</v>
      </c>
      <c r="AS333" s="118">
        <v>0</v>
      </c>
      <c r="AT333" s="118">
        <v>0</v>
      </c>
      <c r="AU333" s="118">
        <f t="shared" si="25"/>
        <v>0</v>
      </c>
    </row>
    <row r="334" spans="1:50">
      <c r="A334" s="115">
        <v>21</v>
      </c>
      <c r="B334" s="116">
        <v>45968</v>
      </c>
      <c r="G334" s="115" t="s">
        <v>318</v>
      </c>
      <c r="H334" s="115">
        <v>9</v>
      </c>
      <c r="I334" s="117" t="str">
        <f t="shared" si="24"/>
        <v>AB_9</v>
      </c>
      <c r="J334" s="125" t="s">
        <v>779</v>
      </c>
      <c r="K334" s="127">
        <v>10</v>
      </c>
      <c r="L334" s="123" t="str">
        <f t="shared" si="23"/>
        <v>AB_9_10</v>
      </c>
      <c r="M334" s="125" t="s">
        <v>1134</v>
      </c>
      <c r="N334" s="115" t="s">
        <v>88</v>
      </c>
      <c r="O334" s="115" t="s">
        <v>319</v>
      </c>
      <c r="P334" s="115">
        <v>100</v>
      </c>
      <c r="Q334" s="115">
        <v>500</v>
      </c>
      <c r="S334" s="115" t="s">
        <v>273</v>
      </c>
      <c r="T334" s="115">
        <v>3</v>
      </c>
      <c r="U334" s="115">
        <v>11.48</v>
      </c>
      <c r="V334" s="115">
        <v>11.58</v>
      </c>
      <c r="W334" s="118">
        <v>3</v>
      </c>
      <c r="X334" s="118">
        <v>12.14</v>
      </c>
      <c r="Y334" s="118">
        <v>1</v>
      </c>
      <c r="Z334" s="118">
        <v>1</v>
      </c>
      <c r="AA334" s="118">
        <v>1</v>
      </c>
      <c r="AB334" s="118">
        <v>1</v>
      </c>
      <c r="AC334" s="118">
        <v>1</v>
      </c>
      <c r="AD334" s="118">
        <v>1</v>
      </c>
      <c r="AE334" s="118">
        <v>1</v>
      </c>
      <c r="AF334" s="118">
        <v>1</v>
      </c>
      <c r="AG334" s="118">
        <v>1</v>
      </c>
      <c r="AH334" s="118">
        <v>1</v>
      </c>
      <c r="AI334" s="118">
        <v>1</v>
      </c>
      <c r="AJ334" s="118">
        <v>1</v>
      </c>
      <c r="AK334" s="118">
        <v>1</v>
      </c>
      <c r="AL334" s="118">
        <v>1</v>
      </c>
      <c r="AM334" s="118">
        <v>1</v>
      </c>
      <c r="AN334" s="118">
        <v>1</v>
      </c>
      <c r="AO334" s="118">
        <v>1</v>
      </c>
      <c r="AP334" s="118">
        <v>1</v>
      </c>
      <c r="AQ334" s="118">
        <v>1</v>
      </c>
      <c r="AR334" s="118">
        <v>1</v>
      </c>
      <c r="AS334" s="118">
        <v>1</v>
      </c>
      <c r="AT334" s="118">
        <v>1</v>
      </c>
      <c r="AU334" s="118">
        <f t="shared" si="25"/>
        <v>1</v>
      </c>
      <c r="AV334" s="115" t="s">
        <v>244</v>
      </c>
      <c r="AW334" s="115" t="s">
        <v>322</v>
      </c>
    </row>
    <row r="335" spans="1:50">
      <c r="A335" s="115">
        <v>21</v>
      </c>
      <c r="B335" s="116">
        <v>45968</v>
      </c>
      <c r="G335" s="115" t="s">
        <v>318</v>
      </c>
      <c r="H335" s="115">
        <v>9</v>
      </c>
      <c r="I335" s="117" t="str">
        <f t="shared" si="24"/>
        <v>AB_9</v>
      </c>
      <c r="J335" s="125" t="s">
        <v>779</v>
      </c>
      <c r="K335" s="127">
        <v>11</v>
      </c>
      <c r="L335" s="123" t="str">
        <f t="shared" si="23"/>
        <v>AB_9_11</v>
      </c>
      <c r="M335" s="125" t="s">
        <v>1135</v>
      </c>
      <c r="N335" s="115" t="s">
        <v>88</v>
      </c>
      <c r="O335" s="115" t="s">
        <v>319</v>
      </c>
      <c r="P335" s="115">
        <v>100</v>
      </c>
      <c r="Q335" s="115">
        <v>500</v>
      </c>
      <c r="S335" s="115" t="s">
        <v>274</v>
      </c>
      <c r="T335" s="115">
        <v>3</v>
      </c>
      <c r="U335" s="115">
        <v>12</v>
      </c>
      <c r="V335" s="115">
        <v>12.1</v>
      </c>
      <c r="W335" s="118">
        <v>3</v>
      </c>
      <c r="X335" s="118">
        <v>12.26</v>
      </c>
      <c r="Y335" s="118">
        <v>1</v>
      </c>
      <c r="Z335" s="118">
        <v>1</v>
      </c>
      <c r="AA335" s="118">
        <v>1</v>
      </c>
      <c r="AB335" s="118">
        <v>1</v>
      </c>
      <c r="AC335" s="118">
        <v>1</v>
      </c>
      <c r="AD335" s="118">
        <v>1</v>
      </c>
      <c r="AE335" s="118">
        <v>1</v>
      </c>
      <c r="AF335" s="118">
        <v>1</v>
      </c>
      <c r="AG335" s="118">
        <v>1</v>
      </c>
      <c r="AH335" s="118">
        <v>1</v>
      </c>
      <c r="AI335" s="118">
        <v>1</v>
      </c>
      <c r="AJ335" s="118">
        <v>1</v>
      </c>
      <c r="AK335" s="118">
        <v>1</v>
      </c>
      <c r="AL335" s="118">
        <v>1</v>
      </c>
      <c r="AM335" s="118">
        <v>1</v>
      </c>
      <c r="AN335" s="118">
        <v>1</v>
      </c>
      <c r="AO335" s="118">
        <v>1</v>
      </c>
      <c r="AP335" s="118">
        <v>1</v>
      </c>
      <c r="AQ335" s="118">
        <v>0</v>
      </c>
      <c r="AR335" s="118">
        <v>0</v>
      </c>
      <c r="AS335" s="118">
        <v>0</v>
      </c>
      <c r="AT335" s="118">
        <v>0</v>
      </c>
      <c r="AU335" s="118">
        <f t="shared" si="25"/>
        <v>0</v>
      </c>
    </row>
    <row r="336" spans="1:50">
      <c r="A336" s="114">
        <v>22</v>
      </c>
      <c r="B336" s="116">
        <v>45971</v>
      </c>
      <c r="C336" s="115" t="s">
        <v>251</v>
      </c>
      <c r="D336" s="115" t="s">
        <v>323</v>
      </c>
      <c r="F336" s="115" t="s">
        <v>317</v>
      </c>
      <c r="H336" s="115">
        <v>7</v>
      </c>
      <c r="I336" s="117" t="str">
        <f t="shared" ref="I336:I350" si="26">_xlfn.CONCAT(N336 &amp; "_" &amp; H336)</f>
        <v>TU_7</v>
      </c>
      <c r="J336" s="117" t="s">
        <v>797</v>
      </c>
      <c r="K336" s="118">
        <v>1</v>
      </c>
      <c r="L336" s="123" t="str">
        <f t="shared" si="23"/>
        <v>TU_7_1</v>
      </c>
      <c r="M336" s="117" t="s">
        <v>1136</v>
      </c>
      <c r="N336" s="115" t="s">
        <v>50</v>
      </c>
      <c r="O336" s="115" t="s">
        <v>324</v>
      </c>
      <c r="P336" s="115">
        <v>100</v>
      </c>
      <c r="Q336" s="115">
        <v>500</v>
      </c>
      <c r="S336" s="115" t="s">
        <v>282</v>
      </c>
      <c r="T336" s="115">
        <v>4</v>
      </c>
      <c r="U336" s="115">
        <v>10.42</v>
      </c>
      <c r="V336" s="115">
        <v>10.58</v>
      </c>
      <c r="W336" s="118">
        <v>4</v>
      </c>
      <c r="X336" s="118">
        <v>11.13</v>
      </c>
      <c r="Y336" s="118">
        <v>4</v>
      </c>
      <c r="Z336" s="118">
        <v>4</v>
      </c>
      <c r="AA336" s="118">
        <v>4</v>
      </c>
      <c r="AB336" s="118">
        <v>4</v>
      </c>
      <c r="AC336" s="118">
        <v>4</v>
      </c>
      <c r="AD336" s="118">
        <v>4</v>
      </c>
      <c r="AE336" s="118">
        <v>4</v>
      </c>
      <c r="AF336" s="118">
        <v>4</v>
      </c>
      <c r="AG336" s="118">
        <v>4</v>
      </c>
      <c r="AH336" s="118">
        <v>4</v>
      </c>
      <c r="AI336" s="118">
        <v>4</v>
      </c>
      <c r="AJ336" s="118">
        <v>4</v>
      </c>
      <c r="AK336" s="118">
        <v>4</v>
      </c>
      <c r="AL336" s="118">
        <v>2</v>
      </c>
      <c r="AM336" s="118">
        <v>0</v>
      </c>
      <c r="AN336" s="118">
        <v>0</v>
      </c>
      <c r="AO336" s="118">
        <v>0</v>
      </c>
      <c r="AP336" s="118">
        <v>0</v>
      </c>
      <c r="AQ336" s="118">
        <v>0</v>
      </c>
      <c r="AR336" s="118">
        <v>0</v>
      </c>
      <c r="AS336" s="118">
        <v>0</v>
      </c>
      <c r="AT336" s="118">
        <v>0</v>
      </c>
      <c r="AU336" s="118">
        <f t="shared" si="25"/>
        <v>0</v>
      </c>
      <c r="AX336" s="114" t="s">
        <v>53</v>
      </c>
    </row>
    <row r="337" spans="1:50">
      <c r="A337" s="114">
        <v>22</v>
      </c>
      <c r="B337" s="116">
        <v>45971</v>
      </c>
      <c r="D337" s="115" t="s">
        <v>325</v>
      </c>
      <c r="H337" s="115">
        <v>7</v>
      </c>
      <c r="I337" s="117" t="str">
        <f t="shared" si="26"/>
        <v>TU_7</v>
      </c>
      <c r="J337" s="117" t="s">
        <v>797</v>
      </c>
      <c r="K337" s="118">
        <v>2</v>
      </c>
      <c r="L337" s="123" t="str">
        <f t="shared" si="23"/>
        <v>TU_7_2</v>
      </c>
      <c r="M337" s="117" t="s">
        <v>1137</v>
      </c>
      <c r="N337" s="115" t="s">
        <v>50</v>
      </c>
      <c r="O337" s="115" t="s">
        <v>324</v>
      </c>
      <c r="P337" s="115">
        <v>100</v>
      </c>
      <c r="Q337" s="115">
        <v>500</v>
      </c>
      <c r="S337" s="115" t="s">
        <v>284</v>
      </c>
      <c r="T337" s="115">
        <v>4</v>
      </c>
      <c r="U337" s="115">
        <v>10.59</v>
      </c>
      <c r="V337" s="115">
        <v>11.14</v>
      </c>
      <c r="W337" s="118">
        <v>4</v>
      </c>
      <c r="X337" s="118">
        <v>11.28</v>
      </c>
      <c r="Y337" s="118">
        <v>2</v>
      </c>
      <c r="Z337" s="118">
        <v>2</v>
      </c>
      <c r="AA337" s="118">
        <v>2</v>
      </c>
      <c r="AB337" s="118">
        <v>2</v>
      </c>
      <c r="AC337" s="118">
        <v>2</v>
      </c>
      <c r="AD337" s="118">
        <v>2</v>
      </c>
      <c r="AE337" s="118">
        <v>2</v>
      </c>
      <c r="AF337" s="118">
        <v>2</v>
      </c>
      <c r="AG337" s="118">
        <v>2</v>
      </c>
      <c r="AH337" s="118">
        <v>2</v>
      </c>
      <c r="AI337" s="118">
        <v>2</v>
      </c>
      <c r="AJ337" s="118">
        <v>2</v>
      </c>
      <c r="AK337" s="118">
        <v>2</v>
      </c>
      <c r="AL337" s="118">
        <v>1</v>
      </c>
      <c r="AM337" s="118">
        <v>0</v>
      </c>
      <c r="AN337" s="118">
        <v>0</v>
      </c>
      <c r="AO337" s="118">
        <v>0</v>
      </c>
      <c r="AP337" s="118">
        <v>0</v>
      </c>
      <c r="AQ337" s="118">
        <v>0</v>
      </c>
      <c r="AR337" s="118">
        <v>0</v>
      </c>
      <c r="AS337" s="118">
        <v>0</v>
      </c>
      <c r="AT337" s="118">
        <v>0</v>
      </c>
      <c r="AU337" s="118">
        <f t="shared" si="25"/>
        <v>0</v>
      </c>
    </row>
    <row r="338" spans="1:50">
      <c r="A338" s="114">
        <v>22</v>
      </c>
      <c r="B338" s="116">
        <v>45971</v>
      </c>
      <c r="H338" s="115">
        <v>7</v>
      </c>
      <c r="I338" s="117" t="str">
        <f t="shared" si="26"/>
        <v>TU_7</v>
      </c>
      <c r="J338" s="117" t="s">
        <v>797</v>
      </c>
      <c r="K338" s="118">
        <v>3</v>
      </c>
      <c r="L338" s="123" t="str">
        <f t="shared" si="23"/>
        <v>TU_7_3</v>
      </c>
      <c r="M338" s="117" t="s">
        <v>1138</v>
      </c>
      <c r="N338" s="115" t="s">
        <v>50</v>
      </c>
      <c r="O338" s="115" t="s">
        <v>324</v>
      </c>
      <c r="P338" s="115">
        <v>100</v>
      </c>
      <c r="Q338" s="115">
        <v>500</v>
      </c>
      <c r="S338" s="115" t="s">
        <v>285</v>
      </c>
      <c r="T338" s="115">
        <v>4</v>
      </c>
      <c r="U338" s="115">
        <v>11.15</v>
      </c>
      <c r="V338" s="115">
        <v>11.33</v>
      </c>
      <c r="W338" s="118">
        <v>4</v>
      </c>
      <c r="X338" s="118">
        <v>11.47</v>
      </c>
      <c r="Y338" s="118">
        <v>2</v>
      </c>
      <c r="Z338" s="118">
        <v>2</v>
      </c>
      <c r="AA338" s="118">
        <v>2</v>
      </c>
      <c r="AB338" s="118">
        <v>2</v>
      </c>
      <c r="AC338" s="118">
        <v>2</v>
      </c>
      <c r="AD338" s="118">
        <v>2</v>
      </c>
      <c r="AE338" s="118">
        <v>2</v>
      </c>
      <c r="AF338" s="118">
        <v>2</v>
      </c>
      <c r="AG338" s="118">
        <v>2</v>
      </c>
      <c r="AH338" s="118">
        <v>2</v>
      </c>
      <c r="AI338" s="118">
        <v>2</v>
      </c>
      <c r="AJ338" s="118">
        <v>0</v>
      </c>
      <c r="AK338" s="118">
        <v>0</v>
      </c>
      <c r="AL338" s="118">
        <v>0</v>
      </c>
      <c r="AM338" s="118">
        <v>0</v>
      </c>
      <c r="AN338" s="118">
        <v>0</v>
      </c>
      <c r="AO338" s="118">
        <v>0</v>
      </c>
      <c r="AP338" s="118">
        <v>0</v>
      </c>
      <c r="AQ338" s="118">
        <v>0</v>
      </c>
      <c r="AR338" s="118">
        <v>0</v>
      </c>
      <c r="AS338" s="118">
        <v>0</v>
      </c>
      <c r="AT338" s="118">
        <v>0</v>
      </c>
      <c r="AU338" s="118">
        <f t="shared" si="25"/>
        <v>0</v>
      </c>
    </row>
    <row r="339" spans="1:50">
      <c r="A339" s="114">
        <v>22</v>
      </c>
      <c r="B339" s="116">
        <v>45971</v>
      </c>
      <c r="H339" s="115">
        <v>7</v>
      </c>
      <c r="I339" s="117" t="str">
        <f t="shared" si="26"/>
        <v>TU_7</v>
      </c>
      <c r="J339" s="117" t="s">
        <v>797</v>
      </c>
      <c r="K339" s="118">
        <v>4</v>
      </c>
      <c r="L339" s="123" t="str">
        <f t="shared" si="23"/>
        <v>TU_7_4</v>
      </c>
      <c r="M339" s="117" t="s">
        <v>1139</v>
      </c>
      <c r="N339" s="115" t="s">
        <v>50</v>
      </c>
      <c r="O339" s="115" t="s">
        <v>324</v>
      </c>
      <c r="P339" s="115">
        <v>100</v>
      </c>
      <c r="Q339" s="115">
        <v>500</v>
      </c>
      <c r="S339" s="115" t="s">
        <v>286</v>
      </c>
      <c r="T339" s="115">
        <v>1</v>
      </c>
      <c r="U339" s="115">
        <v>11.34</v>
      </c>
      <c r="V339" s="115">
        <v>11.51</v>
      </c>
      <c r="W339" s="118">
        <v>1</v>
      </c>
      <c r="X339" s="118">
        <v>12.06</v>
      </c>
      <c r="Y339" s="118">
        <v>0</v>
      </c>
      <c r="Z339" s="118">
        <v>0</v>
      </c>
      <c r="AA339" s="118">
        <v>0</v>
      </c>
      <c r="AB339" s="118">
        <v>0</v>
      </c>
      <c r="AC339" s="118">
        <v>0</v>
      </c>
      <c r="AD339" s="118">
        <v>0</v>
      </c>
      <c r="AE339" s="118">
        <v>0</v>
      </c>
      <c r="AF339" s="118">
        <v>0</v>
      </c>
      <c r="AG339" s="118">
        <v>0</v>
      </c>
      <c r="AH339" s="118">
        <v>0</v>
      </c>
      <c r="AI339" s="118">
        <v>0</v>
      </c>
      <c r="AJ339" s="118">
        <v>0</v>
      </c>
      <c r="AK339" s="118">
        <v>0</v>
      </c>
      <c r="AL339" s="118">
        <v>0</v>
      </c>
      <c r="AM339" s="118">
        <v>0</v>
      </c>
      <c r="AN339" s="118">
        <v>0</v>
      </c>
      <c r="AO339" s="118">
        <v>0</v>
      </c>
      <c r="AP339" s="118">
        <v>0</v>
      </c>
      <c r="AQ339" s="118">
        <v>0</v>
      </c>
      <c r="AR339" s="118">
        <v>0</v>
      </c>
      <c r="AS339" s="118">
        <v>0</v>
      </c>
      <c r="AT339" s="118">
        <v>0</v>
      </c>
      <c r="AU339" s="118">
        <f t="shared" si="25"/>
        <v>0</v>
      </c>
    </row>
    <row r="340" spans="1:50">
      <c r="A340" s="114">
        <v>22</v>
      </c>
      <c r="B340" s="116">
        <v>45971</v>
      </c>
      <c r="H340" s="115">
        <v>7</v>
      </c>
      <c r="I340" s="117" t="str">
        <f t="shared" si="26"/>
        <v>TU_7</v>
      </c>
      <c r="J340" s="117" t="s">
        <v>797</v>
      </c>
      <c r="K340" s="118">
        <v>5</v>
      </c>
      <c r="L340" s="123" t="str">
        <f t="shared" si="23"/>
        <v>TU_7_5</v>
      </c>
      <c r="M340" s="117" t="s">
        <v>1140</v>
      </c>
      <c r="N340" s="115" t="s">
        <v>50</v>
      </c>
      <c r="O340" s="115" t="s">
        <v>324</v>
      </c>
      <c r="P340" s="115">
        <v>100</v>
      </c>
      <c r="Q340" s="115">
        <v>500</v>
      </c>
      <c r="S340" s="115" t="s">
        <v>287</v>
      </c>
      <c r="T340" s="115">
        <v>2</v>
      </c>
      <c r="U340" s="115" t="s">
        <v>117</v>
      </c>
      <c r="V340" s="115">
        <v>12.05</v>
      </c>
      <c r="W340" s="118">
        <v>2</v>
      </c>
      <c r="X340" s="118">
        <v>12.19</v>
      </c>
      <c r="Y340" s="118">
        <v>2</v>
      </c>
      <c r="Z340" s="118">
        <v>2</v>
      </c>
      <c r="AA340" s="118">
        <v>0</v>
      </c>
      <c r="AB340" s="118">
        <v>0</v>
      </c>
      <c r="AC340" s="118">
        <v>0</v>
      </c>
      <c r="AD340" s="118">
        <v>0</v>
      </c>
      <c r="AE340" s="118">
        <v>0</v>
      </c>
      <c r="AF340" s="118">
        <v>0</v>
      </c>
      <c r="AG340" s="118">
        <v>0</v>
      </c>
      <c r="AH340" s="118">
        <v>0</v>
      </c>
      <c r="AI340" s="118">
        <v>0</v>
      </c>
      <c r="AJ340" s="118">
        <v>0</v>
      </c>
      <c r="AK340" s="118">
        <v>0</v>
      </c>
      <c r="AL340" s="118">
        <v>0</v>
      </c>
      <c r="AM340" s="118">
        <v>0</v>
      </c>
      <c r="AN340" s="118">
        <v>0</v>
      </c>
      <c r="AO340" s="118">
        <v>0</v>
      </c>
      <c r="AP340" s="118">
        <v>0</v>
      </c>
      <c r="AQ340" s="118">
        <v>0</v>
      </c>
      <c r="AR340" s="118">
        <v>0</v>
      </c>
      <c r="AS340" s="118">
        <v>0</v>
      </c>
      <c r="AT340" s="118">
        <v>0</v>
      </c>
      <c r="AU340" s="118">
        <f t="shared" si="25"/>
        <v>0</v>
      </c>
    </row>
    <row r="341" spans="1:50">
      <c r="A341" s="114">
        <v>22</v>
      </c>
      <c r="B341" s="116">
        <v>45971</v>
      </c>
      <c r="H341" s="115">
        <v>7</v>
      </c>
      <c r="I341" s="117" t="str">
        <f t="shared" si="26"/>
        <v>TU_7</v>
      </c>
      <c r="J341" s="117" t="s">
        <v>797</v>
      </c>
      <c r="K341" s="118">
        <v>6</v>
      </c>
      <c r="L341" s="123" t="str">
        <f t="shared" si="23"/>
        <v>TU_7_6</v>
      </c>
      <c r="M341" s="117" t="s">
        <v>1141</v>
      </c>
      <c r="N341" s="115" t="s">
        <v>50</v>
      </c>
      <c r="O341" s="115" t="s">
        <v>324</v>
      </c>
      <c r="P341" s="115">
        <v>100</v>
      </c>
      <c r="Q341" s="115">
        <v>500</v>
      </c>
      <c r="S341" s="115" t="s">
        <v>288</v>
      </c>
      <c r="T341" s="115">
        <v>4</v>
      </c>
      <c r="U341" s="115">
        <v>12.06</v>
      </c>
      <c r="V341" s="115">
        <v>12.23</v>
      </c>
      <c r="W341" s="118">
        <v>4</v>
      </c>
      <c r="X341" s="118">
        <v>12.37</v>
      </c>
      <c r="Y341" s="118">
        <v>2</v>
      </c>
      <c r="Z341" s="118">
        <v>2</v>
      </c>
      <c r="AA341" s="118">
        <v>2</v>
      </c>
      <c r="AB341" s="118">
        <v>2</v>
      </c>
      <c r="AC341" s="118">
        <v>1</v>
      </c>
      <c r="AD341" s="118">
        <v>1</v>
      </c>
      <c r="AE341" s="118">
        <v>1</v>
      </c>
      <c r="AF341" s="118">
        <v>1</v>
      </c>
      <c r="AG341" s="118">
        <v>1</v>
      </c>
      <c r="AH341" s="118">
        <v>1</v>
      </c>
      <c r="AI341" s="118">
        <v>0</v>
      </c>
      <c r="AJ341" s="118">
        <v>0</v>
      </c>
      <c r="AK341" s="118">
        <v>0</v>
      </c>
      <c r="AL341" s="118">
        <v>0</v>
      </c>
      <c r="AM341" s="118">
        <v>0</v>
      </c>
      <c r="AN341" s="118">
        <v>0</v>
      </c>
      <c r="AO341" s="118">
        <v>0</v>
      </c>
      <c r="AP341" s="118">
        <v>0</v>
      </c>
      <c r="AQ341" s="118">
        <v>0</v>
      </c>
      <c r="AR341" s="118">
        <v>0</v>
      </c>
      <c r="AS341" s="118">
        <v>0</v>
      </c>
      <c r="AT341" s="118">
        <v>0</v>
      </c>
      <c r="AU341" s="118">
        <f t="shared" si="25"/>
        <v>0</v>
      </c>
    </row>
    <row r="342" spans="1:50">
      <c r="A342" s="114">
        <v>22</v>
      </c>
      <c r="B342" s="116">
        <v>45971</v>
      </c>
      <c r="H342" s="115">
        <v>7</v>
      </c>
      <c r="I342" s="117" t="str">
        <f t="shared" si="26"/>
        <v>TU_7</v>
      </c>
      <c r="J342" s="117" t="s">
        <v>797</v>
      </c>
      <c r="K342" s="118">
        <v>7</v>
      </c>
      <c r="L342" s="123" t="str">
        <f t="shared" si="23"/>
        <v>TU_7_7</v>
      </c>
      <c r="M342" s="117" t="s">
        <v>1142</v>
      </c>
      <c r="N342" s="115" t="s">
        <v>50</v>
      </c>
      <c r="O342" s="115" t="s">
        <v>324</v>
      </c>
      <c r="P342" s="115">
        <v>100</v>
      </c>
      <c r="Q342" s="115">
        <v>500</v>
      </c>
      <c r="S342" s="115" t="s">
        <v>289</v>
      </c>
      <c r="T342" s="115">
        <v>4</v>
      </c>
      <c r="U342" s="115">
        <v>12.25</v>
      </c>
      <c r="V342" s="115">
        <v>12.39</v>
      </c>
      <c r="W342" s="118">
        <v>4</v>
      </c>
      <c r="X342" s="118">
        <v>12.49</v>
      </c>
      <c r="Y342" s="118">
        <v>3</v>
      </c>
      <c r="Z342" s="118">
        <v>3</v>
      </c>
      <c r="AA342" s="118">
        <v>2</v>
      </c>
      <c r="AB342" s="118">
        <v>2</v>
      </c>
      <c r="AC342" s="118">
        <v>2</v>
      </c>
      <c r="AD342" s="118">
        <v>2</v>
      </c>
      <c r="AE342" s="118">
        <v>2</v>
      </c>
      <c r="AF342" s="118">
        <v>2</v>
      </c>
      <c r="AG342" s="118">
        <v>2</v>
      </c>
      <c r="AH342" s="118">
        <v>1</v>
      </c>
      <c r="AI342" s="118">
        <v>0</v>
      </c>
      <c r="AJ342" s="118">
        <v>0</v>
      </c>
      <c r="AK342" s="118">
        <v>0</v>
      </c>
      <c r="AL342" s="118">
        <v>0</v>
      </c>
      <c r="AM342" s="118">
        <v>0</v>
      </c>
      <c r="AN342" s="118">
        <v>0</v>
      </c>
      <c r="AO342" s="118">
        <v>0</v>
      </c>
      <c r="AP342" s="118">
        <v>0</v>
      </c>
      <c r="AQ342" s="118">
        <v>0</v>
      </c>
      <c r="AR342" s="118">
        <v>0</v>
      </c>
      <c r="AS342" s="118">
        <v>0</v>
      </c>
      <c r="AT342" s="118">
        <v>0</v>
      </c>
      <c r="AU342" s="118">
        <f t="shared" si="25"/>
        <v>0</v>
      </c>
    </row>
    <row r="343" spans="1:50">
      <c r="A343" s="114">
        <v>22</v>
      </c>
      <c r="B343" s="116">
        <v>45971</v>
      </c>
      <c r="H343" s="115">
        <v>7</v>
      </c>
      <c r="I343" s="117" t="str">
        <f t="shared" si="26"/>
        <v>TU_7</v>
      </c>
      <c r="J343" s="117" t="s">
        <v>797</v>
      </c>
      <c r="K343" s="118">
        <v>8</v>
      </c>
      <c r="L343" s="123" t="str">
        <f t="shared" si="23"/>
        <v>TU_7_8</v>
      </c>
      <c r="M343" s="117" t="s">
        <v>1143</v>
      </c>
      <c r="N343" s="115" t="s">
        <v>50</v>
      </c>
      <c r="O343" s="115" t="s">
        <v>324</v>
      </c>
      <c r="P343" s="115">
        <v>100</v>
      </c>
      <c r="Q343" s="115">
        <v>500</v>
      </c>
      <c r="R343" s="115">
        <v>75</v>
      </c>
      <c r="S343" s="115" t="s">
        <v>269</v>
      </c>
      <c r="T343" s="115">
        <v>4</v>
      </c>
      <c r="U343" s="115">
        <v>10.37</v>
      </c>
      <c r="V343" s="115">
        <v>11.49</v>
      </c>
      <c r="W343" s="118">
        <v>4</v>
      </c>
      <c r="X343" s="118">
        <v>11.05</v>
      </c>
      <c r="Y343" s="118">
        <v>3</v>
      </c>
      <c r="Z343" s="118">
        <v>3</v>
      </c>
      <c r="AA343" s="118">
        <v>3</v>
      </c>
      <c r="AB343" s="118">
        <v>3</v>
      </c>
      <c r="AC343" s="118">
        <v>3</v>
      </c>
      <c r="AD343" s="118">
        <v>3</v>
      </c>
      <c r="AE343" s="118">
        <v>3</v>
      </c>
      <c r="AF343" s="118">
        <v>3</v>
      </c>
      <c r="AG343" s="118">
        <v>3</v>
      </c>
      <c r="AH343" s="118">
        <v>2</v>
      </c>
      <c r="AI343" s="118">
        <v>2</v>
      </c>
      <c r="AJ343" s="118">
        <v>2</v>
      </c>
      <c r="AK343" s="118">
        <v>2</v>
      </c>
      <c r="AL343" s="118">
        <v>2</v>
      </c>
      <c r="AM343" s="118">
        <v>2</v>
      </c>
      <c r="AN343" s="118">
        <v>0</v>
      </c>
      <c r="AO343" s="118">
        <v>0</v>
      </c>
      <c r="AP343" s="118">
        <v>0</v>
      </c>
      <c r="AQ343" s="118">
        <v>0</v>
      </c>
      <c r="AR343" s="118">
        <v>0</v>
      </c>
      <c r="AS343" s="118">
        <v>0</v>
      </c>
      <c r="AT343" s="118">
        <v>0</v>
      </c>
      <c r="AU343" s="118">
        <f t="shared" si="25"/>
        <v>0</v>
      </c>
      <c r="AX343" s="114" t="s">
        <v>67</v>
      </c>
    </row>
    <row r="344" spans="1:50">
      <c r="A344" s="114">
        <v>22</v>
      </c>
      <c r="B344" s="116">
        <v>45971</v>
      </c>
      <c r="H344" s="115">
        <v>7</v>
      </c>
      <c r="I344" s="117" t="str">
        <f t="shared" si="26"/>
        <v>TU_7</v>
      </c>
      <c r="J344" s="117" t="s">
        <v>797</v>
      </c>
      <c r="K344" s="118">
        <v>9</v>
      </c>
      <c r="L344" s="123" t="str">
        <f t="shared" ref="L344:L407" si="27">_xlfn.CONCAT(J344 &amp; "_" &amp; K344)</f>
        <v>TU_7_9</v>
      </c>
      <c r="M344" s="117" t="s">
        <v>1144</v>
      </c>
      <c r="N344" s="115" t="s">
        <v>50</v>
      </c>
      <c r="O344" s="115" t="s">
        <v>324</v>
      </c>
      <c r="P344" s="115">
        <v>100</v>
      </c>
      <c r="Q344" s="115">
        <v>500</v>
      </c>
      <c r="S344" s="115" t="s">
        <v>270</v>
      </c>
      <c r="T344" s="115">
        <v>4</v>
      </c>
      <c r="U344" s="115">
        <v>10.52</v>
      </c>
      <c r="V344" s="115">
        <v>11.05</v>
      </c>
      <c r="W344" s="118">
        <v>4</v>
      </c>
      <c r="X344" s="118">
        <v>11.23</v>
      </c>
      <c r="Y344" s="118">
        <v>2</v>
      </c>
      <c r="Z344" s="118">
        <v>2</v>
      </c>
      <c r="AA344" s="118">
        <v>2</v>
      </c>
      <c r="AB344" s="118">
        <v>2</v>
      </c>
      <c r="AC344" s="118">
        <v>2</v>
      </c>
      <c r="AD344" s="118">
        <v>2</v>
      </c>
      <c r="AE344" s="118">
        <v>2</v>
      </c>
      <c r="AF344" s="118">
        <v>2</v>
      </c>
      <c r="AG344" s="118">
        <v>2</v>
      </c>
      <c r="AH344" s="118">
        <v>2</v>
      </c>
      <c r="AI344" s="118">
        <v>2</v>
      </c>
      <c r="AJ344" s="118">
        <v>2</v>
      </c>
      <c r="AK344" s="118">
        <v>2</v>
      </c>
      <c r="AL344" s="118">
        <v>2</v>
      </c>
      <c r="AM344" s="118">
        <v>1</v>
      </c>
      <c r="AN344" s="118">
        <v>1</v>
      </c>
      <c r="AO344" s="118">
        <v>0</v>
      </c>
      <c r="AP344" s="118">
        <v>0</v>
      </c>
      <c r="AQ344" s="118">
        <v>0</v>
      </c>
      <c r="AR344" s="118">
        <v>0</v>
      </c>
      <c r="AS344" s="118">
        <v>0</v>
      </c>
      <c r="AT344" s="118">
        <v>0</v>
      </c>
      <c r="AU344" s="118">
        <f t="shared" si="25"/>
        <v>0</v>
      </c>
    </row>
    <row r="345" spans="1:50">
      <c r="A345" s="114">
        <v>22</v>
      </c>
      <c r="B345" s="116">
        <v>45971</v>
      </c>
      <c r="H345" s="115">
        <v>7</v>
      </c>
      <c r="I345" s="117" t="str">
        <f t="shared" si="26"/>
        <v>TU_7</v>
      </c>
      <c r="J345" s="117" t="s">
        <v>797</v>
      </c>
      <c r="K345" s="118">
        <v>10</v>
      </c>
      <c r="L345" s="123" t="str">
        <f t="shared" si="27"/>
        <v>TU_7_10</v>
      </c>
      <c r="M345" s="117" t="s">
        <v>1145</v>
      </c>
      <c r="N345" s="115" t="s">
        <v>50</v>
      </c>
      <c r="O345" s="115" t="s">
        <v>324</v>
      </c>
      <c r="P345" s="115">
        <v>100</v>
      </c>
      <c r="Q345" s="115">
        <v>500</v>
      </c>
      <c r="S345" s="115" t="s">
        <v>271</v>
      </c>
      <c r="T345" s="115">
        <v>4</v>
      </c>
      <c r="U345" s="115">
        <v>11.08</v>
      </c>
      <c r="V345" s="115">
        <v>11.2</v>
      </c>
      <c r="W345" s="118">
        <v>4</v>
      </c>
      <c r="X345" s="118">
        <v>11.34</v>
      </c>
      <c r="Y345" s="118">
        <v>2</v>
      </c>
      <c r="Z345" s="118">
        <v>2</v>
      </c>
      <c r="AA345" s="118">
        <v>2</v>
      </c>
      <c r="AB345" s="118">
        <v>2</v>
      </c>
      <c r="AC345" s="118">
        <v>2</v>
      </c>
      <c r="AD345" s="118">
        <v>2</v>
      </c>
      <c r="AE345" s="118">
        <v>2</v>
      </c>
      <c r="AF345" s="118">
        <v>2</v>
      </c>
      <c r="AG345" s="118">
        <v>2</v>
      </c>
      <c r="AH345" s="118">
        <v>2</v>
      </c>
      <c r="AI345" s="118">
        <v>2</v>
      </c>
      <c r="AJ345" s="118">
        <v>2</v>
      </c>
      <c r="AK345" s="118">
        <v>1</v>
      </c>
      <c r="AL345" s="118">
        <v>1</v>
      </c>
      <c r="AM345" s="118">
        <v>1</v>
      </c>
      <c r="AN345" s="118">
        <v>1</v>
      </c>
      <c r="AO345" s="118">
        <v>1</v>
      </c>
      <c r="AP345" s="118">
        <v>1</v>
      </c>
      <c r="AQ345" s="118">
        <v>1</v>
      </c>
      <c r="AR345" s="118">
        <v>0</v>
      </c>
      <c r="AS345" s="118">
        <v>0</v>
      </c>
      <c r="AT345" s="118">
        <v>0</v>
      </c>
      <c r="AU345" s="118">
        <f t="shared" si="25"/>
        <v>0</v>
      </c>
    </row>
    <row r="346" spans="1:50">
      <c r="A346" s="114">
        <v>22</v>
      </c>
      <c r="B346" s="116">
        <v>45971</v>
      </c>
      <c r="H346" s="115">
        <v>7</v>
      </c>
      <c r="I346" s="117" t="str">
        <f t="shared" si="26"/>
        <v>TU_7</v>
      </c>
      <c r="J346" s="117" t="s">
        <v>797</v>
      </c>
      <c r="K346" s="118">
        <v>11</v>
      </c>
      <c r="L346" s="123" t="str">
        <f t="shared" si="27"/>
        <v>TU_7_11</v>
      </c>
      <c r="M346" s="117" t="s">
        <v>1146</v>
      </c>
      <c r="N346" s="115" t="s">
        <v>50</v>
      </c>
      <c r="O346" s="115" t="s">
        <v>324</v>
      </c>
      <c r="P346" s="115">
        <v>100</v>
      </c>
      <c r="Q346" s="115">
        <v>500</v>
      </c>
      <c r="S346" s="115" t="s">
        <v>272</v>
      </c>
      <c r="T346" s="115">
        <v>4</v>
      </c>
      <c r="U346" s="115">
        <v>11.25</v>
      </c>
      <c r="V346" s="115">
        <v>11.38</v>
      </c>
      <c r="W346" s="118">
        <v>4</v>
      </c>
      <c r="X346" s="118">
        <v>11.53</v>
      </c>
      <c r="Y346" s="118">
        <v>2</v>
      </c>
      <c r="Z346" s="118">
        <v>2</v>
      </c>
      <c r="AA346" s="118">
        <v>2</v>
      </c>
      <c r="AB346" s="118">
        <v>2</v>
      </c>
      <c r="AC346" s="118">
        <v>2</v>
      </c>
      <c r="AD346" s="118">
        <v>2</v>
      </c>
      <c r="AE346" s="118">
        <v>2</v>
      </c>
      <c r="AF346" s="118">
        <v>2</v>
      </c>
      <c r="AG346" s="118">
        <v>2</v>
      </c>
      <c r="AH346" s="118">
        <v>2</v>
      </c>
      <c r="AI346" s="118">
        <v>2</v>
      </c>
      <c r="AJ346" s="118">
        <v>2</v>
      </c>
      <c r="AK346" s="118">
        <v>2</v>
      </c>
      <c r="AL346" s="118">
        <v>2</v>
      </c>
      <c r="AM346" s="118">
        <v>0</v>
      </c>
      <c r="AN346" s="118">
        <v>0</v>
      </c>
      <c r="AO346" s="118">
        <v>0</v>
      </c>
      <c r="AP346" s="118">
        <v>0</v>
      </c>
      <c r="AQ346" s="118">
        <v>0</v>
      </c>
      <c r="AR346" s="118">
        <v>0</v>
      </c>
      <c r="AS346" s="118">
        <v>0</v>
      </c>
      <c r="AT346" s="118">
        <v>0</v>
      </c>
      <c r="AU346" s="118">
        <f t="shared" si="25"/>
        <v>0</v>
      </c>
    </row>
    <row r="347" spans="1:50">
      <c r="A347" s="114">
        <v>22</v>
      </c>
      <c r="B347" s="116">
        <v>45971</v>
      </c>
      <c r="H347" s="115">
        <v>7</v>
      </c>
      <c r="I347" s="117" t="str">
        <f t="shared" si="26"/>
        <v>TU_7</v>
      </c>
      <c r="J347" s="117" t="s">
        <v>797</v>
      </c>
      <c r="K347" s="118">
        <v>12</v>
      </c>
      <c r="L347" s="123" t="str">
        <f t="shared" si="27"/>
        <v>TU_7_12</v>
      </c>
      <c r="M347" s="117" t="s">
        <v>1147</v>
      </c>
      <c r="N347" s="115" t="s">
        <v>50</v>
      </c>
      <c r="O347" s="115" t="s">
        <v>324</v>
      </c>
      <c r="P347" s="115">
        <v>100</v>
      </c>
      <c r="Q347" s="115">
        <v>500</v>
      </c>
      <c r="S347" s="115" t="s">
        <v>273</v>
      </c>
      <c r="T347" s="115">
        <v>4</v>
      </c>
      <c r="U347" s="115">
        <v>11.4</v>
      </c>
      <c r="V347" s="115">
        <v>11.53</v>
      </c>
      <c r="W347" s="118">
        <v>4</v>
      </c>
      <c r="X347" s="118">
        <v>12.08</v>
      </c>
      <c r="Y347" s="118">
        <v>1</v>
      </c>
      <c r="Z347" s="118">
        <v>1</v>
      </c>
      <c r="AA347" s="118">
        <v>1</v>
      </c>
      <c r="AB347" s="118">
        <v>1</v>
      </c>
      <c r="AC347" s="118">
        <v>1</v>
      </c>
      <c r="AD347" s="118">
        <v>1</v>
      </c>
      <c r="AE347" s="118">
        <v>1</v>
      </c>
      <c r="AF347" s="118">
        <v>1</v>
      </c>
      <c r="AG347" s="118">
        <v>1</v>
      </c>
      <c r="AH347" s="118">
        <v>1</v>
      </c>
      <c r="AI347" s="118">
        <v>1</v>
      </c>
      <c r="AJ347" s="118">
        <v>1</v>
      </c>
      <c r="AK347" s="118">
        <v>0</v>
      </c>
      <c r="AL347" s="118">
        <v>0</v>
      </c>
      <c r="AM347" s="118">
        <v>0</v>
      </c>
      <c r="AN347" s="118">
        <v>0</v>
      </c>
      <c r="AO347" s="118">
        <v>0</v>
      </c>
      <c r="AP347" s="118">
        <v>0</v>
      </c>
      <c r="AQ347" s="118">
        <v>0</v>
      </c>
      <c r="AR347" s="118">
        <v>0</v>
      </c>
      <c r="AS347" s="118">
        <v>0</v>
      </c>
      <c r="AT347" s="118">
        <v>0</v>
      </c>
      <c r="AU347" s="118">
        <f t="shared" si="25"/>
        <v>0</v>
      </c>
    </row>
    <row r="348" spans="1:50">
      <c r="A348" s="114">
        <v>22</v>
      </c>
      <c r="B348" s="116">
        <v>45971</v>
      </c>
      <c r="H348" s="115">
        <v>7</v>
      </c>
      <c r="I348" s="117" t="str">
        <f t="shared" si="26"/>
        <v>TU_7</v>
      </c>
      <c r="J348" s="117" t="s">
        <v>797</v>
      </c>
      <c r="K348" s="118">
        <v>13</v>
      </c>
      <c r="L348" s="123" t="str">
        <f t="shared" si="27"/>
        <v>TU_7_13</v>
      </c>
      <c r="M348" s="117" t="s">
        <v>1148</v>
      </c>
      <c r="N348" s="115" t="s">
        <v>50</v>
      </c>
      <c r="O348" s="115" t="s">
        <v>324</v>
      </c>
      <c r="P348" s="115">
        <v>100</v>
      </c>
      <c r="Q348" s="115">
        <v>500</v>
      </c>
      <c r="S348" s="115" t="s">
        <v>274</v>
      </c>
      <c r="T348" s="115">
        <v>4</v>
      </c>
      <c r="U348" s="115">
        <v>12</v>
      </c>
      <c r="V348" s="115">
        <v>12.1</v>
      </c>
      <c r="W348" s="118">
        <v>4</v>
      </c>
      <c r="X348" s="118">
        <v>12.25</v>
      </c>
      <c r="Y348" s="118">
        <v>0</v>
      </c>
      <c r="Z348" s="118">
        <v>0</v>
      </c>
      <c r="AA348" s="118">
        <v>0</v>
      </c>
      <c r="AB348" s="118">
        <v>0</v>
      </c>
      <c r="AC348" s="118">
        <v>0</v>
      </c>
      <c r="AD348" s="118">
        <v>0</v>
      </c>
      <c r="AE348" s="118">
        <v>0</v>
      </c>
      <c r="AF348" s="118">
        <v>0</v>
      </c>
      <c r="AG348" s="118">
        <v>0</v>
      </c>
      <c r="AH348" s="118">
        <v>0</v>
      </c>
      <c r="AI348" s="118">
        <v>0</v>
      </c>
      <c r="AJ348" s="118">
        <v>0</v>
      </c>
      <c r="AK348" s="118">
        <v>0</v>
      </c>
      <c r="AL348" s="118">
        <v>0</v>
      </c>
      <c r="AM348" s="118">
        <v>0</v>
      </c>
      <c r="AN348" s="118">
        <v>0</v>
      </c>
      <c r="AO348" s="118">
        <v>0</v>
      </c>
      <c r="AP348" s="118">
        <v>0</v>
      </c>
      <c r="AQ348" s="118">
        <v>0</v>
      </c>
      <c r="AR348" s="118">
        <v>0</v>
      </c>
      <c r="AS348" s="118">
        <v>0</v>
      </c>
      <c r="AT348" s="118">
        <v>0</v>
      </c>
      <c r="AU348" s="118">
        <f t="shared" si="25"/>
        <v>0</v>
      </c>
    </row>
    <row r="349" spans="1:50">
      <c r="A349" s="114">
        <v>22</v>
      </c>
      <c r="B349" s="116">
        <v>45971</v>
      </c>
      <c r="H349" s="115">
        <v>7</v>
      </c>
      <c r="I349" s="117" t="str">
        <f t="shared" si="26"/>
        <v>TU_7</v>
      </c>
      <c r="J349" s="117" t="s">
        <v>797</v>
      </c>
      <c r="K349" s="118">
        <v>14</v>
      </c>
      <c r="L349" s="123" t="str">
        <f t="shared" si="27"/>
        <v>TU_7_14</v>
      </c>
      <c r="M349" s="117" t="s">
        <v>1149</v>
      </c>
      <c r="N349" s="115" t="s">
        <v>50</v>
      </c>
      <c r="O349" s="115" t="s">
        <v>324</v>
      </c>
      <c r="P349" s="115">
        <v>100</v>
      </c>
      <c r="Q349" s="115">
        <v>500</v>
      </c>
      <c r="S349" s="115" t="s">
        <v>275</v>
      </c>
      <c r="T349" s="115">
        <v>4</v>
      </c>
      <c r="U349" s="115">
        <v>12.12</v>
      </c>
      <c r="V349" s="115">
        <v>12.23</v>
      </c>
      <c r="W349" s="118">
        <v>4</v>
      </c>
      <c r="X349" s="118">
        <v>12.39</v>
      </c>
      <c r="Y349" s="118">
        <v>2</v>
      </c>
      <c r="Z349" s="118">
        <v>2</v>
      </c>
      <c r="AA349" s="118">
        <v>2</v>
      </c>
      <c r="AB349" s="118">
        <v>2</v>
      </c>
      <c r="AC349" s="118">
        <v>2</v>
      </c>
      <c r="AD349" s="118">
        <v>2</v>
      </c>
      <c r="AE349" s="118">
        <v>2</v>
      </c>
      <c r="AF349" s="118">
        <v>2</v>
      </c>
      <c r="AG349" s="118">
        <v>2</v>
      </c>
      <c r="AH349" s="118">
        <v>2</v>
      </c>
      <c r="AI349" s="118">
        <v>2</v>
      </c>
      <c r="AJ349" s="118">
        <v>2</v>
      </c>
      <c r="AK349" s="118">
        <v>2</v>
      </c>
      <c r="AL349" s="118">
        <v>2</v>
      </c>
      <c r="AM349" s="118">
        <v>1</v>
      </c>
      <c r="AN349" s="118">
        <v>1</v>
      </c>
      <c r="AO349" s="118">
        <v>1</v>
      </c>
      <c r="AP349" s="118">
        <v>1</v>
      </c>
      <c r="AQ349" s="118">
        <v>0</v>
      </c>
      <c r="AR349" s="118">
        <v>0</v>
      </c>
      <c r="AS349" s="118">
        <v>0</v>
      </c>
      <c r="AT349" s="118">
        <v>0</v>
      </c>
      <c r="AU349" s="118">
        <f t="shared" si="25"/>
        <v>0</v>
      </c>
    </row>
    <row r="350" spans="1:50">
      <c r="A350" s="114">
        <v>22</v>
      </c>
      <c r="B350" s="116">
        <v>45971</v>
      </c>
      <c r="H350" s="115">
        <v>7</v>
      </c>
      <c r="I350" s="117" t="str">
        <f t="shared" si="26"/>
        <v>TU_7</v>
      </c>
      <c r="J350" s="117" t="s">
        <v>797</v>
      </c>
      <c r="K350" s="118">
        <v>15</v>
      </c>
      <c r="L350" s="123" t="str">
        <f t="shared" si="27"/>
        <v>TU_7_15</v>
      </c>
      <c r="M350" s="117" t="s">
        <v>1150</v>
      </c>
      <c r="N350" s="115" t="s">
        <v>50</v>
      </c>
      <c r="O350" s="115" t="s">
        <v>324</v>
      </c>
      <c r="P350" s="115">
        <v>100</v>
      </c>
      <c r="Q350" s="115">
        <v>500</v>
      </c>
      <c r="S350" s="115" t="s">
        <v>276</v>
      </c>
      <c r="T350" s="115">
        <v>3</v>
      </c>
      <c r="U350" s="115">
        <v>12.25</v>
      </c>
      <c r="V350" s="115">
        <v>12.37</v>
      </c>
      <c r="W350" s="118">
        <v>3</v>
      </c>
      <c r="X350" s="118">
        <v>12.41</v>
      </c>
      <c r="Y350" s="118">
        <v>1</v>
      </c>
      <c r="Z350" s="118">
        <v>1</v>
      </c>
      <c r="AA350" s="118">
        <v>1</v>
      </c>
      <c r="AB350" s="118">
        <v>1</v>
      </c>
      <c r="AC350" s="118">
        <v>1</v>
      </c>
      <c r="AD350" s="118">
        <v>1</v>
      </c>
      <c r="AE350" s="118">
        <v>1</v>
      </c>
      <c r="AF350" s="118">
        <v>1</v>
      </c>
      <c r="AG350" s="118">
        <v>1</v>
      </c>
      <c r="AH350" s="118">
        <v>1</v>
      </c>
      <c r="AI350" s="118">
        <v>1</v>
      </c>
      <c r="AJ350" s="118">
        <v>1</v>
      </c>
      <c r="AK350" s="118">
        <v>1</v>
      </c>
      <c r="AL350" s="118">
        <v>0</v>
      </c>
      <c r="AM350" s="118">
        <v>0</v>
      </c>
      <c r="AN350" s="118">
        <v>0</v>
      </c>
      <c r="AO350" s="118">
        <v>0</v>
      </c>
      <c r="AP350" s="118">
        <v>0</v>
      </c>
      <c r="AQ350" s="118">
        <v>0</v>
      </c>
      <c r="AR350" s="118">
        <v>0</v>
      </c>
      <c r="AS350" s="118">
        <v>0</v>
      </c>
      <c r="AT350" s="118">
        <v>0</v>
      </c>
      <c r="AU350" s="118">
        <f t="shared" si="25"/>
        <v>0</v>
      </c>
    </row>
    <row r="351" spans="1:50">
      <c r="A351" s="114">
        <v>23</v>
      </c>
      <c r="B351" s="116">
        <v>45979</v>
      </c>
      <c r="C351" s="115" t="s">
        <v>251</v>
      </c>
      <c r="D351" s="115" t="s">
        <v>326</v>
      </c>
      <c r="F351" s="115" t="s">
        <v>317</v>
      </c>
      <c r="G351" s="115" t="s">
        <v>327</v>
      </c>
      <c r="H351" s="115">
        <v>7</v>
      </c>
      <c r="I351" s="117" t="str">
        <f t="shared" ref="I351:I410" si="28">_xlfn.CONCAT(N351 &amp; "_" &amp; H351)</f>
        <v>NHGRI_7</v>
      </c>
      <c r="J351" s="123" t="s">
        <v>786</v>
      </c>
      <c r="K351" s="124">
        <v>1</v>
      </c>
      <c r="L351" s="123" t="str">
        <f t="shared" si="27"/>
        <v>NHGRI_7_1</v>
      </c>
      <c r="M351" s="123" t="s">
        <v>1151</v>
      </c>
      <c r="N351" s="115" t="s">
        <v>86</v>
      </c>
      <c r="O351" s="115" t="s">
        <v>328</v>
      </c>
      <c r="P351" s="115">
        <v>100</v>
      </c>
      <c r="Q351" s="115">
        <v>500</v>
      </c>
      <c r="R351" s="115">
        <v>70</v>
      </c>
      <c r="S351" s="115" t="s">
        <v>282</v>
      </c>
      <c r="T351" s="115">
        <v>4</v>
      </c>
      <c r="U351" s="115">
        <v>10.08</v>
      </c>
      <c r="V351" s="115">
        <v>10.25</v>
      </c>
      <c r="W351" s="118">
        <v>4</v>
      </c>
      <c r="X351" s="118">
        <v>10.4</v>
      </c>
      <c r="Y351" s="118">
        <v>1</v>
      </c>
      <c r="Z351" s="118">
        <v>1</v>
      </c>
      <c r="AA351" s="118">
        <v>1</v>
      </c>
      <c r="AB351" s="118">
        <v>1</v>
      </c>
      <c r="AC351" s="118">
        <v>1</v>
      </c>
      <c r="AD351" s="118">
        <v>1</v>
      </c>
      <c r="AE351" s="118">
        <v>1</v>
      </c>
      <c r="AF351" s="118">
        <v>1</v>
      </c>
      <c r="AG351" s="118">
        <v>1</v>
      </c>
      <c r="AH351" s="118">
        <v>1</v>
      </c>
      <c r="AI351" s="118">
        <v>1</v>
      </c>
      <c r="AJ351" s="118">
        <v>1</v>
      </c>
      <c r="AK351" s="118">
        <v>0</v>
      </c>
      <c r="AL351" s="118">
        <v>0</v>
      </c>
      <c r="AM351" s="118">
        <v>0</v>
      </c>
      <c r="AN351" s="118">
        <v>0</v>
      </c>
      <c r="AO351" s="118">
        <v>0</v>
      </c>
      <c r="AP351" s="118">
        <v>0</v>
      </c>
      <c r="AQ351" s="118">
        <v>0</v>
      </c>
      <c r="AR351" s="118">
        <v>0</v>
      </c>
      <c r="AS351" s="118">
        <v>0</v>
      </c>
      <c r="AT351" s="118">
        <v>0</v>
      </c>
      <c r="AU351" s="118">
        <f t="shared" si="25"/>
        <v>0</v>
      </c>
    </row>
    <row r="352" spans="1:50">
      <c r="A352" s="114">
        <v>23</v>
      </c>
      <c r="B352" s="116">
        <v>45979</v>
      </c>
      <c r="D352" s="115" t="s">
        <v>329</v>
      </c>
      <c r="G352" s="115" t="s">
        <v>327</v>
      </c>
      <c r="H352" s="115">
        <v>7</v>
      </c>
      <c r="I352" s="117" t="str">
        <f t="shared" si="28"/>
        <v>NHGRI_7</v>
      </c>
      <c r="J352" s="123" t="s">
        <v>786</v>
      </c>
      <c r="K352" s="124">
        <v>2</v>
      </c>
      <c r="L352" s="123" t="str">
        <f t="shared" si="27"/>
        <v>NHGRI_7_2</v>
      </c>
      <c r="M352" s="123" t="s">
        <v>1152</v>
      </c>
      <c r="N352" s="115" t="s">
        <v>86</v>
      </c>
      <c r="O352" s="115" t="s">
        <v>328</v>
      </c>
      <c r="P352" s="115">
        <v>100</v>
      </c>
      <c r="Q352" s="115">
        <v>500</v>
      </c>
      <c r="S352" s="115" t="s">
        <v>284</v>
      </c>
      <c r="T352" s="115">
        <v>4</v>
      </c>
      <c r="U352" s="115">
        <v>10.25</v>
      </c>
      <c r="V352" s="115">
        <v>10.53</v>
      </c>
      <c r="W352" s="118">
        <v>4</v>
      </c>
      <c r="X352" s="118">
        <v>11.07</v>
      </c>
      <c r="Y352" s="118">
        <v>1</v>
      </c>
      <c r="Z352" s="118">
        <v>1</v>
      </c>
      <c r="AA352" s="118">
        <v>1</v>
      </c>
      <c r="AB352" s="118">
        <v>1</v>
      </c>
      <c r="AC352" s="118">
        <v>1</v>
      </c>
      <c r="AD352" s="118">
        <v>1</v>
      </c>
      <c r="AE352" s="118">
        <v>1</v>
      </c>
      <c r="AF352" s="118">
        <v>1</v>
      </c>
      <c r="AG352" s="118">
        <v>1</v>
      </c>
      <c r="AH352" s="118">
        <v>1</v>
      </c>
      <c r="AI352" s="118">
        <v>1</v>
      </c>
      <c r="AJ352" s="118">
        <v>1</v>
      </c>
      <c r="AK352" s="118">
        <v>1</v>
      </c>
      <c r="AL352" s="118">
        <v>1</v>
      </c>
      <c r="AM352" s="118">
        <v>1</v>
      </c>
      <c r="AN352" s="118">
        <v>0</v>
      </c>
      <c r="AO352" s="118">
        <v>0</v>
      </c>
      <c r="AP352" s="118">
        <v>0</v>
      </c>
      <c r="AQ352" s="118">
        <v>0</v>
      </c>
      <c r="AR352" s="118">
        <v>0</v>
      </c>
      <c r="AS352" s="118">
        <v>0</v>
      </c>
      <c r="AT352" s="118">
        <v>0</v>
      </c>
      <c r="AU352" s="118">
        <f t="shared" si="25"/>
        <v>0</v>
      </c>
    </row>
    <row r="353" spans="1:49">
      <c r="A353" s="114">
        <v>23</v>
      </c>
      <c r="B353" s="116">
        <v>45979</v>
      </c>
      <c r="G353" s="115" t="s">
        <v>327</v>
      </c>
      <c r="H353" s="115">
        <v>7</v>
      </c>
      <c r="I353" s="117" t="str">
        <f t="shared" si="28"/>
        <v>NHGRI_7</v>
      </c>
      <c r="J353" s="123" t="s">
        <v>786</v>
      </c>
      <c r="K353" s="124">
        <v>3</v>
      </c>
      <c r="L353" s="123" t="str">
        <f t="shared" si="27"/>
        <v>NHGRI_7_3</v>
      </c>
      <c r="M353" s="123" t="s">
        <v>1153</v>
      </c>
      <c r="N353" s="115" t="s">
        <v>86</v>
      </c>
      <c r="O353" s="115" t="s">
        <v>328</v>
      </c>
      <c r="P353" s="115">
        <v>100</v>
      </c>
      <c r="Q353" s="115">
        <v>500</v>
      </c>
      <c r="S353" s="115" t="s">
        <v>285</v>
      </c>
      <c r="T353" s="115">
        <v>4</v>
      </c>
      <c r="U353" s="115">
        <v>10.59</v>
      </c>
      <c r="V353" s="115">
        <v>11.13</v>
      </c>
      <c r="W353" s="118">
        <v>4</v>
      </c>
      <c r="X353" s="118">
        <v>11.27</v>
      </c>
      <c r="Y353" s="118">
        <v>3</v>
      </c>
      <c r="Z353" s="118">
        <v>3</v>
      </c>
      <c r="AA353" s="118">
        <v>3</v>
      </c>
      <c r="AB353" s="118">
        <v>3</v>
      </c>
      <c r="AC353" s="118">
        <v>3</v>
      </c>
      <c r="AD353" s="118">
        <v>3</v>
      </c>
      <c r="AE353" s="118">
        <v>3</v>
      </c>
      <c r="AF353" s="118">
        <v>3</v>
      </c>
      <c r="AG353" s="118">
        <v>3</v>
      </c>
      <c r="AH353" s="118">
        <v>3</v>
      </c>
      <c r="AI353" s="118">
        <v>3</v>
      </c>
      <c r="AJ353" s="118">
        <v>3</v>
      </c>
      <c r="AK353" s="118">
        <v>2</v>
      </c>
      <c r="AL353" s="118">
        <v>2</v>
      </c>
      <c r="AM353" s="118">
        <v>0</v>
      </c>
      <c r="AN353" s="118">
        <v>0</v>
      </c>
      <c r="AO353" s="118">
        <v>0</v>
      </c>
      <c r="AP353" s="118">
        <v>0</v>
      </c>
      <c r="AQ353" s="118">
        <v>0</v>
      </c>
      <c r="AR353" s="118">
        <v>0</v>
      </c>
      <c r="AS353" s="118">
        <v>0</v>
      </c>
      <c r="AT353" s="118">
        <v>0</v>
      </c>
      <c r="AU353" s="118">
        <f t="shared" si="25"/>
        <v>0</v>
      </c>
    </row>
    <row r="354" spans="1:49">
      <c r="A354" s="114">
        <v>23</v>
      </c>
      <c r="B354" s="116">
        <v>45979</v>
      </c>
      <c r="G354" s="115" t="s">
        <v>327</v>
      </c>
      <c r="H354" s="115">
        <v>7</v>
      </c>
      <c r="I354" s="117" t="str">
        <f t="shared" si="28"/>
        <v>NHGRI_7</v>
      </c>
      <c r="J354" s="123" t="s">
        <v>786</v>
      </c>
      <c r="K354" s="124">
        <v>4</v>
      </c>
      <c r="L354" s="123" t="str">
        <f t="shared" si="27"/>
        <v>NHGRI_7_4</v>
      </c>
      <c r="M354" s="123" t="s">
        <v>1154</v>
      </c>
      <c r="N354" s="115" t="s">
        <v>86</v>
      </c>
      <c r="O354" s="115" t="s">
        <v>328</v>
      </c>
      <c r="P354" s="115">
        <v>100</v>
      </c>
      <c r="Q354" s="115">
        <v>500</v>
      </c>
      <c r="S354" s="115" t="s">
        <v>286</v>
      </c>
      <c r="T354" s="115">
        <v>4</v>
      </c>
      <c r="U354" s="115">
        <v>11.17</v>
      </c>
      <c r="V354" s="117">
        <v>11.3</v>
      </c>
      <c r="W354" s="118">
        <v>4</v>
      </c>
      <c r="X354" s="118">
        <v>11.43</v>
      </c>
      <c r="Y354" s="118">
        <v>2</v>
      </c>
      <c r="Z354" s="118">
        <v>2</v>
      </c>
      <c r="AA354" s="118">
        <v>2</v>
      </c>
      <c r="AB354" s="118">
        <v>2</v>
      </c>
      <c r="AC354" s="118">
        <v>2</v>
      </c>
      <c r="AD354" s="118">
        <v>2</v>
      </c>
      <c r="AE354" s="118">
        <v>2</v>
      </c>
      <c r="AF354" s="118">
        <v>2</v>
      </c>
      <c r="AG354" s="118">
        <v>2</v>
      </c>
      <c r="AH354" s="118">
        <v>2</v>
      </c>
      <c r="AI354" s="118">
        <v>2</v>
      </c>
      <c r="AJ354" s="118">
        <v>2</v>
      </c>
      <c r="AK354" s="118">
        <v>1</v>
      </c>
      <c r="AL354" s="118">
        <v>0</v>
      </c>
      <c r="AM354" s="118">
        <v>0</v>
      </c>
      <c r="AN354" s="118">
        <v>0</v>
      </c>
      <c r="AO354" s="118">
        <v>0</v>
      </c>
      <c r="AP354" s="118">
        <v>0</v>
      </c>
      <c r="AQ354" s="118">
        <v>0</v>
      </c>
      <c r="AR354" s="118">
        <v>0</v>
      </c>
      <c r="AS354" s="118">
        <v>0</v>
      </c>
      <c r="AT354" s="118">
        <v>0</v>
      </c>
      <c r="AU354" s="118">
        <f t="shared" si="25"/>
        <v>0</v>
      </c>
    </row>
    <row r="355" spans="1:49">
      <c r="A355" s="114">
        <v>23</v>
      </c>
      <c r="B355" s="116">
        <v>45979</v>
      </c>
      <c r="G355" s="115" t="s">
        <v>327</v>
      </c>
      <c r="H355" s="115">
        <v>7</v>
      </c>
      <c r="I355" s="117" t="str">
        <f t="shared" si="28"/>
        <v>NHGRI_7</v>
      </c>
      <c r="J355" s="123" t="s">
        <v>786</v>
      </c>
      <c r="K355" s="124">
        <v>5</v>
      </c>
      <c r="L355" s="123" t="str">
        <f t="shared" si="27"/>
        <v>NHGRI_7_5</v>
      </c>
      <c r="M355" s="123" t="s">
        <v>1155</v>
      </c>
      <c r="N355" s="115" t="s">
        <v>86</v>
      </c>
      <c r="O355" s="115" t="s">
        <v>328</v>
      </c>
      <c r="P355" s="115">
        <v>100</v>
      </c>
      <c r="Q355" s="115">
        <v>500</v>
      </c>
      <c r="S355" s="115" t="s">
        <v>287</v>
      </c>
      <c r="T355" s="115">
        <v>3</v>
      </c>
      <c r="U355" s="115">
        <v>11.31</v>
      </c>
      <c r="V355" s="115">
        <v>11.43</v>
      </c>
      <c r="W355" s="118">
        <v>3</v>
      </c>
      <c r="X355" s="118">
        <v>11.59</v>
      </c>
      <c r="Y355" s="118">
        <v>2</v>
      </c>
      <c r="Z355" s="118">
        <v>0</v>
      </c>
      <c r="AA355" s="118">
        <v>0</v>
      </c>
      <c r="AB355" s="118">
        <v>0</v>
      </c>
      <c r="AC355" s="118">
        <v>0</v>
      </c>
      <c r="AD355" s="118">
        <v>0</v>
      </c>
      <c r="AE355" s="118">
        <v>0</v>
      </c>
      <c r="AF355" s="118">
        <v>0</v>
      </c>
      <c r="AG355" s="118">
        <v>0</v>
      </c>
      <c r="AH355" s="118">
        <v>0</v>
      </c>
      <c r="AI355" s="118">
        <v>0</v>
      </c>
      <c r="AJ355" s="118">
        <v>0</v>
      </c>
      <c r="AK355" s="118">
        <v>0</v>
      </c>
      <c r="AL355" s="118">
        <v>0</v>
      </c>
      <c r="AM355" s="118">
        <v>0</v>
      </c>
      <c r="AN355" s="118">
        <v>0</v>
      </c>
      <c r="AO355" s="118">
        <v>0</v>
      </c>
      <c r="AP355" s="118">
        <v>0</v>
      </c>
      <c r="AQ355" s="118">
        <v>0</v>
      </c>
      <c r="AR355" s="118">
        <v>0</v>
      </c>
      <c r="AS355" s="118">
        <v>0</v>
      </c>
      <c r="AT355" s="118">
        <v>0</v>
      </c>
      <c r="AU355" s="118">
        <f t="shared" si="25"/>
        <v>0</v>
      </c>
    </row>
    <row r="356" spans="1:49">
      <c r="A356" s="114">
        <v>23</v>
      </c>
      <c r="B356" s="116">
        <v>45979</v>
      </c>
      <c r="G356" s="115" t="s">
        <v>327</v>
      </c>
      <c r="H356" s="115">
        <v>7</v>
      </c>
      <c r="I356" s="117" t="str">
        <f t="shared" si="28"/>
        <v>NHGRI_7</v>
      </c>
      <c r="J356" s="117" t="s">
        <v>786</v>
      </c>
      <c r="K356" s="124">
        <v>6</v>
      </c>
      <c r="L356" s="123" t="str">
        <f t="shared" si="27"/>
        <v>NHGRI_7_6</v>
      </c>
      <c r="M356" s="117" t="s">
        <v>1156</v>
      </c>
      <c r="N356" s="115" t="s">
        <v>86</v>
      </c>
      <c r="O356" s="115" t="s">
        <v>328</v>
      </c>
      <c r="P356" s="115">
        <v>100</v>
      </c>
      <c r="Q356" s="115">
        <v>500</v>
      </c>
      <c r="S356" s="115" t="s">
        <v>269</v>
      </c>
      <c r="T356" s="115">
        <v>4</v>
      </c>
      <c r="U356" s="115">
        <v>10.07</v>
      </c>
      <c r="V356" s="115">
        <v>10.210000000000001</v>
      </c>
      <c r="W356" s="118">
        <v>4</v>
      </c>
      <c r="X356" s="118">
        <v>10.36</v>
      </c>
      <c r="Y356" s="118">
        <v>3</v>
      </c>
      <c r="Z356" s="118">
        <v>3</v>
      </c>
      <c r="AA356" s="118">
        <v>3</v>
      </c>
      <c r="AB356" s="118">
        <v>3</v>
      </c>
      <c r="AC356" s="118">
        <v>3</v>
      </c>
      <c r="AD356" s="118">
        <v>3</v>
      </c>
      <c r="AE356" s="118">
        <v>3</v>
      </c>
      <c r="AF356" s="118">
        <v>3</v>
      </c>
      <c r="AG356" s="118">
        <v>3</v>
      </c>
      <c r="AH356" s="118">
        <v>3</v>
      </c>
      <c r="AI356" s="118">
        <v>3</v>
      </c>
      <c r="AJ356" s="118">
        <v>3</v>
      </c>
      <c r="AK356" s="118">
        <v>3</v>
      </c>
      <c r="AL356" s="118">
        <v>3</v>
      </c>
      <c r="AM356" s="118">
        <v>3</v>
      </c>
      <c r="AN356" s="118">
        <v>2</v>
      </c>
      <c r="AO356" s="118">
        <v>2</v>
      </c>
      <c r="AP356" s="118">
        <v>2</v>
      </c>
      <c r="AQ356" s="118">
        <v>2</v>
      </c>
      <c r="AR356" s="118">
        <v>2</v>
      </c>
      <c r="AS356" s="118">
        <v>0</v>
      </c>
      <c r="AT356" s="118">
        <v>0</v>
      </c>
      <c r="AU356" s="118">
        <f t="shared" si="25"/>
        <v>0</v>
      </c>
    </row>
    <row r="357" spans="1:49">
      <c r="A357" s="114">
        <v>23</v>
      </c>
      <c r="B357" s="116">
        <v>45979</v>
      </c>
      <c r="G357" s="115" t="s">
        <v>327</v>
      </c>
      <c r="H357" s="115">
        <v>7</v>
      </c>
      <c r="I357" s="117" t="str">
        <f t="shared" si="28"/>
        <v>NHGRI_7</v>
      </c>
      <c r="J357" s="123" t="s">
        <v>786</v>
      </c>
      <c r="K357" s="124">
        <v>7</v>
      </c>
      <c r="L357" s="123" t="str">
        <f t="shared" si="27"/>
        <v>NHGRI_7_7</v>
      </c>
      <c r="M357" s="123" t="s">
        <v>1157</v>
      </c>
      <c r="N357" s="115" t="s">
        <v>86</v>
      </c>
      <c r="O357" s="115" t="s">
        <v>328</v>
      </c>
      <c r="P357" s="115">
        <v>100</v>
      </c>
      <c r="Q357" s="115">
        <v>500</v>
      </c>
      <c r="S357" s="115" t="s">
        <v>270</v>
      </c>
      <c r="T357" s="115">
        <v>2</v>
      </c>
      <c r="U357" s="115">
        <v>10.24</v>
      </c>
      <c r="V357" s="115">
        <v>10.33</v>
      </c>
      <c r="W357" s="118">
        <v>2</v>
      </c>
      <c r="X357" s="118">
        <v>10.48</v>
      </c>
      <c r="Y357" s="118">
        <v>1</v>
      </c>
      <c r="Z357" s="118">
        <v>1</v>
      </c>
      <c r="AA357" s="118">
        <v>1</v>
      </c>
      <c r="AB357" s="118">
        <v>1</v>
      </c>
      <c r="AC357" s="118">
        <v>1</v>
      </c>
      <c r="AD357" s="118">
        <v>1</v>
      </c>
      <c r="AE357" s="118">
        <v>1</v>
      </c>
      <c r="AF357" s="118">
        <v>1</v>
      </c>
      <c r="AG357" s="118">
        <v>1</v>
      </c>
      <c r="AH357" s="118">
        <v>1</v>
      </c>
      <c r="AI357" s="118">
        <v>1</v>
      </c>
      <c r="AJ357" s="118">
        <v>1</v>
      </c>
      <c r="AK357" s="118">
        <v>1</v>
      </c>
      <c r="AL357" s="118">
        <v>1</v>
      </c>
      <c r="AM357" s="118">
        <v>1</v>
      </c>
      <c r="AN357" s="118">
        <v>1</v>
      </c>
      <c r="AO357" s="118">
        <v>1</v>
      </c>
      <c r="AP357" s="118">
        <v>1</v>
      </c>
      <c r="AQ357" s="118">
        <v>1</v>
      </c>
      <c r="AR357" s="118">
        <v>1</v>
      </c>
      <c r="AS357" s="118">
        <v>0</v>
      </c>
      <c r="AT357" s="118">
        <v>0</v>
      </c>
      <c r="AU357" s="118">
        <f t="shared" si="25"/>
        <v>0</v>
      </c>
    </row>
    <row r="358" spans="1:49">
      <c r="A358" s="114">
        <v>23</v>
      </c>
      <c r="B358" s="116">
        <v>45979</v>
      </c>
      <c r="G358" s="115" t="s">
        <v>327</v>
      </c>
      <c r="H358" s="115">
        <v>7</v>
      </c>
      <c r="I358" s="117" t="str">
        <f t="shared" si="28"/>
        <v>NHGRI_7</v>
      </c>
      <c r="J358" s="123" t="s">
        <v>786</v>
      </c>
      <c r="K358" s="124">
        <v>8</v>
      </c>
      <c r="L358" s="123" t="str">
        <f t="shared" si="27"/>
        <v>NHGRI_7_8</v>
      </c>
      <c r="M358" s="123" t="s">
        <v>1158</v>
      </c>
      <c r="N358" s="115" t="s">
        <v>86</v>
      </c>
      <c r="O358" s="115" t="s">
        <v>328</v>
      </c>
      <c r="P358" s="115">
        <v>100</v>
      </c>
      <c r="Q358" s="115">
        <v>500</v>
      </c>
      <c r="S358" s="115" t="s">
        <v>271</v>
      </c>
      <c r="T358" s="115">
        <v>3</v>
      </c>
      <c r="U358" s="115">
        <v>10.37</v>
      </c>
      <c r="V358" s="115">
        <v>10.5</v>
      </c>
      <c r="W358" s="118">
        <v>3</v>
      </c>
      <c r="X358" s="118">
        <v>11.06</v>
      </c>
      <c r="Y358" s="118">
        <v>1</v>
      </c>
      <c r="Z358" s="118">
        <v>1</v>
      </c>
      <c r="AA358" s="118">
        <v>1</v>
      </c>
      <c r="AB358" s="118">
        <v>1</v>
      </c>
      <c r="AC358" s="118">
        <v>1</v>
      </c>
      <c r="AD358" s="118">
        <v>1</v>
      </c>
      <c r="AE358" s="118">
        <v>1</v>
      </c>
      <c r="AF358" s="118">
        <v>1</v>
      </c>
      <c r="AG358" s="118">
        <v>1</v>
      </c>
      <c r="AH358" s="118">
        <v>1</v>
      </c>
      <c r="AI358" s="118">
        <v>1</v>
      </c>
      <c r="AJ358" s="118">
        <v>1</v>
      </c>
      <c r="AK358" s="118">
        <v>1</v>
      </c>
      <c r="AL358" s="118">
        <v>1</v>
      </c>
      <c r="AM358" s="118">
        <v>1</v>
      </c>
      <c r="AN358" s="118">
        <v>0</v>
      </c>
      <c r="AO358" s="118">
        <v>0</v>
      </c>
      <c r="AP358" s="118">
        <v>0</v>
      </c>
      <c r="AQ358" s="118">
        <v>0</v>
      </c>
      <c r="AR358" s="118">
        <v>0</v>
      </c>
      <c r="AS358" s="118">
        <v>0</v>
      </c>
      <c r="AT358" s="118">
        <v>0</v>
      </c>
      <c r="AU358" s="118">
        <f t="shared" si="25"/>
        <v>0</v>
      </c>
    </row>
    <row r="359" spans="1:49">
      <c r="A359" s="114">
        <v>23</v>
      </c>
      <c r="B359" s="116">
        <v>45979</v>
      </c>
      <c r="G359" s="115" t="s">
        <v>327</v>
      </c>
      <c r="H359" s="115">
        <v>7</v>
      </c>
      <c r="I359" s="117" t="str">
        <f t="shared" si="28"/>
        <v>NHGRI_7</v>
      </c>
      <c r="J359" s="123" t="s">
        <v>786</v>
      </c>
      <c r="K359" s="124">
        <v>9</v>
      </c>
      <c r="L359" s="123" t="str">
        <f t="shared" si="27"/>
        <v>NHGRI_7_9</v>
      </c>
      <c r="M359" s="123" t="s">
        <v>1159</v>
      </c>
      <c r="N359" s="115" t="s">
        <v>86</v>
      </c>
      <c r="O359" s="115" t="s">
        <v>328</v>
      </c>
      <c r="P359" s="115">
        <v>100</v>
      </c>
      <c r="Q359" s="115">
        <v>500</v>
      </c>
      <c r="S359" s="115" t="s">
        <v>272</v>
      </c>
      <c r="T359" s="115">
        <v>4</v>
      </c>
      <c r="U359" s="115">
        <v>10.55</v>
      </c>
      <c r="V359" s="115">
        <v>11.1</v>
      </c>
      <c r="W359" s="118">
        <v>4</v>
      </c>
      <c r="X359" s="118">
        <v>11.25</v>
      </c>
      <c r="Y359" s="118">
        <v>0</v>
      </c>
      <c r="Z359" s="118">
        <v>0</v>
      </c>
      <c r="AA359" s="118">
        <v>0</v>
      </c>
      <c r="AB359" s="118">
        <v>0</v>
      </c>
      <c r="AC359" s="118">
        <v>0</v>
      </c>
      <c r="AD359" s="118">
        <v>0</v>
      </c>
      <c r="AE359" s="118">
        <v>0</v>
      </c>
      <c r="AF359" s="118">
        <v>0</v>
      </c>
      <c r="AG359" s="118">
        <v>0</v>
      </c>
      <c r="AH359" s="118">
        <v>0</v>
      </c>
      <c r="AI359" s="118">
        <v>0</v>
      </c>
      <c r="AJ359" s="118">
        <v>0</v>
      </c>
      <c r="AK359" s="118">
        <v>0</v>
      </c>
      <c r="AL359" s="118">
        <v>0</v>
      </c>
      <c r="AM359" s="118">
        <v>0</v>
      </c>
      <c r="AN359" s="118">
        <v>0</v>
      </c>
      <c r="AO359" s="118">
        <v>0</v>
      </c>
      <c r="AP359" s="118">
        <v>0</v>
      </c>
      <c r="AQ359" s="118">
        <v>0</v>
      </c>
      <c r="AR359" s="118">
        <v>0</v>
      </c>
      <c r="AS359" s="118">
        <v>0</v>
      </c>
      <c r="AT359" s="118">
        <v>0</v>
      </c>
      <c r="AU359" s="118">
        <f t="shared" si="25"/>
        <v>0</v>
      </c>
    </row>
    <row r="360" spans="1:49">
      <c r="A360" s="114">
        <v>23</v>
      </c>
      <c r="B360" s="116">
        <v>45979</v>
      </c>
      <c r="G360" s="115" t="s">
        <v>327</v>
      </c>
      <c r="H360" s="115">
        <v>7</v>
      </c>
      <c r="I360" s="117" t="str">
        <f t="shared" si="28"/>
        <v>NHGRI_7</v>
      </c>
      <c r="J360" s="123" t="s">
        <v>786</v>
      </c>
      <c r="K360" s="124">
        <v>10</v>
      </c>
      <c r="L360" s="123" t="str">
        <f t="shared" si="27"/>
        <v>NHGRI_7_10</v>
      </c>
      <c r="M360" s="123" t="s">
        <v>1160</v>
      </c>
      <c r="N360" s="115" t="s">
        <v>86</v>
      </c>
      <c r="O360" s="115" t="s">
        <v>328</v>
      </c>
      <c r="P360" s="115">
        <v>100</v>
      </c>
      <c r="Q360" s="115">
        <v>500</v>
      </c>
      <c r="S360" s="115" t="s">
        <v>273</v>
      </c>
      <c r="T360" s="115">
        <v>3</v>
      </c>
      <c r="U360" s="115">
        <v>11.24</v>
      </c>
      <c r="V360" s="115">
        <v>11.35</v>
      </c>
      <c r="W360" s="118">
        <v>3</v>
      </c>
      <c r="X360" s="118">
        <v>11.5</v>
      </c>
      <c r="Y360" s="118">
        <v>0</v>
      </c>
      <c r="Z360" s="118">
        <v>0</v>
      </c>
      <c r="AA360" s="118">
        <v>0</v>
      </c>
      <c r="AB360" s="118">
        <v>0</v>
      </c>
      <c r="AC360" s="118">
        <v>0</v>
      </c>
      <c r="AD360" s="118">
        <v>0</v>
      </c>
      <c r="AE360" s="118">
        <v>0</v>
      </c>
      <c r="AF360" s="118">
        <v>0</v>
      </c>
      <c r="AG360" s="118">
        <v>0</v>
      </c>
      <c r="AH360" s="118">
        <v>0</v>
      </c>
      <c r="AI360" s="118">
        <v>0</v>
      </c>
      <c r="AJ360" s="118">
        <v>0</v>
      </c>
      <c r="AK360" s="118">
        <v>0</v>
      </c>
      <c r="AL360" s="118">
        <v>0</v>
      </c>
      <c r="AM360" s="118">
        <v>0</v>
      </c>
      <c r="AN360" s="118">
        <v>0</v>
      </c>
      <c r="AO360" s="118">
        <v>0</v>
      </c>
      <c r="AP360" s="118">
        <v>0</v>
      </c>
      <c r="AQ360" s="118">
        <v>0</v>
      </c>
      <c r="AR360" s="118">
        <v>0</v>
      </c>
      <c r="AS360" s="118">
        <v>0</v>
      </c>
      <c r="AT360" s="118">
        <v>0</v>
      </c>
      <c r="AU360" s="118">
        <f t="shared" si="25"/>
        <v>0</v>
      </c>
    </row>
    <row r="361" spans="1:49">
      <c r="A361" s="114">
        <v>23</v>
      </c>
      <c r="B361" s="116">
        <v>45979</v>
      </c>
      <c r="G361" s="115" t="s">
        <v>327</v>
      </c>
      <c r="H361" s="115">
        <v>7</v>
      </c>
      <c r="I361" s="117" t="str">
        <f t="shared" si="28"/>
        <v>NHGRI_7</v>
      </c>
      <c r="J361" s="123" t="s">
        <v>786</v>
      </c>
      <c r="K361" s="124">
        <v>11</v>
      </c>
      <c r="L361" s="123" t="str">
        <f t="shared" si="27"/>
        <v>NHGRI_7_11</v>
      </c>
      <c r="M361" s="123" t="s">
        <v>1161</v>
      </c>
      <c r="N361" s="115" t="s">
        <v>86</v>
      </c>
      <c r="O361" s="115" t="s">
        <v>328</v>
      </c>
      <c r="P361" s="115">
        <v>100</v>
      </c>
      <c r="Q361" s="115">
        <v>500</v>
      </c>
      <c r="S361" s="115" t="s">
        <v>274</v>
      </c>
      <c r="T361" s="115">
        <v>4</v>
      </c>
      <c r="U361" s="115">
        <v>11.4</v>
      </c>
      <c r="V361" s="115">
        <v>11.51</v>
      </c>
      <c r="W361" s="118">
        <v>4</v>
      </c>
      <c r="X361" s="118">
        <v>12.06</v>
      </c>
      <c r="Y361" s="118">
        <v>1</v>
      </c>
      <c r="Z361" s="118">
        <v>1</v>
      </c>
      <c r="AA361" s="118">
        <v>1</v>
      </c>
      <c r="AB361" s="118">
        <v>1</v>
      </c>
      <c r="AC361" s="118">
        <v>1</v>
      </c>
      <c r="AD361" s="118">
        <v>1</v>
      </c>
      <c r="AE361" s="118">
        <v>1</v>
      </c>
      <c r="AF361" s="118">
        <v>1</v>
      </c>
      <c r="AG361" s="118">
        <v>1</v>
      </c>
      <c r="AH361" s="118">
        <v>1</v>
      </c>
      <c r="AI361" s="118">
        <v>1</v>
      </c>
      <c r="AJ361" s="118">
        <v>1</v>
      </c>
      <c r="AK361" s="118">
        <v>1</v>
      </c>
      <c r="AL361" s="118">
        <v>1</v>
      </c>
      <c r="AM361" s="118">
        <v>1</v>
      </c>
      <c r="AN361" s="118">
        <v>1</v>
      </c>
      <c r="AO361" s="118">
        <v>1</v>
      </c>
      <c r="AP361" s="118">
        <v>1</v>
      </c>
      <c r="AQ361" s="118">
        <v>1</v>
      </c>
      <c r="AR361" s="118">
        <v>0</v>
      </c>
      <c r="AS361" s="118">
        <v>0</v>
      </c>
      <c r="AT361" s="118">
        <v>0</v>
      </c>
      <c r="AU361" s="118">
        <f t="shared" si="25"/>
        <v>0</v>
      </c>
    </row>
    <row r="362" spans="1:49">
      <c r="A362" s="114">
        <v>24</v>
      </c>
      <c r="B362" s="116">
        <v>45981</v>
      </c>
      <c r="C362" s="115" t="s">
        <v>251</v>
      </c>
      <c r="D362" s="115" t="s">
        <v>330</v>
      </c>
      <c r="F362" s="115" t="s">
        <v>317</v>
      </c>
      <c r="G362" s="115" t="s">
        <v>331</v>
      </c>
      <c r="H362" s="115">
        <v>8</v>
      </c>
      <c r="I362" s="117" t="str">
        <f t="shared" si="28"/>
        <v>NHGRI_8</v>
      </c>
      <c r="J362" s="117" t="s">
        <v>787</v>
      </c>
      <c r="K362" s="118">
        <v>1</v>
      </c>
      <c r="L362" s="123" t="str">
        <f t="shared" si="27"/>
        <v>NHGRI_8_1</v>
      </c>
      <c r="M362" s="117" t="s">
        <v>1162</v>
      </c>
      <c r="N362" s="115" t="s">
        <v>86</v>
      </c>
      <c r="O362" s="115" t="s">
        <v>332</v>
      </c>
      <c r="P362" s="115">
        <v>100</v>
      </c>
      <c r="Q362" s="115">
        <v>500</v>
      </c>
      <c r="R362" s="115">
        <v>70</v>
      </c>
      <c r="S362" s="115" t="s">
        <v>282</v>
      </c>
      <c r="T362" s="115">
        <v>4</v>
      </c>
      <c r="U362" s="115">
        <v>10.119999999999999</v>
      </c>
      <c r="V362" s="115">
        <v>10.3</v>
      </c>
      <c r="W362" s="118">
        <v>4</v>
      </c>
      <c r="X362" s="118">
        <v>10.45</v>
      </c>
      <c r="Y362" s="118">
        <v>1</v>
      </c>
      <c r="Z362" s="118">
        <v>1</v>
      </c>
      <c r="AA362" s="118">
        <v>1</v>
      </c>
      <c r="AB362" s="118">
        <v>1</v>
      </c>
      <c r="AC362" s="118">
        <v>1</v>
      </c>
      <c r="AD362" s="118">
        <v>1</v>
      </c>
      <c r="AE362" s="118">
        <v>1</v>
      </c>
      <c r="AF362" s="118">
        <v>1</v>
      </c>
      <c r="AG362" s="118">
        <v>1</v>
      </c>
      <c r="AH362" s="118">
        <v>1</v>
      </c>
      <c r="AI362" s="118">
        <v>1</v>
      </c>
      <c r="AJ362" s="118">
        <v>1</v>
      </c>
      <c r="AK362" s="118">
        <v>1</v>
      </c>
      <c r="AL362" s="118">
        <v>1</v>
      </c>
      <c r="AM362" s="118">
        <v>1</v>
      </c>
      <c r="AN362" s="118">
        <v>1</v>
      </c>
      <c r="AO362" s="118">
        <v>1</v>
      </c>
      <c r="AP362" s="118">
        <v>1</v>
      </c>
      <c r="AQ362" s="118">
        <v>1</v>
      </c>
      <c r="AR362" s="118">
        <v>1</v>
      </c>
      <c r="AS362" s="118">
        <v>1</v>
      </c>
      <c r="AT362" s="118">
        <v>1</v>
      </c>
      <c r="AU362" s="118">
        <f t="shared" si="25"/>
        <v>1</v>
      </c>
      <c r="AV362" s="115" t="s">
        <v>333</v>
      </c>
      <c r="AW362" s="115" t="s">
        <v>334</v>
      </c>
    </row>
    <row r="363" spans="1:49">
      <c r="A363" s="114">
        <v>24</v>
      </c>
      <c r="B363" s="116">
        <v>45981</v>
      </c>
      <c r="D363" s="115" t="s">
        <v>335</v>
      </c>
      <c r="G363" s="115" t="s">
        <v>331</v>
      </c>
      <c r="H363" s="115">
        <v>8</v>
      </c>
      <c r="I363" s="117" t="str">
        <f t="shared" si="28"/>
        <v>NHGRI_8</v>
      </c>
      <c r="J363" s="123" t="s">
        <v>787</v>
      </c>
      <c r="K363" s="124">
        <v>2</v>
      </c>
      <c r="L363" s="123" t="str">
        <f t="shared" si="27"/>
        <v>NHGRI_8_2</v>
      </c>
      <c r="M363" s="123" t="s">
        <v>1163</v>
      </c>
      <c r="N363" s="115" t="s">
        <v>86</v>
      </c>
      <c r="O363" s="115" t="s">
        <v>332</v>
      </c>
      <c r="P363" s="115">
        <v>100</v>
      </c>
      <c r="Q363" s="115">
        <v>500</v>
      </c>
      <c r="S363" s="115" t="s">
        <v>284</v>
      </c>
      <c r="T363" s="115">
        <v>4</v>
      </c>
      <c r="U363" s="115">
        <v>10.3</v>
      </c>
      <c r="V363" s="115">
        <v>10.43</v>
      </c>
      <c r="W363" s="118">
        <v>4</v>
      </c>
      <c r="X363" s="118">
        <v>10.58</v>
      </c>
      <c r="Y363" s="118">
        <v>0</v>
      </c>
      <c r="Z363" s="118">
        <v>0</v>
      </c>
      <c r="AA363" s="118">
        <v>0</v>
      </c>
      <c r="AB363" s="118">
        <v>0</v>
      </c>
      <c r="AC363" s="118">
        <v>0</v>
      </c>
      <c r="AD363" s="118">
        <v>0</v>
      </c>
      <c r="AE363" s="118">
        <v>0</v>
      </c>
      <c r="AF363" s="118">
        <v>0</v>
      </c>
      <c r="AG363" s="118">
        <v>0</v>
      </c>
      <c r="AH363" s="118">
        <v>0</v>
      </c>
      <c r="AI363" s="118">
        <v>0</v>
      </c>
      <c r="AJ363" s="118">
        <v>0</v>
      </c>
      <c r="AK363" s="118">
        <v>0</v>
      </c>
      <c r="AL363" s="118">
        <v>0</v>
      </c>
      <c r="AM363" s="118">
        <v>0</v>
      </c>
      <c r="AN363" s="118">
        <v>0</v>
      </c>
      <c r="AO363" s="118">
        <v>0</v>
      </c>
      <c r="AP363" s="118">
        <v>0</v>
      </c>
      <c r="AQ363" s="118">
        <v>0</v>
      </c>
      <c r="AR363" s="118">
        <v>0</v>
      </c>
      <c r="AS363" s="118">
        <v>0</v>
      </c>
      <c r="AT363" s="118">
        <v>0</v>
      </c>
      <c r="AU363" s="118">
        <f t="shared" si="25"/>
        <v>0</v>
      </c>
    </row>
    <row r="364" spans="1:49">
      <c r="A364" s="114">
        <v>24</v>
      </c>
      <c r="B364" s="116">
        <v>45981</v>
      </c>
      <c r="G364" s="115" t="s">
        <v>331</v>
      </c>
      <c r="H364" s="115">
        <v>8</v>
      </c>
      <c r="I364" s="117" t="str">
        <f t="shared" si="28"/>
        <v>NHGRI_8</v>
      </c>
      <c r="J364" s="123" t="s">
        <v>787</v>
      </c>
      <c r="K364" s="124">
        <v>3</v>
      </c>
      <c r="L364" s="123" t="str">
        <f t="shared" si="27"/>
        <v>NHGRI_8_3</v>
      </c>
      <c r="M364" s="123" t="s">
        <v>1164</v>
      </c>
      <c r="N364" s="115" t="s">
        <v>86</v>
      </c>
      <c r="O364" s="115" t="s">
        <v>332</v>
      </c>
      <c r="P364" s="115">
        <v>100</v>
      </c>
      <c r="Q364" s="115">
        <v>500</v>
      </c>
      <c r="S364" s="115" t="s">
        <v>285</v>
      </c>
      <c r="T364" s="115">
        <v>4</v>
      </c>
      <c r="U364" s="115">
        <v>10.47</v>
      </c>
      <c r="V364" s="115">
        <v>10.58</v>
      </c>
      <c r="W364" s="118">
        <v>4</v>
      </c>
      <c r="X364" s="118">
        <v>11.12</v>
      </c>
      <c r="Y364" s="118">
        <v>1</v>
      </c>
      <c r="Z364" s="118">
        <v>1</v>
      </c>
      <c r="AA364" s="118">
        <v>1</v>
      </c>
      <c r="AB364" s="118">
        <v>1</v>
      </c>
      <c r="AC364" s="118">
        <v>1</v>
      </c>
      <c r="AD364" s="118">
        <v>1</v>
      </c>
      <c r="AE364" s="118">
        <v>1</v>
      </c>
      <c r="AF364" s="118">
        <v>1</v>
      </c>
      <c r="AG364" s="118">
        <v>1</v>
      </c>
      <c r="AH364" s="118">
        <v>1</v>
      </c>
      <c r="AI364" s="118">
        <v>1</v>
      </c>
      <c r="AJ364" s="118">
        <v>0</v>
      </c>
      <c r="AK364" s="118">
        <v>0</v>
      </c>
      <c r="AL364" s="118">
        <v>0</v>
      </c>
      <c r="AM364" s="118">
        <v>0</v>
      </c>
      <c r="AN364" s="118">
        <v>0</v>
      </c>
      <c r="AO364" s="118">
        <v>0</v>
      </c>
      <c r="AP364" s="118">
        <v>0</v>
      </c>
      <c r="AQ364" s="118">
        <v>0</v>
      </c>
      <c r="AR364" s="118">
        <v>0</v>
      </c>
      <c r="AS364" s="118">
        <v>0</v>
      </c>
      <c r="AT364" s="118">
        <v>0</v>
      </c>
      <c r="AU364" s="118">
        <f t="shared" si="25"/>
        <v>0</v>
      </c>
    </row>
    <row r="365" spans="1:49">
      <c r="A365" s="114">
        <v>24</v>
      </c>
      <c r="B365" s="116">
        <v>45981</v>
      </c>
      <c r="G365" s="115" t="s">
        <v>331</v>
      </c>
      <c r="H365" s="115">
        <v>8</v>
      </c>
      <c r="I365" s="117" t="str">
        <f t="shared" si="28"/>
        <v>NHGRI_8</v>
      </c>
      <c r="J365" s="123" t="s">
        <v>787</v>
      </c>
      <c r="K365" s="118">
        <v>4</v>
      </c>
      <c r="L365" s="123" t="str">
        <f t="shared" si="27"/>
        <v>NHGRI_8_4</v>
      </c>
      <c r="M365" s="123" t="s">
        <v>1165</v>
      </c>
      <c r="N365" s="115" t="s">
        <v>86</v>
      </c>
      <c r="O365" s="115" t="s">
        <v>332</v>
      </c>
      <c r="P365" s="115">
        <v>100</v>
      </c>
      <c r="Q365" s="115">
        <v>500</v>
      </c>
      <c r="S365" s="115" t="s">
        <v>286</v>
      </c>
      <c r="T365" s="115">
        <v>3</v>
      </c>
      <c r="U365" s="115">
        <v>10.59</v>
      </c>
      <c r="V365" s="115">
        <v>11.1</v>
      </c>
      <c r="W365" s="118">
        <v>3</v>
      </c>
      <c r="X365" s="118">
        <v>11.26</v>
      </c>
      <c r="Y365" s="118">
        <v>2</v>
      </c>
      <c r="Z365" s="118">
        <v>2</v>
      </c>
      <c r="AA365" s="118">
        <v>2</v>
      </c>
      <c r="AB365" s="118">
        <v>2</v>
      </c>
      <c r="AC365" s="118">
        <v>2</v>
      </c>
      <c r="AD365" s="118">
        <v>2</v>
      </c>
      <c r="AE365" s="118">
        <v>2</v>
      </c>
      <c r="AF365" s="118">
        <v>2</v>
      </c>
      <c r="AG365" s="118">
        <v>2</v>
      </c>
      <c r="AH365" s="118">
        <v>2</v>
      </c>
      <c r="AI365" s="118">
        <v>2</v>
      </c>
      <c r="AJ365" s="118">
        <v>2</v>
      </c>
      <c r="AK365" s="118">
        <v>0</v>
      </c>
      <c r="AL365" s="118">
        <v>0</v>
      </c>
      <c r="AM365" s="118">
        <v>0</v>
      </c>
      <c r="AN365" s="118">
        <v>0</v>
      </c>
      <c r="AO365" s="118">
        <v>0</v>
      </c>
      <c r="AP365" s="118">
        <v>0</v>
      </c>
      <c r="AQ365" s="118">
        <v>0</v>
      </c>
      <c r="AR365" s="118">
        <v>0</v>
      </c>
      <c r="AS365" s="118">
        <v>0</v>
      </c>
      <c r="AT365" s="118">
        <v>0</v>
      </c>
      <c r="AU365" s="118">
        <f t="shared" si="25"/>
        <v>0</v>
      </c>
    </row>
    <row r="366" spans="1:49">
      <c r="A366" s="114">
        <v>24</v>
      </c>
      <c r="B366" s="116">
        <v>45981</v>
      </c>
      <c r="G366" s="115" t="s">
        <v>331</v>
      </c>
      <c r="H366" s="115">
        <v>8</v>
      </c>
      <c r="I366" s="117" t="str">
        <f t="shared" si="28"/>
        <v>NHGRI_8</v>
      </c>
      <c r="J366" s="123" t="s">
        <v>787</v>
      </c>
      <c r="K366" s="124">
        <v>5</v>
      </c>
      <c r="L366" s="123" t="str">
        <f t="shared" si="27"/>
        <v>NHGRI_8_5</v>
      </c>
      <c r="M366" s="123" t="s">
        <v>1166</v>
      </c>
      <c r="N366" s="115" t="s">
        <v>86</v>
      </c>
      <c r="O366" s="115" t="s">
        <v>332</v>
      </c>
      <c r="P366" s="115">
        <v>100</v>
      </c>
      <c r="Q366" s="115">
        <v>500</v>
      </c>
      <c r="S366" s="115" t="s">
        <v>287</v>
      </c>
      <c r="T366" s="115">
        <v>3</v>
      </c>
      <c r="U366" s="115">
        <v>11.1</v>
      </c>
      <c r="V366" s="115">
        <v>11.26</v>
      </c>
      <c r="W366" s="118">
        <v>3</v>
      </c>
      <c r="X366" s="118">
        <v>11.38</v>
      </c>
      <c r="Y366" s="118">
        <v>1</v>
      </c>
      <c r="Z366" s="118">
        <v>1</v>
      </c>
      <c r="AA366" s="118">
        <v>1</v>
      </c>
      <c r="AB366" s="118">
        <v>1</v>
      </c>
      <c r="AC366" s="118">
        <v>1</v>
      </c>
      <c r="AD366" s="118">
        <v>1</v>
      </c>
      <c r="AE366" s="118">
        <v>1</v>
      </c>
      <c r="AF366" s="118">
        <v>1</v>
      </c>
      <c r="AG366" s="118">
        <v>1</v>
      </c>
      <c r="AH366" s="118">
        <v>1</v>
      </c>
      <c r="AI366" s="118">
        <v>1</v>
      </c>
      <c r="AJ366" s="118">
        <v>1</v>
      </c>
      <c r="AK366" s="118">
        <v>1</v>
      </c>
      <c r="AL366" s="118">
        <v>0</v>
      </c>
      <c r="AM366" s="118">
        <v>0</v>
      </c>
      <c r="AN366" s="118">
        <v>0</v>
      </c>
      <c r="AO366" s="118">
        <v>0</v>
      </c>
      <c r="AP366" s="118">
        <v>0</v>
      </c>
      <c r="AQ366" s="118">
        <v>0</v>
      </c>
      <c r="AR366" s="118">
        <v>0</v>
      </c>
      <c r="AS366" s="118">
        <v>0</v>
      </c>
      <c r="AT366" s="118">
        <v>0</v>
      </c>
      <c r="AU366" s="118">
        <f t="shared" si="25"/>
        <v>0</v>
      </c>
    </row>
    <row r="367" spans="1:49">
      <c r="A367" s="114">
        <v>24</v>
      </c>
      <c r="B367" s="116">
        <v>45981</v>
      </c>
      <c r="G367" s="115" t="s">
        <v>331</v>
      </c>
      <c r="H367" s="115">
        <v>8</v>
      </c>
      <c r="I367" s="117" t="str">
        <f t="shared" si="28"/>
        <v>NHGRI_8</v>
      </c>
      <c r="J367" s="123" t="s">
        <v>787</v>
      </c>
      <c r="K367" s="124">
        <v>6</v>
      </c>
      <c r="L367" s="123" t="str">
        <f t="shared" si="27"/>
        <v>NHGRI_8_6</v>
      </c>
      <c r="M367" s="123" t="s">
        <v>1167</v>
      </c>
      <c r="N367" s="115" t="s">
        <v>86</v>
      </c>
      <c r="O367" s="115" t="s">
        <v>332</v>
      </c>
      <c r="P367" s="115">
        <v>100</v>
      </c>
      <c r="Q367" s="115">
        <v>500</v>
      </c>
      <c r="S367" s="115" t="s">
        <v>288</v>
      </c>
      <c r="T367" s="115">
        <v>4</v>
      </c>
      <c r="U367" s="115">
        <v>11.26</v>
      </c>
      <c r="V367" s="115">
        <v>11.43</v>
      </c>
      <c r="W367" s="118">
        <v>4</v>
      </c>
      <c r="X367" s="118">
        <v>11.54</v>
      </c>
      <c r="Y367" s="118">
        <v>0</v>
      </c>
      <c r="Z367" s="118">
        <v>0</v>
      </c>
      <c r="AA367" s="118">
        <v>0</v>
      </c>
      <c r="AB367" s="118">
        <v>0</v>
      </c>
      <c r="AC367" s="118">
        <v>0</v>
      </c>
      <c r="AD367" s="118">
        <v>0</v>
      </c>
      <c r="AE367" s="118">
        <v>0</v>
      </c>
      <c r="AF367" s="118">
        <v>0</v>
      </c>
      <c r="AG367" s="118">
        <v>0</v>
      </c>
      <c r="AH367" s="118">
        <v>0</v>
      </c>
      <c r="AI367" s="118">
        <v>0</v>
      </c>
      <c r="AJ367" s="118">
        <v>0</v>
      </c>
      <c r="AK367" s="118">
        <v>0</v>
      </c>
      <c r="AL367" s="118">
        <v>0</v>
      </c>
      <c r="AM367" s="118">
        <v>0</v>
      </c>
      <c r="AN367" s="118">
        <v>0</v>
      </c>
      <c r="AO367" s="118">
        <v>0</v>
      </c>
      <c r="AP367" s="118">
        <v>0</v>
      </c>
      <c r="AQ367" s="118">
        <v>0</v>
      </c>
      <c r="AR367" s="118">
        <v>0</v>
      </c>
      <c r="AS367" s="118">
        <v>0</v>
      </c>
      <c r="AT367" s="118">
        <v>0</v>
      </c>
      <c r="AU367" s="118">
        <f t="shared" si="25"/>
        <v>0</v>
      </c>
    </row>
    <row r="368" spans="1:49">
      <c r="A368" s="114">
        <v>24</v>
      </c>
      <c r="B368" s="116">
        <v>45981</v>
      </c>
      <c r="G368" s="115" t="s">
        <v>331</v>
      </c>
      <c r="H368" s="115">
        <v>8</v>
      </c>
      <c r="I368" s="117" t="str">
        <f t="shared" si="28"/>
        <v>NHGRI_8</v>
      </c>
      <c r="J368" s="123" t="s">
        <v>787</v>
      </c>
      <c r="K368" s="118">
        <v>7</v>
      </c>
      <c r="L368" s="123" t="str">
        <f t="shared" si="27"/>
        <v>NHGRI_8_7</v>
      </c>
      <c r="M368" s="123" t="s">
        <v>1168</v>
      </c>
      <c r="N368" s="115" t="s">
        <v>86</v>
      </c>
      <c r="O368" s="115" t="s">
        <v>332</v>
      </c>
      <c r="P368" s="115">
        <v>100</v>
      </c>
      <c r="Q368" s="115">
        <v>500</v>
      </c>
      <c r="S368" s="115" t="s">
        <v>289</v>
      </c>
      <c r="T368" s="115">
        <v>3</v>
      </c>
      <c r="U368" s="115">
        <v>11.43</v>
      </c>
      <c r="V368" s="115">
        <v>11.52</v>
      </c>
      <c r="W368" s="118">
        <v>3</v>
      </c>
      <c r="X368" s="118">
        <v>12.06</v>
      </c>
      <c r="Y368" s="118">
        <v>0</v>
      </c>
      <c r="Z368" s="118">
        <v>0</v>
      </c>
      <c r="AA368" s="118">
        <v>0</v>
      </c>
      <c r="AB368" s="118">
        <v>0</v>
      </c>
      <c r="AC368" s="118">
        <v>0</v>
      </c>
      <c r="AD368" s="118">
        <v>0</v>
      </c>
      <c r="AE368" s="118">
        <v>0</v>
      </c>
      <c r="AF368" s="118">
        <v>0</v>
      </c>
      <c r="AG368" s="118">
        <v>0</v>
      </c>
      <c r="AH368" s="118">
        <v>0</v>
      </c>
      <c r="AI368" s="118">
        <v>0</v>
      </c>
      <c r="AJ368" s="118">
        <v>0</v>
      </c>
      <c r="AK368" s="118">
        <v>0</v>
      </c>
      <c r="AL368" s="118">
        <v>0</v>
      </c>
      <c r="AM368" s="118">
        <v>0</v>
      </c>
      <c r="AN368" s="118">
        <v>0</v>
      </c>
      <c r="AO368" s="118">
        <v>0</v>
      </c>
      <c r="AP368" s="118">
        <v>0</v>
      </c>
      <c r="AQ368" s="118">
        <v>0</v>
      </c>
      <c r="AR368" s="118">
        <v>0</v>
      </c>
      <c r="AS368" s="118">
        <v>0</v>
      </c>
      <c r="AT368" s="118">
        <v>0</v>
      </c>
      <c r="AU368" s="118">
        <f t="shared" si="25"/>
        <v>0</v>
      </c>
    </row>
    <row r="369" spans="1:49">
      <c r="A369" s="114">
        <v>24</v>
      </c>
      <c r="B369" s="116">
        <v>45981</v>
      </c>
      <c r="G369" s="115" t="s">
        <v>331</v>
      </c>
      <c r="H369" s="115">
        <v>8</v>
      </c>
      <c r="I369" s="117" t="str">
        <f t="shared" si="28"/>
        <v>NHGRI_8</v>
      </c>
      <c r="J369" s="123" t="s">
        <v>787</v>
      </c>
      <c r="K369" s="124">
        <v>8</v>
      </c>
      <c r="L369" s="123" t="str">
        <f t="shared" si="27"/>
        <v>NHGRI_8_8</v>
      </c>
      <c r="M369" s="123" t="s">
        <v>1169</v>
      </c>
      <c r="N369" s="115" t="s">
        <v>86</v>
      </c>
      <c r="O369" s="115" t="s">
        <v>332</v>
      </c>
      <c r="P369" s="115">
        <v>100</v>
      </c>
      <c r="Q369" s="115">
        <v>500</v>
      </c>
      <c r="S369" s="115" t="s">
        <v>269</v>
      </c>
      <c r="T369" s="115">
        <v>3</v>
      </c>
      <c r="U369" s="115">
        <v>10.15</v>
      </c>
      <c r="V369" s="115">
        <v>10.27</v>
      </c>
      <c r="W369" s="118">
        <v>3</v>
      </c>
      <c r="X369" s="118">
        <v>10.42</v>
      </c>
      <c r="Y369" s="118">
        <v>0</v>
      </c>
      <c r="Z369" s="118">
        <v>0</v>
      </c>
      <c r="AA369" s="118">
        <v>0</v>
      </c>
      <c r="AB369" s="118">
        <v>0</v>
      </c>
      <c r="AC369" s="118">
        <v>0</v>
      </c>
      <c r="AD369" s="118">
        <v>0</v>
      </c>
      <c r="AE369" s="118">
        <v>0</v>
      </c>
      <c r="AF369" s="118">
        <v>0</v>
      </c>
      <c r="AG369" s="118">
        <v>0</v>
      </c>
      <c r="AH369" s="118">
        <v>0</v>
      </c>
      <c r="AI369" s="118">
        <v>0</v>
      </c>
      <c r="AJ369" s="118">
        <v>0</v>
      </c>
      <c r="AK369" s="118">
        <v>0</v>
      </c>
      <c r="AL369" s="118">
        <v>0</v>
      </c>
      <c r="AM369" s="118">
        <v>0</v>
      </c>
      <c r="AN369" s="118">
        <v>0</v>
      </c>
      <c r="AO369" s="118">
        <v>0</v>
      </c>
      <c r="AP369" s="118">
        <v>0</v>
      </c>
      <c r="AQ369" s="118">
        <v>0</v>
      </c>
      <c r="AR369" s="118">
        <v>0</v>
      </c>
      <c r="AS369" s="118">
        <v>0</v>
      </c>
      <c r="AT369" s="118">
        <v>0</v>
      </c>
      <c r="AU369" s="118">
        <f t="shared" si="25"/>
        <v>0</v>
      </c>
    </row>
    <row r="370" spans="1:49">
      <c r="A370" s="114">
        <v>24</v>
      </c>
      <c r="B370" s="116">
        <v>45981</v>
      </c>
      <c r="G370" s="115" t="s">
        <v>331</v>
      </c>
      <c r="H370" s="115">
        <v>8</v>
      </c>
      <c r="I370" s="117" t="str">
        <f t="shared" si="28"/>
        <v>NHGRI_8</v>
      </c>
      <c r="J370" s="123" t="s">
        <v>787</v>
      </c>
      <c r="K370" s="124">
        <v>9</v>
      </c>
      <c r="L370" s="123" t="str">
        <f t="shared" si="27"/>
        <v>NHGRI_8_9</v>
      </c>
      <c r="M370" s="123" t="s">
        <v>1170</v>
      </c>
      <c r="N370" s="115" t="s">
        <v>86</v>
      </c>
      <c r="O370" s="115" t="s">
        <v>332</v>
      </c>
      <c r="P370" s="115">
        <v>100</v>
      </c>
      <c r="Q370" s="115">
        <v>500</v>
      </c>
      <c r="S370" s="115" t="s">
        <v>270</v>
      </c>
      <c r="T370" s="115">
        <v>2</v>
      </c>
      <c r="U370" s="115">
        <v>10.32</v>
      </c>
      <c r="V370" s="115">
        <v>10.38</v>
      </c>
      <c r="W370" s="118">
        <v>2</v>
      </c>
      <c r="X370" s="118">
        <v>10.53</v>
      </c>
      <c r="Y370" s="118">
        <v>2</v>
      </c>
      <c r="Z370" s="118">
        <v>2</v>
      </c>
      <c r="AA370" s="118">
        <v>2</v>
      </c>
      <c r="AB370" s="118">
        <v>2</v>
      </c>
      <c r="AC370" s="118">
        <v>2</v>
      </c>
      <c r="AD370" s="118">
        <v>2</v>
      </c>
      <c r="AE370" s="118">
        <v>2</v>
      </c>
      <c r="AF370" s="118">
        <v>2</v>
      </c>
      <c r="AG370" s="118">
        <v>2</v>
      </c>
      <c r="AH370" s="118">
        <v>2</v>
      </c>
      <c r="AI370" s="118">
        <v>2</v>
      </c>
      <c r="AJ370" s="118">
        <v>2</v>
      </c>
      <c r="AK370" s="118">
        <v>2</v>
      </c>
      <c r="AL370" s="118">
        <v>0</v>
      </c>
      <c r="AM370" s="118">
        <v>0</v>
      </c>
      <c r="AN370" s="118">
        <v>0</v>
      </c>
      <c r="AO370" s="118">
        <v>0</v>
      </c>
      <c r="AP370" s="118">
        <v>0</v>
      </c>
      <c r="AQ370" s="118">
        <v>0</v>
      </c>
      <c r="AR370" s="118">
        <v>0</v>
      </c>
      <c r="AS370" s="118">
        <v>0</v>
      </c>
      <c r="AT370" s="118">
        <v>0</v>
      </c>
      <c r="AU370" s="118">
        <f t="shared" si="25"/>
        <v>0</v>
      </c>
    </row>
    <row r="371" spans="1:49">
      <c r="A371" s="114">
        <v>24</v>
      </c>
      <c r="B371" s="116">
        <v>45981</v>
      </c>
      <c r="G371" s="115" t="s">
        <v>331</v>
      </c>
      <c r="H371" s="115">
        <v>8</v>
      </c>
      <c r="I371" s="117" t="str">
        <f t="shared" si="28"/>
        <v>NHGRI_8</v>
      </c>
      <c r="J371" s="123" t="s">
        <v>787</v>
      </c>
      <c r="K371" s="118">
        <v>10</v>
      </c>
      <c r="L371" s="123" t="str">
        <f t="shared" si="27"/>
        <v>NHGRI_8_10</v>
      </c>
      <c r="M371" s="123" t="s">
        <v>1171</v>
      </c>
      <c r="N371" s="115" t="s">
        <v>86</v>
      </c>
      <c r="O371" s="115" t="s">
        <v>332</v>
      </c>
      <c r="P371" s="115">
        <v>100</v>
      </c>
      <c r="Q371" s="115">
        <v>500</v>
      </c>
      <c r="S371" s="115" t="s">
        <v>271</v>
      </c>
      <c r="T371" s="115">
        <v>1</v>
      </c>
      <c r="U371" s="115">
        <v>10.4</v>
      </c>
      <c r="V371" s="115">
        <v>10.46</v>
      </c>
      <c r="W371" s="118">
        <v>1</v>
      </c>
      <c r="X371" s="118">
        <v>11.01</v>
      </c>
      <c r="Y371" s="118">
        <v>0</v>
      </c>
      <c r="Z371" s="118">
        <v>0</v>
      </c>
      <c r="AA371" s="118">
        <v>0</v>
      </c>
      <c r="AB371" s="118">
        <v>0</v>
      </c>
      <c r="AC371" s="118">
        <v>0</v>
      </c>
      <c r="AD371" s="118">
        <v>0</v>
      </c>
      <c r="AE371" s="118">
        <v>0</v>
      </c>
      <c r="AF371" s="118">
        <v>0</v>
      </c>
      <c r="AG371" s="118">
        <v>0</v>
      </c>
      <c r="AH371" s="118">
        <v>0</v>
      </c>
      <c r="AI371" s="118">
        <v>0</v>
      </c>
      <c r="AJ371" s="118">
        <v>0</v>
      </c>
      <c r="AK371" s="118">
        <v>0</v>
      </c>
      <c r="AL371" s="118">
        <v>0</v>
      </c>
      <c r="AM371" s="118">
        <v>0</v>
      </c>
      <c r="AN371" s="118">
        <v>0</v>
      </c>
      <c r="AO371" s="118">
        <v>0</v>
      </c>
      <c r="AP371" s="118">
        <v>0</v>
      </c>
      <c r="AQ371" s="118">
        <v>0</v>
      </c>
      <c r="AR371" s="118">
        <v>0</v>
      </c>
      <c r="AS371" s="118">
        <v>0</v>
      </c>
      <c r="AT371" s="118">
        <v>0</v>
      </c>
      <c r="AU371" s="118">
        <f t="shared" si="25"/>
        <v>0</v>
      </c>
    </row>
    <row r="372" spans="1:49">
      <c r="A372" s="114">
        <v>24</v>
      </c>
      <c r="B372" s="116">
        <v>45981</v>
      </c>
      <c r="G372" s="115" t="s">
        <v>331</v>
      </c>
      <c r="H372" s="115">
        <v>8</v>
      </c>
      <c r="I372" s="117" t="str">
        <f t="shared" si="28"/>
        <v>NHGRI_8</v>
      </c>
      <c r="J372" s="123" t="s">
        <v>787</v>
      </c>
      <c r="K372" s="124">
        <v>11</v>
      </c>
      <c r="L372" s="123" t="str">
        <f t="shared" si="27"/>
        <v>NHGRI_8_11</v>
      </c>
      <c r="M372" s="123" t="s">
        <v>1172</v>
      </c>
      <c r="N372" s="115" t="s">
        <v>86</v>
      </c>
      <c r="O372" s="115" t="s">
        <v>332</v>
      </c>
      <c r="P372" s="115">
        <v>100</v>
      </c>
      <c r="Q372" s="115">
        <v>500</v>
      </c>
      <c r="S372" s="115" t="s">
        <v>272</v>
      </c>
      <c r="T372" s="115">
        <v>3</v>
      </c>
      <c r="U372" s="115">
        <v>10.48</v>
      </c>
      <c r="V372" s="115">
        <v>11</v>
      </c>
      <c r="W372" s="118">
        <v>3</v>
      </c>
      <c r="X372" s="118">
        <v>11.14</v>
      </c>
      <c r="Y372" s="118">
        <v>1</v>
      </c>
      <c r="Z372" s="118">
        <v>1</v>
      </c>
      <c r="AA372" s="118">
        <v>1</v>
      </c>
      <c r="AB372" s="118">
        <v>1</v>
      </c>
      <c r="AC372" s="118">
        <v>1</v>
      </c>
      <c r="AD372" s="118">
        <v>1</v>
      </c>
      <c r="AE372" s="118">
        <v>1</v>
      </c>
      <c r="AF372" s="118">
        <v>1</v>
      </c>
      <c r="AG372" s="118">
        <v>1</v>
      </c>
      <c r="AH372" s="118">
        <v>1</v>
      </c>
      <c r="AI372" s="118">
        <v>1</v>
      </c>
      <c r="AJ372" s="118"/>
      <c r="AK372" s="118"/>
      <c r="AL372" s="118">
        <v>0</v>
      </c>
      <c r="AM372" s="118">
        <v>0</v>
      </c>
      <c r="AN372" s="118">
        <v>0</v>
      </c>
      <c r="AO372" s="118">
        <v>0</v>
      </c>
      <c r="AP372" s="118">
        <v>0</v>
      </c>
      <c r="AQ372" s="118">
        <v>0</v>
      </c>
      <c r="AR372" s="118">
        <v>0</v>
      </c>
      <c r="AS372" s="118">
        <v>0</v>
      </c>
      <c r="AT372" s="118">
        <v>0</v>
      </c>
      <c r="AU372" s="118">
        <f t="shared" si="25"/>
        <v>0</v>
      </c>
    </row>
    <row r="373" spans="1:49">
      <c r="A373" s="114">
        <v>24</v>
      </c>
      <c r="B373" s="116">
        <v>45981</v>
      </c>
      <c r="G373" s="115" t="s">
        <v>331</v>
      </c>
      <c r="H373" s="115">
        <v>8</v>
      </c>
      <c r="I373" s="117" t="str">
        <f t="shared" si="28"/>
        <v>NHGRI_8</v>
      </c>
      <c r="J373" s="117" t="s">
        <v>787</v>
      </c>
      <c r="K373" s="124">
        <v>12</v>
      </c>
      <c r="L373" s="123" t="str">
        <f t="shared" si="27"/>
        <v>NHGRI_8_12</v>
      </c>
      <c r="M373" s="117" t="s">
        <v>1173</v>
      </c>
      <c r="N373" s="115" t="s">
        <v>86</v>
      </c>
      <c r="O373" s="115" t="s">
        <v>332</v>
      </c>
      <c r="P373" s="115">
        <v>100</v>
      </c>
      <c r="Q373" s="115">
        <v>500</v>
      </c>
      <c r="S373" s="115" t="s">
        <v>273</v>
      </c>
      <c r="T373" s="115">
        <v>2</v>
      </c>
      <c r="U373" s="115">
        <v>11.03</v>
      </c>
      <c r="V373" s="115">
        <v>11.09</v>
      </c>
      <c r="W373" s="118">
        <v>2</v>
      </c>
      <c r="X373" s="118">
        <v>11.25</v>
      </c>
      <c r="Y373" s="118">
        <v>2</v>
      </c>
      <c r="Z373" s="118">
        <v>2</v>
      </c>
      <c r="AA373" s="118">
        <v>2</v>
      </c>
      <c r="AB373" s="118">
        <v>2</v>
      </c>
      <c r="AC373" s="118">
        <v>2</v>
      </c>
      <c r="AD373" s="118">
        <v>2</v>
      </c>
      <c r="AE373" s="118">
        <v>2</v>
      </c>
      <c r="AF373" s="118">
        <v>2</v>
      </c>
      <c r="AG373" s="118">
        <v>2</v>
      </c>
      <c r="AH373" s="118">
        <v>2</v>
      </c>
      <c r="AI373" s="118">
        <v>2</v>
      </c>
      <c r="AJ373" s="118">
        <v>2</v>
      </c>
      <c r="AK373" s="118">
        <v>2</v>
      </c>
      <c r="AL373" s="118">
        <v>2</v>
      </c>
      <c r="AM373" s="118">
        <v>2</v>
      </c>
      <c r="AN373" s="118">
        <v>2</v>
      </c>
      <c r="AO373" s="118">
        <v>2</v>
      </c>
      <c r="AP373" s="118">
        <v>2</v>
      </c>
      <c r="AQ373" s="118">
        <v>2</v>
      </c>
      <c r="AR373" s="118">
        <v>2</v>
      </c>
      <c r="AS373" s="118">
        <v>0</v>
      </c>
      <c r="AT373" s="118">
        <v>0</v>
      </c>
      <c r="AU373" s="118">
        <f t="shared" si="25"/>
        <v>0</v>
      </c>
    </row>
    <row r="374" spans="1:49">
      <c r="A374" s="114">
        <v>24</v>
      </c>
      <c r="B374" s="116">
        <v>45981</v>
      </c>
      <c r="G374" s="115" t="s">
        <v>331</v>
      </c>
      <c r="H374" s="115">
        <v>8</v>
      </c>
      <c r="I374" s="117" t="str">
        <f t="shared" si="28"/>
        <v>NHGRI_8</v>
      </c>
      <c r="J374" s="123" t="s">
        <v>787</v>
      </c>
      <c r="K374" s="118">
        <v>13</v>
      </c>
      <c r="L374" s="123" t="str">
        <f t="shared" si="27"/>
        <v>NHGRI_8_13</v>
      </c>
      <c r="M374" s="123" t="s">
        <v>1174</v>
      </c>
      <c r="N374" s="115" t="s">
        <v>86</v>
      </c>
      <c r="O374" s="115" t="s">
        <v>332</v>
      </c>
      <c r="P374" s="115">
        <v>100</v>
      </c>
      <c r="Q374" s="115">
        <v>500</v>
      </c>
      <c r="S374" s="115" t="s">
        <v>274</v>
      </c>
      <c r="T374" s="115">
        <v>3</v>
      </c>
      <c r="U374" s="115">
        <v>11.13</v>
      </c>
      <c r="V374" s="115">
        <v>11.21</v>
      </c>
      <c r="W374" s="118">
        <v>3</v>
      </c>
      <c r="X374" s="118">
        <v>11.37</v>
      </c>
      <c r="Y374" s="118">
        <v>1</v>
      </c>
      <c r="Z374" s="118">
        <v>1</v>
      </c>
      <c r="AA374" s="118">
        <v>1</v>
      </c>
      <c r="AB374" s="118">
        <v>1</v>
      </c>
      <c r="AC374" s="118">
        <v>1</v>
      </c>
      <c r="AD374" s="118">
        <v>1</v>
      </c>
      <c r="AE374" s="118">
        <v>1</v>
      </c>
      <c r="AF374" s="118">
        <v>1</v>
      </c>
      <c r="AG374" s="118">
        <v>1</v>
      </c>
      <c r="AH374" s="118">
        <v>1</v>
      </c>
      <c r="AI374" s="118">
        <v>1</v>
      </c>
      <c r="AJ374" s="118">
        <v>1</v>
      </c>
      <c r="AK374" s="118">
        <v>1</v>
      </c>
      <c r="AL374" s="118">
        <v>1</v>
      </c>
      <c r="AM374" s="118">
        <v>0</v>
      </c>
      <c r="AN374" s="118">
        <v>0</v>
      </c>
      <c r="AO374" s="118">
        <v>0</v>
      </c>
      <c r="AP374" s="118">
        <v>0</v>
      </c>
      <c r="AQ374" s="118">
        <v>0</v>
      </c>
      <c r="AR374" s="118">
        <v>0</v>
      </c>
      <c r="AS374" s="118">
        <v>0</v>
      </c>
      <c r="AT374" s="118">
        <v>0</v>
      </c>
      <c r="AU374" s="118">
        <f t="shared" si="25"/>
        <v>0</v>
      </c>
    </row>
    <row r="375" spans="1:49">
      <c r="A375" s="114">
        <v>24</v>
      </c>
      <c r="B375" s="116">
        <v>45981</v>
      </c>
      <c r="G375" s="115" t="s">
        <v>331</v>
      </c>
      <c r="H375" s="115">
        <v>8</v>
      </c>
      <c r="I375" s="117" t="str">
        <f t="shared" si="28"/>
        <v>NHGRI_8</v>
      </c>
      <c r="J375" s="123" t="s">
        <v>787</v>
      </c>
      <c r="K375" s="124">
        <v>14</v>
      </c>
      <c r="L375" s="123" t="str">
        <f t="shared" si="27"/>
        <v>NHGRI_8_14</v>
      </c>
      <c r="M375" s="123" t="s">
        <v>1175</v>
      </c>
      <c r="N375" s="115" t="s">
        <v>86</v>
      </c>
      <c r="O375" s="115" t="s">
        <v>332</v>
      </c>
      <c r="P375" s="115">
        <v>100</v>
      </c>
      <c r="Q375" s="115">
        <v>500</v>
      </c>
      <c r="S375" s="115" t="s">
        <v>275</v>
      </c>
      <c r="T375" s="115">
        <v>3</v>
      </c>
      <c r="U375" s="115">
        <v>11.26</v>
      </c>
      <c r="V375" s="115">
        <v>11.35</v>
      </c>
      <c r="W375" s="118">
        <v>3</v>
      </c>
      <c r="X375" s="118">
        <v>11.53</v>
      </c>
      <c r="Y375" s="118">
        <v>0</v>
      </c>
      <c r="Z375" s="118">
        <v>0</v>
      </c>
      <c r="AA375" s="118">
        <v>0</v>
      </c>
      <c r="AB375" s="118">
        <v>0</v>
      </c>
      <c r="AC375" s="118">
        <v>0</v>
      </c>
      <c r="AD375" s="118">
        <v>0</v>
      </c>
      <c r="AE375" s="118">
        <v>0</v>
      </c>
      <c r="AF375" s="118">
        <v>0</v>
      </c>
      <c r="AG375" s="118">
        <v>0</v>
      </c>
      <c r="AH375" s="118">
        <v>0</v>
      </c>
      <c r="AI375" s="118">
        <v>0</v>
      </c>
      <c r="AJ375" s="118">
        <v>0</v>
      </c>
      <c r="AK375" s="118">
        <v>0</v>
      </c>
      <c r="AL375" s="118">
        <v>0</v>
      </c>
      <c r="AM375" s="118">
        <v>0</v>
      </c>
      <c r="AN375" s="118">
        <v>0</v>
      </c>
      <c r="AO375" s="118">
        <v>0</v>
      </c>
      <c r="AP375" s="118">
        <v>0</v>
      </c>
      <c r="AQ375" s="118">
        <v>0</v>
      </c>
      <c r="AR375" s="118">
        <v>0</v>
      </c>
      <c r="AS375" s="118">
        <v>0</v>
      </c>
      <c r="AT375" s="118">
        <v>0</v>
      </c>
      <c r="AU375" s="118">
        <f t="shared" si="25"/>
        <v>0</v>
      </c>
    </row>
    <row r="376" spans="1:49">
      <c r="A376" s="114">
        <v>24</v>
      </c>
      <c r="B376" s="116">
        <v>45981</v>
      </c>
      <c r="G376" s="115" t="s">
        <v>331</v>
      </c>
      <c r="H376" s="115">
        <v>8</v>
      </c>
      <c r="I376" s="117" t="str">
        <f t="shared" si="28"/>
        <v>NHGRI_8</v>
      </c>
      <c r="J376" s="123" t="s">
        <v>787</v>
      </c>
      <c r="K376" s="124">
        <v>15</v>
      </c>
      <c r="L376" s="123" t="str">
        <f t="shared" si="27"/>
        <v>NHGRI_8_15</v>
      </c>
      <c r="M376" s="123" t="s">
        <v>1176</v>
      </c>
      <c r="N376" s="115" t="s">
        <v>86</v>
      </c>
      <c r="O376" s="115" t="s">
        <v>332</v>
      </c>
      <c r="P376" s="115">
        <v>100</v>
      </c>
      <c r="Q376" s="115">
        <v>500</v>
      </c>
      <c r="S376" s="115" t="s">
        <v>276</v>
      </c>
      <c r="T376" s="115">
        <v>2</v>
      </c>
      <c r="U376" s="115">
        <v>12.45</v>
      </c>
      <c r="V376" s="115">
        <v>11.58</v>
      </c>
      <c r="W376" s="118">
        <v>2</v>
      </c>
      <c r="X376" s="118">
        <v>12.05</v>
      </c>
      <c r="Y376" s="118">
        <v>0</v>
      </c>
      <c r="Z376" s="118">
        <v>0</v>
      </c>
      <c r="AA376" s="118">
        <v>0</v>
      </c>
      <c r="AB376" s="118">
        <v>0</v>
      </c>
      <c r="AC376" s="118">
        <v>0</v>
      </c>
      <c r="AD376" s="118">
        <v>0</v>
      </c>
      <c r="AE376" s="118">
        <v>0</v>
      </c>
      <c r="AF376" s="118">
        <v>0</v>
      </c>
      <c r="AG376" s="118">
        <v>0</v>
      </c>
      <c r="AH376" s="118">
        <v>0</v>
      </c>
      <c r="AI376" s="118">
        <v>0</v>
      </c>
      <c r="AJ376" s="118">
        <v>0</v>
      </c>
      <c r="AK376" s="118">
        <v>0</v>
      </c>
      <c r="AL376" s="118">
        <v>0</v>
      </c>
      <c r="AM376" s="118">
        <v>0</v>
      </c>
      <c r="AN376" s="118">
        <v>0</v>
      </c>
      <c r="AO376" s="118">
        <v>0</v>
      </c>
      <c r="AP376" s="118">
        <v>0</v>
      </c>
      <c r="AQ376" s="118">
        <v>0</v>
      </c>
      <c r="AR376" s="118">
        <v>0</v>
      </c>
      <c r="AS376" s="118">
        <v>0</v>
      </c>
      <c r="AT376" s="118">
        <v>0</v>
      </c>
      <c r="AU376" s="118">
        <f t="shared" si="25"/>
        <v>0</v>
      </c>
    </row>
    <row r="377" spans="1:49">
      <c r="A377" s="114">
        <v>25</v>
      </c>
      <c r="B377" s="116">
        <v>45986</v>
      </c>
      <c r="C377" s="115" t="s">
        <v>336</v>
      </c>
      <c r="D377" s="115" t="s">
        <v>337</v>
      </c>
      <c r="F377" s="115" t="s">
        <v>317</v>
      </c>
      <c r="G377" s="115" t="s">
        <v>338</v>
      </c>
      <c r="H377" s="115">
        <v>9</v>
      </c>
      <c r="I377" s="117" t="str">
        <f t="shared" si="28"/>
        <v>NHGRI_9</v>
      </c>
      <c r="J377" s="117" t="s">
        <v>788</v>
      </c>
      <c r="K377" s="118">
        <v>1</v>
      </c>
      <c r="L377" s="123" t="str">
        <f t="shared" si="27"/>
        <v>NHGRI_9_1</v>
      </c>
      <c r="M377" s="117" t="s">
        <v>1177</v>
      </c>
      <c r="N377" s="115" t="s">
        <v>86</v>
      </c>
      <c r="O377" s="115" t="s">
        <v>339</v>
      </c>
      <c r="P377" s="115">
        <v>100</v>
      </c>
      <c r="Q377" s="115">
        <v>500</v>
      </c>
      <c r="R377" s="115">
        <v>70</v>
      </c>
      <c r="S377" s="115" t="s">
        <v>282</v>
      </c>
      <c r="T377" s="115">
        <v>4</v>
      </c>
      <c r="U377" s="115">
        <v>10.050000000000001</v>
      </c>
      <c r="V377" s="115">
        <v>10.17</v>
      </c>
      <c r="W377" s="118">
        <v>4</v>
      </c>
      <c r="X377" s="118">
        <v>10.33</v>
      </c>
      <c r="Y377" s="118">
        <v>2</v>
      </c>
      <c r="Z377" s="118">
        <v>2</v>
      </c>
      <c r="AA377" s="118">
        <v>2</v>
      </c>
      <c r="AB377" s="118">
        <v>2</v>
      </c>
      <c r="AC377" s="118">
        <v>2</v>
      </c>
      <c r="AD377" s="118">
        <v>2</v>
      </c>
      <c r="AE377" s="118">
        <v>2</v>
      </c>
      <c r="AF377" s="118">
        <v>2</v>
      </c>
      <c r="AG377" s="118">
        <v>2</v>
      </c>
      <c r="AH377" s="118">
        <v>2</v>
      </c>
      <c r="AI377" s="118">
        <v>2</v>
      </c>
      <c r="AJ377" s="118">
        <v>2</v>
      </c>
      <c r="AK377" s="118">
        <v>2</v>
      </c>
      <c r="AL377" s="118">
        <v>2</v>
      </c>
      <c r="AM377" s="118">
        <v>2</v>
      </c>
      <c r="AN377" s="118">
        <v>2</v>
      </c>
      <c r="AO377" s="118">
        <v>2</v>
      </c>
      <c r="AP377" s="118">
        <v>2</v>
      </c>
      <c r="AQ377" s="118">
        <v>2</v>
      </c>
      <c r="AR377" s="118">
        <v>2</v>
      </c>
      <c r="AS377" s="118">
        <v>2</v>
      </c>
      <c r="AT377" s="118">
        <v>2</v>
      </c>
      <c r="AU377" s="118">
        <f t="shared" si="25"/>
        <v>2</v>
      </c>
      <c r="AV377" s="115" t="s">
        <v>333</v>
      </c>
      <c r="AW377" s="115" t="s">
        <v>340</v>
      </c>
    </row>
    <row r="378" spans="1:49">
      <c r="A378" s="114">
        <v>25</v>
      </c>
      <c r="B378" s="116">
        <v>45986</v>
      </c>
      <c r="D378" s="115" t="s">
        <v>341</v>
      </c>
      <c r="G378" s="115" t="s">
        <v>338</v>
      </c>
      <c r="H378" s="115">
        <v>9</v>
      </c>
      <c r="I378" s="117" t="str">
        <f t="shared" si="28"/>
        <v>NHGRI_9</v>
      </c>
      <c r="J378" s="123" t="s">
        <v>788</v>
      </c>
      <c r="K378" s="124">
        <v>2</v>
      </c>
      <c r="L378" s="123" t="str">
        <f t="shared" si="27"/>
        <v>NHGRI_9_2</v>
      </c>
      <c r="M378" s="123" t="s">
        <v>1178</v>
      </c>
      <c r="N378" s="115" t="s">
        <v>86</v>
      </c>
      <c r="O378" s="115" t="s">
        <v>339</v>
      </c>
      <c r="P378" s="115">
        <v>100</v>
      </c>
      <c r="Q378" s="115">
        <v>500</v>
      </c>
      <c r="S378" s="115" t="s">
        <v>284</v>
      </c>
      <c r="T378" s="115">
        <v>4</v>
      </c>
      <c r="U378" s="115">
        <v>10.18</v>
      </c>
      <c r="V378" s="115">
        <v>10.31</v>
      </c>
      <c r="W378" s="118">
        <v>4</v>
      </c>
      <c r="X378" s="118">
        <v>10.46</v>
      </c>
      <c r="Y378" s="118">
        <v>0</v>
      </c>
      <c r="Z378" s="118">
        <v>0</v>
      </c>
      <c r="AA378" s="118">
        <v>0</v>
      </c>
      <c r="AB378" s="118">
        <v>0</v>
      </c>
      <c r="AC378" s="118">
        <v>0</v>
      </c>
      <c r="AD378" s="118">
        <v>0</v>
      </c>
      <c r="AE378" s="118">
        <v>0</v>
      </c>
      <c r="AF378" s="118">
        <v>0</v>
      </c>
      <c r="AG378" s="118">
        <v>0</v>
      </c>
      <c r="AH378" s="118">
        <v>0</v>
      </c>
      <c r="AI378" s="118">
        <v>0</v>
      </c>
      <c r="AJ378" s="118">
        <v>0</v>
      </c>
      <c r="AK378" s="118">
        <v>0</v>
      </c>
      <c r="AL378" s="118">
        <v>0</v>
      </c>
      <c r="AM378" s="118">
        <v>0</v>
      </c>
      <c r="AN378" s="118">
        <v>0</v>
      </c>
      <c r="AO378" s="118">
        <v>0</v>
      </c>
      <c r="AP378" s="118">
        <v>0</v>
      </c>
      <c r="AQ378" s="118">
        <v>0</v>
      </c>
      <c r="AR378" s="118">
        <v>0</v>
      </c>
      <c r="AS378" s="118">
        <v>0</v>
      </c>
      <c r="AT378" s="118">
        <v>0</v>
      </c>
      <c r="AU378" s="118">
        <f t="shared" si="25"/>
        <v>0</v>
      </c>
    </row>
    <row r="379" spans="1:49">
      <c r="A379" s="114">
        <v>25</v>
      </c>
      <c r="B379" s="116">
        <v>45986</v>
      </c>
      <c r="G379" s="115" t="s">
        <v>338</v>
      </c>
      <c r="H379" s="115">
        <v>9</v>
      </c>
      <c r="I379" s="117" t="str">
        <f t="shared" si="28"/>
        <v>NHGRI_9</v>
      </c>
      <c r="J379" s="123" t="s">
        <v>788</v>
      </c>
      <c r="K379" s="124">
        <v>3</v>
      </c>
      <c r="L379" s="123" t="str">
        <f t="shared" si="27"/>
        <v>NHGRI_9_3</v>
      </c>
      <c r="M379" s="123" t="s">
        <v>1179</v>
      </c>
      <c r="N379" s="115" t="s">
        <v>86</v>
      </c>
      <c r="O379" s="115" t="s">
        <v>339</v>
      </c>
      <c r="P379" s="115">
        <v>100</v>
      </c>
      <c r="Q379" s="115">
        <v>500</v>
      </c>
      <c r="S379" s="115" t="s">
        <v>285</v>
      </c>
      <c r="T379" s="115">
        <v>4</v>
      </c>
      <c r="U379" s="115">
        <v>10.36</v>
      </c>
      <c r="V379" s="115">
        <v>10.49</v>
      </c>
      <c r="W379" s="118">
        <v>4</v>
      </c>
      <c r="X379" s="118">
        <v>11.04</v>
      </c>
      <c r="Y379" s="118">
        <v>2</v>
      </c>
      <c r="Z379" s="118">
        <v>2</v>
      </c>
      <c r="AA379" s="118">
        <v>2</v>
      </c>
      <c r="AB379" s="118">
        <v>2</v>
      </c>
      <c r="AC379" s="118">
        <v>2</v>
      </c>
      <c r="AD379" s="118">
        <v>2</v>
      </c>
      <c r="AE379" s="118">
        <v>2</v>
      </c>
      <c r="AF379" s="118">
        <v>2</v>
      </c>
      <c r="AG379" s="118">
        <v>2</v>
      </c>
      <c r="AH379" s="118">
        <v>2</v>
      </c>
      <c r="AI379" s="118">
        <v>2</v>
      </c>
      <c r="AJ379" s="118">
        <v>2</v>
      </c>
      <c r="AK379" s="118">
        <v>2</v>
      </c>
      <c r="AL379" s="118">
        <v>0</v>
      </c>
      <c r="AM379" s="118">
        <v>0</v>
      </c>
      <c r="AN379" s="118">
        <v>0</v>
      </c>
      <c r="AO379" s="118">
        <v>0</v>
      </c>
      <c r="AP379" s="118">
        <v>0</v>
      </c>
      <c r="AQ379" s="118">
        <v>0</v>
      </c>
      <c r="AR379" s="118">
        <v>0</v>
      </c>
      <c r="AS379" s="118">
        <v>0</v>
      </c>
      <c r="AT379" s="118">
        <v>0</v>
      </c>
      <c r="AU379" s="118">
        <f t="shared" si="25"/>
        <v>0</v>
      </c>
    </row>
    <row r="380" spans="1:49">
      <c r="A380" s="114">
        <v>25</v>
      </c>
      <c r="B380" s="116">
        <v>45986</v>
      </c>
      <c r="G380" s="115" t="s">
        <v>338</v>
      </c>
      <c r="H380" s="115">
        <v>9</v>
      </c>
      <c r="I380" s="117" t="str">
        <f t="shared" si="28"/>
        <v>NHGRI_9</v>
      </c>
      <c r="J380" s="123" t="s">
        <v>788</v>
      </c>
      <c r="K380" s="118">
        <v>4</v>
      </c>
      <c r="L380" s="123" t="str">
        <f t="shared" si="27"/>
        <v>NHGRI_9_4</v>
      </c>
      <c r="M380" s="123" t="s">
        <v>1180</v>
      </c>
      <c r="N380" s="115" t="s">
        <v>86</v>
      </c>
      <c r="O380" s="115" t="s">
        <v>339</v>
      </c>
      <c r="P380" s="115">
        <v>100</v>
      </c>
      <c r="Q380" s="115">
        <v>500</v>
      </c>
      <c r="S380" s="115" t="s">
        <v>286</v>
      </c>
      <c r="T380" s="115">
        <v>4</v>
      </c>
      <c r="U380" s="115">
        <v>10.5</v>
      </c>
      <c r="V380" s="115">
        <v>11.04</v>
      </c>
      <c r="W380" s="118">
        <v>4</v>
      </c>
      <c r="X380" s="118">
        <v>11.18</v>
      </c>
      <c r="Y380" s="118">
        <v>1</v>
      </c>
      <c r="Z380" s="118">
        <v>1</v>
      </c>
      <c r="AA380" s="118">
        <v>1</v>
      </c>
      <c r="AB380" s="118">
        <v>1</v>
      </c>
      <c r="AC380" s="118">
        <v>1</v>
      </c>
      <c r="AD380" s="118">
        <v>1</v>
      </c>
      <c r="AE380" s="118">
        <v>1</v>
      </c>
      <c r="AF380" s="118">
        <v>1</v>
      </c>
      <c r="AG380" s="118">
        <v>1</v>
      </c>
      <c r="AH380" s="118">
        <v>1</v>
      </c>
      <c r="AI380" s="118">
        <v>1</v>
      </c>
      <c r="AJ380" s="118">
        <v>1</v>
      </c>
      <c r="AK380" s="118">
        <v>1</v>
      </c>
      <c r="AL380" s="118">
        <v>0</v>
      </c>
      <c r="AM380" s="118">
        <v>0</v>
      </c>
      <c r="AN380" s="118">
        <v>0</v>
      </c>
      <c r="AO380" s="118">
        <v>0</v>
      </c>
      <c r="AP380" s="118">
        <v>0</v>
      </c>
      <c r="AQ380" s="118">
        <v>0</v>
      </c>
      <c r="AR380" s="118">
        <v>0</v>
      </c>
      <c r="AS380" s="118">
        <v>0</v>
      </c>
      <c r="AT380" s="118">
        <v>0</v>
      </c>
      <c r="AU380" s="118">
        <f t="shared" si="25"/>
        <v>0</v>
      </c>
    </row>
    <row r="381" spans="1:49">
      <c r="A381" s="114">
        <v>25</v>
      </c>
      <c r="B381" s="116">
        <v>45986</v>
      </c>
      <c r="G381" s="115" t="s">
        <v>338</v>
      </c>
      <c r="H381" s="115">
        <v>9</v>
      </c>
      <c r="I381" s="117" t="str">
        <f t="shared" si="28"/>
        <v>NHGRI_9</v>
      </c>
      <c r="J381" s="117" t="s">
        <v>788</v>
      </c>
      <c r="K381" s="124">
        <v>5</v>
      </c>
      <c r="L381" s="123" t="str">
        <f t="shared" si="27"/>
        <v>NHGRI_9_5</v>
      </c>
      <c r="M381" s="117" t="s">
        <v>1181</v>
      </c>
      <c r="N381" s="115" t="s">
        <v>86</v>
      </c>
      <c r="O381" s="115" t="s">
        <v>339</v>
      </c>
      <c r="P381" s="115">
        <v>100</v>
      </c>
      <c r="Q381" s="115">
        <v>500</v>
      </c>
      <c r="S381" s="115" t="s">
        <v>287</v>
      </c>
      <c r="T381" s="115">
        <v>4</v>
      </c>
      <c r="U381" s="115">
        <v>11.05</v>
      </c>
      <c r="V381" s="115">
        <v>11.24</v>
      </c>
      <c r="W381" s="118">
        <v>4</v>
      </c>
      <c r="X381" s="118">
        <v>11.39</v>
      </c>
      <c r="Y381" s="118">
        <v>3</v>
      </c>
      <c r="Z381" s="118">
        <v>3</v>
      </c>
      <c r="AA381" s="118">
        <v>3</v>
      </c>
      <c r="AB381" s="118">
        <v>3</v>
      </c>
      <c r="AC381" s="118">
        <v>3</v>
      </c>
      <c r="AD381" s="118">
        <v>2</v>
      </c>
      <c r="AE381" s="118">
        <v>2</v>
      </c>
      <c r="AF381" s="118">
        <v>2</v>
      </c>
      <c r="AG381" s="118">
        <v>2</v>
      </c>
      <c r="AH381" s="118">
        <v>2</v>
      </c>
      <c r="AI381" s="118">
        <v>2</v>
      </c>
      <c r="AJ381" s="118">
        <v>2</v>
      </c>
      <c r="AK381" s="118">
        <v>1</v>
      </c>
      <c r="AL381" s="118">
        <v>1</v>
      </c>
      <c r="AM381" s="118">
        <v>1</v>
      </c>
      <c r="AN381" s="118">
        <v>1</v>
      </c>
      <c r="AO381" s="118">
        <v>1</v>
      </c>
      <c r="AP381" s="118">
        <v>1</v>
      </c>
      <c r="AQ381" s="118">
        <v>1</v>
      </c>
      <c r="AR381" s="118">
        <v>1</v>
      </c>
      <c r="AS381" s="118">
        <v>1</v>
      </c>
      <c r="AT381" s="118">
        <v>1</v>
      </c>
      <c r="AU381" s="118">
        <f t="shared" si="25"/>
        <v>1</v>
      </c>
      <c r="AV381" s="115" t="s">
        <v>310</v>
      </c>
      <c r="AW381" s="115" t="s">
        <v>342</v>
      </c>
    </row>
    <row r="382" spans="1:49">
      <c r="A382" s="114">
        <v>25</v>
      </c>
      <c r="B382" s="116">
        <v>45986</v>
      </c>
      <c r="G382" s="115" t="s">
        <v>338</v>
      </c>
      <c r="H382" s="115">
        <v>9</v>
      </c>
      <c r="I382" s="117" t="str">
        <f t="shared" si="28"/>
        <v>NHGRI_9</v>
      </c>
      <c r="J382" s="117" t="s">
        <v>788</v>
      </c>
      <c r="K382" s="124">
        <v>6</v>
      </c>
      <c r="L382" s="123" t="str">
        <f t="shared" si="27"/>
        <v>NHGRI_9_6</v>
      </c>
      <c r="M382" s="117" t="s">
        <v>1182</v>
      </c>
      <c r="N382" s="115" t="s">
        <v>86</v>
      </c>
      <c r="O382" s="115" t="s">
        <v>339</v>
      </c>
      <c r="P382" s="115">
        <v>100</v>
      </c>
      <c r="Q382" s="115">
        <v>500</v>
      </c>
      <c r="S382" s="115" t="s">
        <v>288</v>
      </c>
      <c r="T382" s="115">
        <v>4</v>
      </c>
      <c r="U382" s="115">
        <v>11.25</v>
      </c>
      <c r="V382" s="115">
        <v>11.45</v>
      </c>
      <c r="W382" s="118">
        <v>4</v>
      </c>
      <c r="X382" s="118">
        <v>12.01</v>
      </c>
      <c r="Y382" s="118">
        <v>3</v>
      </c>
      <c r="Z382" s="118">
        <v>3</v>
      </c>
      <c r="AA382" s="118">
        <v>3</v>
      </c>
      <c r="AB382" s="118">
        <v>3</v>
      </c>
      <c r="AC382" s="118">
        <v>3</v>
      </c>
      <c r="AD382" s="118">
        <v>3</v>
      </c>
      <c r="AE382" s="118">
        <v>3</v>
      </c>
      <c r="AF382" s="118">
        <v>3</v>
      </c>
      <c r="AG382" s="118">
        <v>3</v>
      </c>
      <c r="AH382" s="118">
        <v>3</v>
      </c>
      <c r="AI382" s="118">
        <v>3</v>
      </c>
      <c r="AJ382" s="118">
        <v>3</v>
      </c>
      <c r="AK382" s="118">
        <v>3</v>
      </c>
      <c r="AL382" s="118">
        <v>3</v>
      </c>
      <c r="AM382" s="118">
        <v>3</v>
      </c>
      <c r="AN382" s="118">
        <v>3</v>
      </c>
      <c r="AO382" s="118">
        <v>3</v>
      </c>
      <c r="AP382" s="118">
        <v>2</v>
      </c>
      <c r="AQ382" s="118">
        <v>2</v>
      </c>
      <c r="AR382" s="118">
        <v>1</v>
      </c>
      <c r="AS382" s="118">
        <v>1</v>
      </c>
      <c r="AT382" s="118">
        <v>1</v>
      </c>
      <c r="AU382" s="118">
        <f t="shared" si="25"/>
        <v>1</v>
      </c>
      <c r="AV382" s="115" t="s">
        <v>333</v>
      </c>
      <c r="AW382" s="115" t="s">
        <v>343</v>
      </c>
    </row>
    <row r="383" spans="1:49">
      <c r="A383" s="114">
        <v>25</v>
      </c>
      <c r="B383" s="116">
        <v>45986</v>
      </c>
      <c r="G383" s="115" t="s">
        <v>338</v>
      </c>
      <c r="H383" s="115">
        <v>9</v>
      </c>
      <c r="I383" s="117" t="str">
        <f t="shared" si="28"/>
        <v>NHGRI_9</v>
      </c>
      <c r="J383" s="123" t="s">
        <v>788</v>
      </c>
      <c r="K383" s="118">
        <v>7</v>
      </c>
      <c r="L383" s="123" t="str">
        <f t="shared" si="27"/>
        <v>NHGRI_9_7</v>
      </c>
      <c r="M383" s="123" t="s">
        <v>1183</v>
      </c>
      <c r="N383" s="115" t="s">
        <v>86</v>
      </c>
      <c r="O383" s="115" t="s">
        <v>339</v>
      </c>
      <c r="P383" s="115">
        <v>100</v>
      </c>
      <c r="Q383" s="115">
        <v>500</v>
      </c>
      <c r="S383" s="115" t="s">
        <v>289</v>
      </c>
      <c r="T383" s="115">
        <v>4</v>
      </c>
      <c r="U383" s="115">
        <v>11.46</v>
      </c>
      <c r="V383" s="115">
        <v>11.59</v>
      </c>
      <c r="W383" s="118">
        <v>4</v>
      </c>
      <c r="X383" s="118">
        <v>12.13</v>
      </c>
      <c r="Y383" s="118">
        <v>2</v>
      </c>
      <c r="Z383" s="118">
        <v>2</v>
      </c>
      <c r="AA383" s="118">
        <v>2</v>
      </c>
      <c r="AB383" s="118">
        <v>2</v>
      </c>
      <c r="AC383" s="118">
        <v>2</v>
      </c>
      <c r="AD383" s="118">
        <v>2</v>
      </c>
      <c r="AE383" s="118">
        <v>2</v>
      </c>
      <c r="AF383" s="118">
        <v>2</v>
      </c>
      <c r="AG383" s="118">
        <v>2</v>
      </c>
      <c r="AH383" s="118">
        <v>2</v>
      </c>
      <c r="AI383" s="118">
        <v>2</v>
      </c>
      <c r="AJ383" s="118">
        <v>2</v>
      </c>
      <c r="AK383" s="118">
        <v>2</v>
      </c>
      <c r="AL383" s="118">
        <v>0</v>
      </c>
      <c r="AM383" s="118">
        <v>0</v>
      </c>
      <c r="AN383" s="118">
        <v>0</v>
      </c>
      <c r="AO383" s="118">
        <v>0</v>
      </c>
      <c r="AP383" s="118">
        <v>0</v>
      </c>
      <c r="AQ383" s="118">
        <v>0</v>
      </c>
      <c r="AR383" s="118">
        <v>0</v>
      </c>
      <c r="AS383" s="118">
        <v>0</v>
      </c>
      <c r="AT383" s="118">
        <v>0</v>
      </c>
      <c r="AU383" s="118">
        <f t="shared" si="25"/>
        <v>0</v>
      </c>
    </row>
    <row r="384" spans="1:49">
      <c r="A384" s="114">
        <v>25</v>
      </c>
      <c r="B384" s="116">
        <v>45986</v>
      </c>
      <c r="G384" s="115" t="s">
        <v>338</v>
      </c>
      <c r="H384" s="115">
        <v>9</v>
      </c>
      <c r="I384" s="117" t="str">
        <f t="shared" si="28"/>
        <v>NHGRI_9</v>
      </c>
      <c r="J384" s="123" t="s">
        <v>788</v>
      </c>
      <c r="K384" s="124">
        <v>8</v>
      </c>
      <c r="L384" s="123" t="str">
        <f t="shared" si="27"/>
        <v>NHGRI_9_8</v>
      </c>
      <c r="M384" s="123" t="s">
        <v>1184</v>
      </c>
      <c r="N384" s="115" t="s">
        <v>86</v>
      </c>
      <c r="O384" s="115" t="s">
        <v>339</v>
      </c>
      <c r="P384" s="115">
        <v>100</v>
      </c>
      <c r="Q384" s="115">
        <v>500</v>
      </c>
      <c r="S384" s="115" t="s">
        <v>269</v>
      </c>
      <c r="T384" s="115">
        <v>4</v>
      </c>
      <c r="U384" s="115">
        <v>10.06</v>
      </c>
      <c r="V384" s="115">
        <v>10.16</v>
      </c>
      <c r="W384" s="118">
        <v>4</v>
      </c>
      <c r="X384" s="118">
        <v>10.34</v>
      </c>
      <c r="Y384" s="118">
        <v>2</v>
      </c>
      <c r="Z384" s="118">
        <v>2</v>
      </c>
      <c r="AA384" s="118">
        <v>2</v>
      </c>
      <c r="AB384" s="118">
        <v>2</v>
      </c>
      <c r="AC384" s="118">
        <v>2</v>
      </c>
      <c r="AD384" s="118">
        <v>2</v>
      </c>
      <c r="AE384" s="118">
        <v>2</v>
      </c>
      <c r="AF384" s="118">
        <v>2</v>
      </c>
      <c r="AG384" s="118">
        <v>2</v>
      </c>
      <c r="AH384" s="118">
        <v>2</v>
      </c>
      <c r="AI384" s="118">
        <v>2</v>
      </c>
      <c r="AJ384" s="118">
        <v>2</v>
      </c>
      <c r="AK384" s="118">
        <v>1</v>
      </c>
      <c r="AL384" s="118">
        <v>1</v>
      </c>
      <c r="AM384" s="118">
        <v>1</v>
      </c>
      <c r="AN384" s="118">
        <v>1</v>
      </c>
      <c r="AO384" s="118">
        <v>1</v>
      </c>
      <c r="AP384" s="118">
        <v>1</v>
      </c>
      <c r="AQ384" s="118">
        <v>1</v>
      </c>
      <c r="AR384" s="118">
        <v>0</v>
      </c>
      <c r="AS384" s="118">
        <v>0</v>
      </c>
      <c r="AT384" s="118">
        <v>0</v>
      </c>
      <c r="AU384" s="118">
        <f t="shared" si="25"/>
        <v>0</v>
      </c>
    </row>
    <row r="385" spans="1:49">
      <c r="A385" s="114">
        <v>25</v>
      </c>
      <c r="B385" s="116">
        <v>45986</v>
      </c>
      <c r="G385" s="115" t="s">
        <v>338</v>
      </c>
      <c r="H385" s="115">
        <v>9</v>
      </c>
      <c r="I385" s="117" t="str">
        <f t="shared" si="28"/>
        <v>NHGRI_9</v>
      </c>
      <c r="J385" s="117" t="s">
        <v>788</v>
      </c>
      <c r="K385" s="124">
        <v>9</v>
      </c>
      <c r="L385" s="123" t="str">
        <f t="shared" si="27"/>
        <v>NHGRI_9_9</v>
      </c>
      <c r="M385" s="117" t="s">
        <v>1185</v>
      </c>
      <c r="N385" s="115" t="s">
        <v>86</v>
      </c>
      <c r="O385" s="115" t="s">
        <v>339</v>
      </c>
      <c r="P385" s="115">
        <v>100</v>
      </c>
      <c r="Q385" s="115">
        <v>500</v>
      </c>
      <c r="S385" s="115" t="s">
        <v>270</v>
      </c>
      <c r="T385" s="115">
        <v>3</v>
      </c>
      <c r="U385" s="115">
        <v>10.19</v>
      </c>
      <c r="V385" s="115">
        <v>10.25</v>
      </c>
      <c r="W385" s="118">
        <v>3</v>
      </c>
      <c r="X385" s="118">
        <v>10.44</v>
      </c>
      <c r="Y385" s="118">
        <v>3</v>
      </c>
      <c r="Z385" s="118">
        <v>3</v>
      </c>
      <c r="AA385" s="118">
        <v>3</v>
      </c>
      <c r="AB385" s="118">
        <v>3</v>
      </c>
      <c r="AC385" s="118">
        <v>3</v>
      </c>
      <c r="AD385" s="118">
        <v>3</v>
      </c>
      <c r="AE385" s="118">
        <v>3</v>
      </c>
      <c r="AF385" s="118">
        <v>3</v>
      </c>
      <c r="AG385" s="118">
        <v>3</v>
      </c>
      <c r="AH385" s="118">
        <v>3</v>
      </c>
      <c r="AI385" s="118">
        <v>3</v>
      </c>
      <c r="AJ385" s="118">
        <v>3</v>
      </c>
      <c r="AK385" s="118">
        <v>3</v>
      </c>
      <c r="AL385" s="118">
        <v>3</v>
      </c>
      <c r="AM385" s="118">
        <v>3</v>
      </c>
      <c r="AN385" s="118">
        <v>3</v>
      </c>
      <c r="AO385" s="118">
        <v>2</v>
      </c>
      <c r="AP385" s="118">
        <v>2</v>
      </c>
      <c r="AQ385" s="118">
        <v>2</v>
      </c>
      <c r="AR385" s="118">
        <v>1</v>
      </c>
      <c r="AS385" s="118">
        <v>1</v>
      </c>
      <c r="AT385" s="118">
        <v>1</v>
      </c>
      <c r="AU385" s="118">
        <f t="shared" si="25"/>
        <v>1</v>
      </c>
      <c r="AV385" s="115" t="s">
        <v>310</v>
      </c>
      <c r="AW385" s="115" t="s">
        <v>344</v>
      </c>
    </row>
    <row r="386" spans="1:49">
      <c r="A386" s="114">
        <v>25</v>
      </c>
      <c r="B386" s="116">
        <v>45986</v>
      </c>
      <c r="G386" s="115" t="s">
        <v>338</v>
      </c>
      <c r="H386" s="115">
        <v>9</v>
      </c>
      <c r="I386" s="117" t="str">
        <f t="shared" si="28"/>
        <v>NHGRI_9</v>
      </c>
      <c r="J386" s="117" t="s">
        <v>788</v>
      </c>
      <c r="K386" s="118">
        <v>10</v>
      </c>
      <c r="L386" s="123" t="str">
        <f t="shared" si="27"/>
        <v>NHGRI_9_10</v>
      </c>
      <c r="M386" s="117" t="s">
        <v>1186</v>
      </c>
      <c r="N386" s="115" t="s">
        <v>86</v>
      </c>
      <c r="O386" s="115" t="s">
        <v>339</v>
      </c>
      <c r="P386" s="115">
        <v>100</v>
      </c>
      <c r="Q386" s="115">
        <v>500</v>
      </c>
      <c r="S386" s="115" t="s">
        <v>271</v>
      </c>
      <c r="T386" s="115">
        <v>4</v>
      </c>
      <c r="U386" s="115">
        <v>10.35</v>
      </c>
      <c r="V386" s="115">
        <v>10.45</v>
      </c>
      <c r="W386" s="118">
        <v>4</v>
      </c>
      <c r="X386" s="118">
        <v>11.01</v>
      </c>
      <c r="Y386" s="118">
        <v>2</v>
      </c>
      <c r="Z386" s="118">
        <v>2</v>
      </c>
      <c r="AA386" s="118">
        <v>2</v>
      </c>
      <c r="AB386" s="118">
        <v>2</v>
      </c>
      <c r="AC386" s="118">
        <v>2</v>
      </c>
      <c r="AD386" s="118">
        <v>2</v>
      </c>
      <c r="AE386" s="118">
        <v>2</v>
      </c>
      <c r="AF386" s="118">
        <v>2</v>
      </c>
      <c r="AG386" s="118">
        <v>2</v>
      </c>
      <c r="AH386" s="118">
        <v>2</v>
      </c>
      <c r="AI386" s="118">
        <v>2</v>
      </c>
      <c r="AJ386" s="118">
        <v>2</v>
      </c>
      <c r="AK386" s="118">
        <v>2</v>
      </c>
      <c r="AL386" s="118">
        <v>1</v>
      </c>
      <c r="AM386" s="118">
        <v>1</v>
      </c>
      <c r="AN386" s="118">
        <v>1</v>
      </c>
      <c r="AO386" s="118">
        <v>1</v>
      </c>
      <c r="AP386" s="118">
        <v>1</v>
      </c>
      <c r="AQ386" s="118">
        <v>1</v>
      </c>
      <c r="AR386" s="118">
        <v>1</v>
      </c>
      <c r="AS386" s="118">
        <v>1</v>
      </c>
      <c r="AT386" s="118">
        <v>1</v>
      </c>
      <c r="AU386" s="118">
        <f t="shared" si="25"/>
        <v>1</v>
      </c>
      <c r="AV386" s="115" t="s">
        <v>310</v>
      </c>
      <c r="AW386" s="115" t="s">
        <v>345</v>
      </c>
    </row>
    <row r="387" spans="1:49">
      <c r="A387" s="114">
        <v>25</v>
      </c>
      <c r="B387" s="116">
        <v>45986</v>
      </c>
      <c r="G387" s="115" t="s">
        <v>338</v>
      </c>
      <c r="H387" s="115">
        <v>9</v>
      </c>
      <c r="I387" s="117" t="str">
        <f t="shared" si="28"/>
        <v>NHGRI_9</v>
      </c>
      <c r="J387" s="123" t="s">
        <v>788</v>
      </c>
      <c r="K387" s="124">
        <v>11</v>
      </c>
      <c r="L387" s="123" t="str">
        <f t="shared" si="27"/>
        <v>NHGRI_9_11</v>
      </c>
      <c r="M387" s="123" t="s">
        <v>1187</v>
      </c>
      <c r="N387" s="115" t="s">
        <v>86</v>
      </c>
      <c r="O387" s="115" t="s">
        <v>339</v>
      </c>
      <c r="P387" s="115">
        <v>100</v>
      </c>
      <c r="Q387" s="115">
        <v>500</v>
      </c>
      <c r="S387" s="115" t="s">
        <v>272</v>
      </c>
      <c r="T387" s="115">
        <v>2</v>
      </c>
      <c r="U387" s="115">
        <v>10.48</v>
      </c>
      <c r="V387" s="115">
        <v>11.59</v>
      </c>
      <c r="W387" s="118">
        <v>2</v>
      </c>
      <c r="X387" s="118">
        <v>11.13</v>
      </c>
      <c r="Y387" s="118">
        <v>2</v>
      </c>
      <c r="Z387" s="118">
        <v>2</v>
      </c>
      <c r="AA387" s="118">
        <v>2</v>
      </c>
      <c r="AB387" s="118">
        <v>2</v>
      </c>
      <c r="AC387" s="118">
        <v>2</v>
      </c>
      <c r="AD387" s="118">
        <v>2</v>
      </c>
      <c r="AE387" s="118">
        <v>2</v>
      </c>
      <c r="AF387" s="118">
        <v>2</v>
      </c>
      <c r="AG387" s="118">
        <v>2</v>
      </c>
      <c r="AH387" s="118">
        <v>2</v>
      </c>
      <c r="AI387" s="118">
        <v>2</v>
      </c>
      <c r="AJ387" s="118">
        <v>2</v>
      </c>
      <c r="AK387" s="118">
        <v>2</v>
      </c>
      <c r="AL387" s="118">
        <v>2</v>
      </c>
      <c r="AM387" s="118">
        <v>2</v>
      </c>
      <c r="AN387" s="118">
        <v>2</v>
      </c>
      <c r="AO387" s="118">
        <v>1</v>
      </c>
      <c r="AP387" s="118">
        <v>1</v>
      </c>
      <c r="AQ387" s="118">
        <v>1</v>
      </c>
      <c r="AR387" s="118">
        <v>0</v>
      </c>
      <c r="AS387" s="118">
        <v>0</v>
      </c>
      <c r="AT387" s="118">
        <v>0</v>
      </c>
      <c r="AU387" s="118">
        <f t="shared" si="25"/>
        <v>0</v>
      </c>
    </row>
    <row r="388" spans="1:49">
      <c r="A388" s="114">
        <v>25</v>
      </c>
      <c r="B388" s="116">
        <v>45986</v>
      </c>
      <c r="G388" s="115" t="s">
        <v>338</v>
      </c>
      <c r="H388" s="115">
        <v>9</v>
      </c>
      <c r="I388" s="117" t="str">
        <f t="shared" si="28"/>
        <v>NHGRI_9</v>
      </c>
      <c r="J388" s="123" t="s">
        <v>788</v>
      </c>
      <c r="K388" s="124">
        <v>12</v>
      </c>
      <c r="L388" s="123" t="str">
        <f t="shared" si="27"/>
        <v>NHGRI_9_12</v>
      </c>
      <c r="M388" s="123" t="s">
        <v>1188</v>
      </c>
      <c r="N388" s="115" t="s">
        <v>86</v>
      </c>
      <c r="O388" s="115" t="s">
        <v>339</v>
      </c>
      <c r="P388" s="115">
        <v>100</v>
      </c>
      <c r="Q388" s="115">
        <v>500</v>
      </c>
      <c r="S388" s="115" t="s">
        <v>273</v>
      </c>
      <c r="T388" s="115">
        <v>2</v>
      </c>
      <c r="U388" s="115">
        <v>11.1</v>
      </c>
      <c r="V388" s="115">
        <v>11.23</v>
      </c>
      <c r="W388" s="118">
        <v>2</v>
      </c>
      <c r="X388" s="118">
        <v>11.37</v>
      </c>
      <c r="Y388" s="118">
        <v>2</v>
      </c>
      <c r="Z388" s="118">
        <v>2</v>
      </c>
      <c r="AA388" s="118">
        <v>0</v>
      </c>
      <c r="AB388" s="118">
        <v>0</v>
      </c>
      <c r="AC388" s="118">
        <v>0</v>
      </c>
      <c r="AD388" s="118">
        <v>0</v>
      </c>
      <c r="AE388" s="118">
        <v>0</v>
      </c>
      <c r="AF388" s="118">
        <v>0</v>
      </c>
      <c r="AG388" s="118">
        <v>0</v>
      </c>
      <c r="AH388" s="118">
        <v>0</v>
      </c>
      <c r="AI388" s="118">
        <v>0</v>
      </c>
      <c r="AJ388" s="118">
        <v>0</v>
      </c>
      <c r="AK388" s="118">
        <v>0</v>
      </c>
      <c r="AL388" s="118">
        <v>0</v>
      </c>
      <c r="AM388" s="118">
        <v>0</v>
      </c>
      <c r="AN388" s="118">
        <v>0</v>
      </c>
      <c r="AO388" s="118">
        <v>0</v>
      </c>
      <c r="AP388" s="118">
        <v>0</v>
      </c>
      <c r="AQ388" s="118">
        <v>0</v>
      </c>
      <c r="AR388" s="118">
        <v>0</v>
      </c>
      <c r="AS388" s="118">
        <v>0</v>
      </c>
      <c r="AT388" s="118">
        <v>0</v>
      </c>
      <c r="AU388" s="118">
        <f t="shared" si="25"/>
        <v>0</v>
      </c>
    </row>
    <row r="389" spans="1:49">
      <c r="A389" s="114">
        <v>25</v>
      </c>
      <c r="B389" s="116">
        <v>45986</v>
      </c>
      <c r="G389" s="115" t="s">
        <v>338</v>
      </c>
      <c r="H389" s="115">
        <v>9</v>
      </c>
      <c r="I389" s="117" t="str">
        <f t="shared" si="28"/>
        <v>NHGRI_9</v>
      </c>
      <c r="J389" s="123" t="s">
        <v>788</v>
      </c>
      <c r="K389" s="118">
        <v>13</v>
      </c>
      <c r="L389" s="123" t="str">
        <f t="shared" si="27"/>
        <v>NHGRI_9_13</v>
      </c>
      <c r="M389" s="123" t="s">
        <v>1189</v>
      </c>
      <c r="N389" s="115" t="s">
        <v>86</v>
      </c>
      <c r="O389" s="115" t="s">
        <v>339</v>
      </c>
      <c r="P389" s="115">
        <v>100</v>
      </c>
      <c r="Q389" s="115">
        <v>500</v>
      </c>
      <c r="S389" s="115" t="s">
        <v>274</v>
      </c>
      <c r="T389" s="115">
        <v>2</v>
      </c>
      <c r="U389" s="115">
        <v>11.26</v>
      </c>
      <c r="V389" s="115">
        <v>11.32</v>
      </c>
      <c r="W389" s="118">
        <v>2</v>
      </c>
      <c r="X389" s="118">
        <v>11.48</v>
      </c>
      <c r="Y389" s="118">
        <v>1</v>
      </c>
      <c r="Z389" s="118">
        <v>1</v>
      </c>
      <c r="AA389" s="118">
        <v>1</v>
      </c>
      <c r="AB389" s="118">
        <v>1</v>
      </c>
      <c r="AC389" s="118">
        <v>1</v>
      </c>
      <c r="AD389" s="118">
        <v>1</v>
      </c>
      <c r="AE389" s="118">
        <v>1</v>
      </c>
      <c r="AF389" s="118">
        <v>1</v>
      </c>
      <c r="AG389" s="118">
        <v>1</v>
      </c>
      <c r="AH389" s="118">
        <v>1</v>
      </c>
      <c r="AI389" s="118">
        <v>0</v>
      </c>
      <c r="AJ389" s="118">
        <v>0</v>
      </c>
      <c r="AK389" s="118">
        <v>0</v>
      </c>
      <c r="AL389" s="118">
        <v>0</v>
      </c>
      <c r="AM389" s="118">
        <v>0</v>
      </c>
      <c r="AN389" s="118">
        <v>0</v>
      </c>
      <c r="AO389" s="118">
        <v>0</v>
      </c>
      <c r="AP389" s="118">
        <v>0</v>
      </c>
      <c r="AQ389" s="118">
        <v>0</v>
      </c>
      <c r="AR389" s="118">
        <v>0</v>
      </c>
      <c r="AS389" s="118">
        <v>0</v>
      </c>
      <c r="AT389" s="118">
        <v>0</v>
      </c>
      <c r="AU389" s="118">
        <f t="shared" ref="AU389:AU410" si="29">AT389</f>
        <v>0</v>
      </c>
    </row>
    <row r="390" spans="1:49">
      <c r="A390" s="114">
        <v>25</v>
      </c>
      <c r="B390" s="116">
        <v>45986</v>
      </c>
      <c r="G390" s="115" t="s">
        <v>338</v>
      </c>
      <c r="H390" s="115">
        <v>9</v>
      </c>
      <c r="I390" s="117" t="str">
        <f t="shared" si="28"/>
        <v>NHGRI_9</v>
      </c>
      <c r="J390" s="123" t="s">
        <v>788</v>
      </c>
      <c r="K390" s="124">
        <v>14</v>
      </c>
      <c r="L390" s="123" t="str">
        <f t="shared" si="27"/>
        <v>NHGRI_9_14</v>
      </c>
      <c r="M390" s="123" t="s">
        <v>1190</v>
      </c>
      <c r="N390" s="115" t="s">
        <v>86</v>
      </c>
      <c r="O390" s="115" t="s">
        <v>339</v>
      </c>
      <c r="P390" s="115">
        <v>100</v>
      </c>
      <c r="Q390" s="115">
        <v>500</v>
      </c>
      <c r="S390" s="115" t="s">
        <v>275</v>
      </c>
      <c r="T390" s="115">
        <v>3</v>
      </c>
      <c r="U390" s="115">
        <v>11.37</v>
      </c>
      <c r="V390" s="115">
        <v>11.49</v>
      </c>
      <c r="W390" s="118">
        <v>3</v>
      </c>
      <c r="X390" s="118">
        <v>12.03</v>
      </c>
      <c r="Y390" s="118">
        <v>1</v>
      </c>
      <c r="Z390" s="118">
        <v>1</v>
      </c>
      <c r="AA390" s="118">
        <v>1</v>
      </c>
      <c r="AB390" s="118">
        <v>1</v>
      </c>
      <c r="AC390" s="118">
        <v>1</v>
      </c>
      <c r="AD390" s="118">
        <v>1</v>
      </c>
      <c r="AE390" s="118">
        <v>1</v>
      </c>
      <c r="AF390" s="118">
        <v>1</v>
      </c>
      <c r="AG390" s="118">
        <v>1</v>
      </c>
      <c r="AH390" s="118">
        <v>1</v>
      </c>
      <c r="AI390" s="118">
        <v>1</v>
      </c>
      <c r="AJ390" s="118">
        <v>1</v>
      </c>
      <c r="AK390" s="118">
        <v>1</v>
      </c>
      <c r="AL390" s="118">
        <v>1</v>
      </c>
      <c r="AM390" s="118">
        <v>1</v>
      </c>
      <c r="AN390" s="118">
        <v>1</v>
      </c>
      <c r="AO390" s="118">
        <v>1</v>
      </c>
      <c r="AP390" s="118">
        <v>0</v>
      </c>
      <c r="AQ390" s="118">
        <v>0</v>
      </c>
      <c r="AR390" s="118">
        <v>0</v>
      </c>
      <c r="AS390" s="118">
        <v>0</v>
      </c>
      <c r="AT390" s="118">
        <v>0</v>
      </c>
      <c r="AU390" s="118">
        <f t="shared" si="29"/>
        <v>0</v>
      </c>
    </row>
    <row r="391" spans="1:49">
      <c r="A391" s="114">
        <v>26</v>
      </c>
      <c r="B391" s="116">
        <v>45988</v>
      </c>
      <c r="C391" s="115" t="s">
        <v>251</v>
      </c>
      <c r="D391" s="115" t="s">
        <v>346</v>
      </c>
      <c r="F391" s="115" t="s">
        <v>317</v>
      </c>
      <c r="H391" s="115">
        <v>10</v>
      </c>
      <c r="I391" s="117" t="str">
        <f t="shared" si="28"/>
        <v>NHGRI_10</v>
      </c>
      <c r="J391" s="123" t="s">
        <v>789</v>
      </c>
      <c r="K391" s="124">
        <v>1</v>
      </c>
      <c r="L391" s="123" t="str">
        <f t="shared" si="27"/>
        <v>NHGRI_10_1</v>
      </c>
      <c r="M391" s="123" t="s">
        <v>1191</v>
      </c>
      <c r="N391" s="115" t="s">
        <v>86</v>
      </c>
      <c r="O391" s="115" t="s">
        <v>347</v>
      </c>
      <c r="P391" s="115">
        <v>100</v>
      </c>
      <c r="Q391" s="115">
        <v>500</v>
      </c>
      <c r="R391" s="115">
        <v>70</v>
      </c>
      <c r="S391" s="115" t="s">
        <v>282</v>
      </c>
      <c r="T391" s="115">
        <v>4</v>
      </c>
      <c r="U391" s="115">
        <v>10.17</v>
      </c>
      <c r="V391" s="115">
        <v>10.29</v>
      </c>
      <c r="W391" s="118">
        <v>4</v>
      </c>
      <c r="X391" s="118">
        <v>10.44</v>
      </c>
      <c r="Y391" s="118">
        <v>1</v>
      </c>
      <c r="Z391" s="118">
        <v>1</v>
      </c>
      <c r="AA391" s="118">
        <v>1</v>
      </c>
      <c r="AB391" s="118">
        <v>1</v>
      </c>
      <c r="AC391" s="118">
        <v>1</v>
      </c>
      <c r="AD391" s="118">
        <v>1</v>
      </c>
      <c r="AE391" s="118">
        <v>1</v>
      </c>
      <c r="AF391" s="118">
        <v>1</v>
      </c>
      <c r="AG391" s="118">
        <v>0</v>
      </c>
      <c r="AH391" s="118">
        <v>0</v>
      </c>
      <c r="AI391" s="118">
        <v>0</v>
      </c>
      <c r="AJ391" s="118">
        <v>0</v>
      </c>
      <c r="AK391" s="118">
        <v>0</v>
      </c>
      <c r="AL391" s="118">
        <v>0</v>
      </c>
      <c r="AM391" s="118">
        <v>0</v>
      </c>
      <c r="AN391" s="118">
        <v>0</v>
      </c>
      <c r="AO391" s="118">
        <v>0</v>
      </c>
      <c r="AP391" s="118">
        <v>0</v>
      </c>
      <c r="AQ391" s="118">
        <v>0</v>
      </c>
      <c r="AR391" s="118">
        <v>0</v>
      </c>
      <c r="AS391" s="118">
        <v>0</v>
      </c>
      <c r="AT391" s="118">
        <v>0</v>
      </c>
      <c r="AU391" s="118">
        <f t="shared" si="29"/>
        <v>0</v>
      </c>
    </row>
    <row r="392" spans="1:49">
      <c r="A392" s="114">
        <v>26</v>
      </c>
      <c r="B392" s="116">
        <v>45988</v>
      </c>
      <c r="D392" s="115" t="s">
        <v>348</v>
      </c>
      <c r="H392" s="115">
        <v>10</v>
      </c>
      <c r="I392" s="117" t="str">
        <f t="shared" si="28"/>
        <v>NHGRI_10</v>
      </c>
      <c r="J392" s="123" t="s">
        <v>789</v>
      </c>
      <c r="K392" s="124">
        <v>2</v>
      </c>
      <c r="L392" s="123" t="str">
        <f t="shared" si="27"/>
        <v>NHGRI_10_2</v>
      </c>
      <c r="M392" s="123" t="s">
        <v>1192</v>
      </c>
      <c r="N392" s="115" t="s">
        <v>86</v>
      </c>
      <c r="O392" s="115" t="s">
        <v>347</v>
      </c>
      <c r="P392" s="115">
        <v>100</v>
      </c>
      <c r="Q392" s="115">
        <v>500</v>
      </c>
      <c r="S392" s="115" t="s">
        <v>284</v>
      </c>
      <c r="T392" s="115">
        <v>4</v>
      </c>
      <c r="U392" s="115">
        <v>10.36</v>
      </c>
      <c r="V392" s="115">
        <v>10.54</v>
      </c>
      <c r="W392" s="118">
        <v>4</v>
      </c>
      <c r="X392" s="118">
        <v>11.1</v>
      </c>
      <c r="Y392" s="118">
        <v>3</v>
      </c>
      <c r="Z392" s="118">
        <v>3</v>
      </c>
      <c r="AA392" s="118">
        <v>3</v>
      </c>
      <c r="AB392" s="118">
        <v>3</v>
      </c>
      <c r="AC392" s="118">
        <v>3</v>
      </c>
      <c r="AD392" s="118">
        <v>3</v>
      </c>
      <c r="AE392" s="118">
        <v>0</v>
      </c>
      <c r="AF392" s="118">
        <v>0</v>
      </c>
      <c r="AG392" s="118">
        <v>0</v>
      </c>
      <c r="AH392" s="118">
        <v>0</v>
      </c>
      <c r="AI392" s="118">
        <v>0</v>
      </c>
      <c r="AJ392" s="118">
        <v>0</v>
      </c>
      <c r="AK392" s="118">
        <v>0</v>
      </c>
      <c r="AL392" s="118">
        <v>0</v>
      </c>
      <c r="AM392" s="118">
        <v>0</v>
      </c>
      <c r="AN392" s="118">
        <v>0</v>
      </c>
      <c r="AO392" s="118">
        <v>0</v>
      </c>
      <c r="AP392" s="118">
        <v>0</v>
      </c>
      <c r="AQ392" s="118">
        <v>0</v>
      </c>
      <c r="AR392" s="118">
        <v>0</v>
      </c>
      <c r="AS392" s="118">
        <v>0</v>
      </c>
      <c r="AT392" s="118">
        <v>0</v>
      </c>
      <c r="AU392" s="118">
        <f t="shared" si="29"/>
        <v>0</v>
      </c>
    </row>
    <row r="393" spans="1:49">
      <c r="A393" s="114">
        <v>26</v>
      </c>
      <c r="B393" s="116">
        <v>45988</v>
      </c>
      <c r="H393" s="115">
        <v>10</v>
      </c>
      <c r="I393" s="117" t="str">
        <f t="shared" si="28"/>
        <v>NHGRI_10</v>
      </c>
      <c r="J393" s="123" t="s">
        <v>789</v>
      </c>
      <c r="K393" s="124">
        <v>3</v>
      </c>
      <c r="L393" s="123" t="str">
        <f t="shared" si="27"/>
        <v>NHGRI_10_3</v>
      </c>
      <c r="M393" s="123" t="s">
        <v>1193</v>
      </c>
      <c r="N393" s="115" t="s">
        <v>86</v>
      </c>
      <c r="O393" s="115" t="s">
        <v>347</v>
      </c>
      <c r="P393" s="115">
        <v>100</v>
      </c>
      <c r="Q393" s="115">
        <v>500</v>
      </c>
      <c r="S393" s="115" t="s">
        <v>285</v>
      </c>
      <c r="T393" s="115">
        <v>4</v>
      </c>
      <c r="U393" s="115">
        <v>11.04</v>
      </c>
      <c r="V393" s="115">
        <v>11.21</v>
      </c>
      <c r="W393" s="118">
        <v>4</v>
      </c>
      <c r="X393" s="118">
        <v>11.35</v>
      </c>
      <c r="Y393" s="118">
        <v>2</v>
      </c>
      <c r="Z393" s="118">
        <v>2</v>
      </c>
      <c r="AA393" s="118">
        <v>2</v>
      </c>
      <c r="AB393" s="118">
        <v>2</v>
      </c>
      <c r="AC393" s="118">
        <v>2</v>
      </c>
      <c r="AD393" s="118">
        <v>2</v>
      </c>
      <c r="AE393" s="118">
        <v>0</v>
      </c>
      <c r="AF393" s="118">
        <v>0</v>
      </c>
      <c r="AG393" s="118">
        <v>0</v>
      </c>
      <c r="AH393" s="118">
        <v>0</v>
      </c>
      <c r="AI393" s="118">
        <v>0</v>
      </c>
      <c r="AJ393" s="118">
        <v>0</v>
      </c>
      <c r="AK393" s="118">
        <v>0</v>
      </c>
      <c r="AL393" s="118">
        <v>0</v>
      </c>
      <c r="AM393" s="118">
        <v>0</v>
      </c>
      <c r="AN393" s="118">
        <v>0</v>
      </c>
      <c r="AO393" s="118">
        <v>0</v>
      </c>
      <c r="AP393" s="118">
        <v>0</v>
      </c>
      <c r="AQ393" s="118">
        <v>0</v>
      </c>
      <c r="AR393" s="118">
        <v>0</v>
      </c>
      <c r="AS393" s="118">
        <v>0</v>
      </c>
      <c r="AT393" s="118">
        <v>0</v>
      </c>
      <c r="AU393" s="118">
        <f t="shared" si="29"/>
        <v>0</v>
      </c>
    </row>
    <row r="394" spans="1:49">
      <c r="A394" s="114">
        <v>26</v>
      </c>
      <c r="B394" s="116">
        <v>45988</v>
      </c>
      <c r="H394" s="115">
        <v>10</v>
      </c>
      <c r="I394" s="117" t="str">
        <f t="shared" si="28"/>
        <v>NHGRI_10</v>
      </c>
      <c r="J394" s="123" t="s">
        <v>789</v>
      </c>
      <c r="K394" s="124">
        <v>4</v>
      </c>
      <c r="L394" s="123" t="str">
        <f t="shared" si="27"/>
        <v>NHGRI_10_4</v>
      </c>
      <c r="M394" s="123" t="s">
        <v>1194</v>
      </c>
      <c r="N394" s="115" t="s">
        <v>86</v>
      </c>
      <c r="O394" s="115" t="s">
        <v>347</v>
      </c>
      <c r="P394" s="115">
        <v>100</v>
      </c>
      <c r="Q394" s="115">
        <v>500</v>
      </c>
      <c r="S394" s="115" t="s">
        <v>286</v>
      </c>
      <c r="T394" s="115">
        <v>4</v>
      </c>
      <c r="U394" s="115">
        <v>11.28</v>
      </c>
      <c r="V394" s="115">
        <v>11.39</v>
      </c>
      <c r="W394" s="118">
        <v>4</v>
      </c>
      <c r="X394" s="118">
        <v>11.56</v>
      </c>
      <c r="Y394" s="118">
        <v>0</v>
      </c>
      <c r="Z394" s="118">
        <v>0</v>
      </c>
      <c r="AA394" s="118">
        <v>0</v>
      </c>
      <c r="AB394" s="118">
        <v>0</v>
      </c>
      <c r="AC394" s="118">
        <v>0</v>
      </c>
      <c r="AD394" s="118">
        <v>0</v>
      </c>
      <c r="AE394" s="118">
        <v>0</v>
      </c>
      <c r="AF394" s="118">
        <v>0</v>
      </c>
      <c r="AG394" s="118">
        <v>0</v>
      </c>
      <c r="AH394" s="118">
        <v>0</v>
      </c>
      <c r="AI394" s="118">
        <v>0</v>
      </c>
      <c r="AJ394" s="118">
        <v>0</v>
      </c>
      <c r="AK394" s="118">
        <v>0</v>
      </c>
      <c r="AL394" s="118">
        <v>0</v>
      </c>
      <c r="AM394" s="118">
        <v>0</v>
      </c>
      <c r="AN394" s="118">
        <v>0</v>
      </c>
      <c r="AO394" s="118">
        <v>0</v>
      </c>
      <c r="AP394" s="118">
        <v>0</v>
      </c>
      <c r="AQ394" s="118">
        <v>0</v>
      </c>
      <c r="AR394" s="118">
        <v>0</v>
      </c>
      <c r="AS394" s="118">
        <v>0</v>
      </c>
      <c r="AT394" s="118">
        <v>0</v>
      </c>
      <c r="AU394" s="118">
        <f t="shared" si="29"/>
        <v>0</v>
      </c>
    </row>
    <row r="395" spans="1:49">
      <c r="A395" s="114">
        <v>26</v>
      </c>
      <c r="B395" s="116">
        <v>45988</v>
      </c>
      <c r="H395" s="115">
        <v>10</v>
      </c>
      <c r="I395" s="117" t="str">
        <f t="shared" si="28"/>
        <v>NHGRI_10</v>
      </c>
      <c r="J395" s="123" t="s">
        <v>789</v>
      </c>
      <c r="K395" s="124">
        <v>5</v>
      </c>
      <c r="L395" s="123" t="str">
        <f t="shared" si="27"/>
        <v>NHGRI_10_5</v>
      </c>
      <c r="M395" s="123" t="s">
        <v>1195</v>
      </c>
      <c r="N395" s="115" t="s">
        <v>86</v>
      </c>
      <c r="O395" s="115" t="s">
        <v>347</v>
      </c>
      <c r="P395" s="115">
        <v>100</v>
      </c>
      <c r="Q395" s="115">
        <v>500</v>
      </c>
      <c r="S395" s="115" t="s">
        <v>287</v>
      </c>
      <c r="T395" s="115">
        <v>4</v>
      </c>
      <c r="U395" s="115">
        <v>11.48</v>
      </c>
      <c r="V395" s="115">
        <v>12.01</v>
      </c>
      <c r="W395" s="118">
        <v>4</v>
      </c>
      <c r="X395" s="118">
        <v>12.15</v>
      </c>
      <c r="Y395" s="118">
        <v>1</v>
      </c>
      <c r="Z395" s="118">
        <v>1</v>
      </c>
      <c r="AA395" s="118">
        <v>1</v>
      </c>
      <c r="AB395" s="118">
        <v>1</v>
      </c>
      <c r="AC395" s="118">
        <v>1</v>
      </c>
      <c r="AD395" s="118">
        <v>1</v>
      </c>
      <c r="AE395" s="118">
        <v>1</v>
      </c>
      <c r="AF395" s="118">
        <v>1</v>
      </c>
      <c r="AG395" s="118">
        <v>1</v>
      </c>
      <c r="AH395" s="118">
        <v>1</v>
      </c>
      <c r="AI395" s="118">
        <v>1</v>
      </c>
      <c r="AJ395" s="118">
        <v>1</v>
      </c>
      <c r="AK395" s="118">
        <v>1</v>
      </c>
      <c r="AL395" s="118">
        <v>1</v>
      </c>
      <c r="AM395" s="118">
        <v>0</v>
      </c>
      <c r="AN395" s="118">
        <v>0</v>
      </c>
      <c r="AO395" s="118">
        <v>0</v>
      </c>
      <c r="AP395" s="118">
        <v>0</v>
      </c>
      <c r="AQ395" s="118">
        <v>0</v>
      </c>
      <c r="AR395" s="118">
        <v>0</v>
      </c>
      <c r="AS395" s="118">
        <v>0</v>
      </c>
      <c r="AT395" s="118">
        <v>0</v>
      </c>
      <c r="AU395" s="118">
        <f t="shared" si="29"/>
        <v>0</v>
      </c>
    </row>
    <row r="396" spans="1:49">
      <c r="A396" s="114">
        <v>26</v>
      </c>
      <c r="B396" s="116">
        <v>45988</v>
      </c>
      <c r="H396" s="115">
        <v>10</v>
      </c>
      <c r="I396" s="117" t="str">
        <f t="shared" si="28"/>
        <v>NHGRI_10</v>
      </c>
      <c r="J396" s="123" t="s">
        <v>789</v>
      </c>
      <c r="K396" s="124">
        <v>6</v>
      </c>
      <c r="L396" s="123" t="str">
        <f t="shared" si="27"/>
        <v>NHGRI_10_6</v>
      </c>
      <c r="M396" s="123" t="s">
        <v>1196</v>
      </c>
      <c r="N396" s="115" t="s">
        <v>86</v>
      </c>
      <c r="O396" s="115" t="s">
        <v>347</v>
      </c>
      <c r="P396" s="115">
        <v>100</v>
      </c>
      <c r="Q396" s="115">
        <v>500</v>
      </c>
      <c r="S396" s="115" t="s">
        <v>288</v>
      </c>
      <c r="T396" s="115">
        <v>4</v>
      </c>
      <c r="U396" s="115">
        <v>12.07</v>
      </c>
      <c r="V396" s="115">
        <v>12.23</v>
      </c>
      <c r="W396" s="118">
        <v>4</v>
      </c>
      <c r="X396" s="118">
        <v>12.36</v>
      </c>
      <c r="Y396" s="118">
        <v>2</v>
      </c>
      <c r="Z396" s="118">
        <v>2</v>
      </c>
      <c r="AA396" s="118">
        <v>2</v>
      </c>
      <c r="AB396" s="118">
        <v>0</v>
      </c>
      <c r="AC396" s="118">
        <v>0</v>
      </c>
      <c r="AD396" s="118">
        <v>0</v>
      </c>
      <c r="AE396" s="118">
        <v>0</v>
      </c>
      <c r="AF396" s="118">
        <v>0</v>
      </c>
      <c r="AG396" s="118">
        <v>0</v>
      </c>
      <c r="AH396" s="118">
        <v>0</v>
      </c>
      <c r="AI396" s="118">
        <v>0</v>
      </c>
      <c r="AJ396" s="118">
        <v>0</v>
      </c>
      <c r="AK396" s="118">
        <v>0</v>
      </c>
      <c r="AL396" s="118">
        <v>0</v>
      </c>
      <c r="AM396" s="118">
        <v>0</v>
      </c>
      <c r="AN396" s="118">
        <v>0</v>
      </c>
      <c r="AO396" s="118">
        <v>0</v>
      </c>
      <c r="AP396" s="118">
        <v>0</v>
      </c>
      <c r="AQ396" s="118">
        <v>0</v>
      </c>
      <c r="AR396" s="118">
        <v>0</v>
      </c>
      <c r="AS396" s="118">
        <v>0</v>
      </c>
      <c r="AT396" s="118">
        <v>0</v>
      </c>
      <c r="AU396" s="118">
        <f t="shared" si="29"/>
        <v>0</v>
      </c>
    </row>
    <row r="397" spans="1:49">
      <c r="A397" s="114">
        <v>26</v>
      </c>
      <c r="B397" s="116">
        <v>45988</v>
      </c>
      <c r="H397" s="115">
        <v>10</v>
      </c>
      <c r="I397" s="117" t="str">
        <f t="shared" si="28"/>
        <v>NHGRI_10</v>
      </c>
      <c r="J397" s="123" t="s">
        <v>789</v>
      </c>
      <c r="K397" s="124">
        <v>7</v>
      </c>
      <c r="L397" s="123" t="str">
        <f t="shared" si="27"/>
        <v>NHGRI_10_7</v>
      </c>
      <c r="M397" s="123" t="s">
        <v>1197</v>
      </c>
      <c r="N397" s="115" t="s">
        <v>86</v>
      </c>
      <c r="O397" s="115" t="s">
        <v>347</v>
      </c>
      <c r="P397" s="115">
        <v>100</v>
      </c>
      <c r="Q397" s="115">
        <v>500</v>
      </c>
      <c r="S397" s="115" t="s">
        <v>269</v>
      </c>
      <c r="T397" s="115">
        <v>3</v>
      </c>
      <c r="U397" s="115">
        <v>10.15</v>
      </c>
      <c r="V397" s="115">
        <v>10.24</v>
      </c>
      <c r="W397" s="118">
        <v>3</v>
      </c>
      <c r="X397" s="118">
        <v>10.41</v>
      </c>
      <c r="Y397" s="118">
        <v>2</v>
      </c>
      <c r="Z397" s="118">
        <v>2</v>
      </c>
      <c r="AA397" s="118">
        <v>2</v>
      </c>
      <c r="AB397" s="118">
        <v>2</v>
      </c>
      <c r="AC397" s="118">
        <v>2</v>
      </c>
      <c r="AD397" s="118">
        <v>2</v>
      </c>
      <c r="AE397" s="118">
        <v>2</v>
      </c>
      <c r="AF397" s="118">
        <v>2</v>
      </c>
      <c r="AG397" s="118">
        <v>2</v>
      </c>
      <c r="AH397" s="118">
        <v>1</v>
      </c>
      <c r="AI397" s="118">
        <v>1</v>
      </c>
      <c r="AJ397" s="118">
        <v>1</v>
      </c>
      <c r="AK397" s="118">
        <v>1</v>
      </c>
      <c r="AL397" s="118">
        <v>1</v>
      </c>
      <c r="AM397" s="118">
        <v>1</v>
      </c>
      <c r="AN397" s="118">
        <v>1</v>
      </c>
      <c r="AO397" s="118">
        <v>1</v>
      </c>
      <c r="AP397" s="118">
        <v>1</v>
      </c>
      <c r="AQ397" s="118">
        <v>1</v>
      </c>
      <c r="AR397" s="118">
        <v>0</v>
      </c>
      <c r="AS397" s="118">
        <v>0</v>
      </c>
      <c r="AT397" s="118">
        <v>0</v>
      </c>
      <c r="AU397" s="118">
        <f t="shared" si="29"/>
        <v>0</v>
      </c>
    </row>
    <row r="398" spans="1:49">
      <c r="A398" s="114">
        <v>26</v>
      </c>
      <c r="B398" s="116">
        <v>45988</v>
      </c>
      <c r="H398" s="115">
        <v>10</v>
      </c>
      <c r="I398" s="117" t="str">
        <f t="shared" si="28"/>
        <v>NHGRI_10</v>
      </c>
      <c r="J398" s="117" t="s">
        <v>789</v>
      </c>
      <c r="K398" s="124">
        <v>8</v>
      </c>
      <c r="L398" s="123" t="str">
        <f t="shared" si="27"/>
        <v>NHGRI_10_8</v>
      </c>
      <c r="M398" s="117" t="s">
        <v>1198</v>
      </c>
      <c r="N398" s="115" t="s">
        <v>86</v>
      </c>
      <c r="O398" s="115" t="s">
        <v>347</v>
      </c>
      <c r="P398" s="115">
        <v>100</v>
      </c>
      <c r="Q398" s="115">
        <v>500</v>
      </c>
      <c r="S398" s="115" t="s">
        <v>270</v>
      </c>
      <c r="T398" s="115">
        <v>3</v>
      </c>
      <c r="U398" s="115">
        <v>10.28</v>
      </c>
      <c r="V398" s="115">
        <v>10.36</v>
      </c>
      <c r="W398" s="118">
        <v>3</v>
      </c>
      <c r="X398" s="118">
        <v>10.52</v>
      </c>
      <c r="Y398" s="118">
        <v>2</v>
      </c>
      <c r="Z398" s="118">
        <v>2</v>
      </c>
      <c r="AA398" s="118">
        <v>2</v>
      </c>
      <c r="AB398" s="118">
        <v>2</v>
      </c>
      <c r="AC398" s="118">
        <v>2</v>
      </c>
      <c r="AD398" s="118">
        <v>2</v>
      </c>
      <c r="AE398" s="118">
        <v>2</v>
      </c>
      <c r="AF398" s="118">
        <v>2</v>
      </c>
      <c r="AG398" s="118">
        <v>2</v>
      </c>
      <c r="AH398" s="118">
        <v>2</v>
      </c>
      <c r="AI398" s="118">
        <v>2</v>
      </c>
      <c r="AJ398" s="118">
        <v>2</v>
      </c>
      <c r="AK398" s="118">
        <v>2</v>
      </c>
      <c r="AL398" s="118">
        <v>2</v>
      </c>
      <c r="AM398" s="118">
        <v>2</v>
      </c>
      <c r="AN398" s="118">
        <v>2</v>
      </c>
      <c r="AO398" s="118">
        <v>2</v>
      </c>
      <c r="AP398" s="118">
        <v>2</v>
      </c>
      <c r="AQ398" s="118">
        <v>2</v>
      </c>
      <c r="AR398" s="118">
        <v>2</v>
      </c>
      <c r="AS398" s="118">
        <v>1</v>
      </c>
      <c r="AT398" s="118">
        <v>1</v>
      </c>
      <c r="AU398" s="118">
        <f t="shared" si="29"/>
        <v>1</v>
      </c>
      <c r="AV398" s="115" t="s">
        <v>333</v>
      </c>
      <c r="AW398" s="115" t="s">
        <v>349</v>
      </c>
    </row>
    <row r="399" spans="1:49">
      <c r="A399" s="114">
        <v>26</v>
      </c>
      <c r="B399" s="116">
        <v>45988</v>
      </c>
      <c r="H399" s="115">
        <v>10</v>
      </c>
      <c r="I399" s="117" t="str">
        <f t="shared" si="28"/>
        <v>NHGRI_10</v>
      </c>
      <c r="J399" s="117" t="s">
        <v>789</v>
      </c>
      <c r="K399" s="124">
        <v>9</v>
      </c>
      <c r="L399" s="123" t="str">
        <f t="shared" si="27"/>
        <v>NHGRI_10_9</v>
      </c>
      <c r="M399" s="117" t="s">
        <v>1199</v>
      </c>
      <c r="N399" s="115" t="s">
        <v>86</v>
      </c>
      <c r="O399" s="115" t="s">
        <v>347</v>
      </c>
      <c r="P399" s="115">
        <v>100</v>
      </c>
      <c r="Q399" s="115">
        <v>500</v>
      </c>
      <c r="S399" s="115" t="s">
        <v>271</v>
      </c>
      <c r="T399" s="115">
        <v>3</v>
      </c>
      <c r="U399" s="115">
        <v>10.38</v>
      </c>
      <c r="V399" s="115">
        <v>10.53</v>
      </c>
      <c r="W399" s="118">
        <v>3</v>
      </c>
      <c r="X399" s="118">
        <v>11.09</v>
      </c>
      <c r="Y399" s="118">
        <v>2</v>
      </c>
      <c r="Z399" s="118">
        <v>2</v>
      </c>
      <c r="AA399" s="118">
        <v>2</v>
      </c>
      <c r="AB399" s="118">
        <v>2</v>
      </c>
      <c r="AC399" s="118">
        <v>2</v>
      </c>
      <c r="AD399" s="118">
        <v>2</v>
      </c>
      <c r="AE399" s="118">
        <v>2</v>
      </c>
      <c r="AF399" s="118">
        <v>2</v>
      </c>
      <c r="AG399" s="118">
        <v>2</v>
      </c>
      <c r="AH399" s="118">
        <v>2</v>
      </c>
      <c r="AI399" s="118">
        <v>2</v>
      </c>
      <c r="AJ399" s="118">
        <v>2</v>
      </c>
      <c r="AK399" s="118">
        <v>2</v>
      </c>
      <c r="AL399" s="118">
        <v>2</v>
      </c>
      <c r="AM399" s="118">
        <v>2</v>
      </c>
      <c r="AN399" s="118">
        <v>2</v>
      </c>
      <c r="AO399" s="118">
        <v>2</v>
      </c>
      <c r="AP399" s="118">
        <v>2</v>
      </c>
      <c r="AQ399" s="118">
        <v>1</v>
      </c>
      <c r="AR399" s="118">
        <v>1</v>
      </c>
      <c r="AS399" s="118">
        <v>1</v>
      </c>
      <c r="AT399" s="118">
        <v>1</v>
      </c>
      <c r="AU399" s="118">
        <f t="shared" si="29"/>
        <v>1</v>
      </c>
      <c r="AV399" s="115" t="s">
        <v>333</v>
      </c>
      <c r="AW399" s="115" t="s">
        <v>350</v>
      </c>
    </row>
    <row r="400" spans="1:49">
      <c r="A400" s="114">
        <v>26</v>
      </c>
      <c r="B400" s="116">
        <v>45988</v>
      </c>
      <c r="H400" s="115">
        <v>10</v>
      </c>
      <c r="I400" s="117" t="str">
        <f t="shared" si="28"/>
        <v>NHGRI_10</v>
      </c>
      <c r="J400" s="117" t="s">
        <v>789</v>
      </c>
      <c r="K400" s="124">
        <v>10</v>
      </c>
      <c r="L400" s="123" t="str">
        <f t="shared" si="27"/>
        <v>NHGRI_10_10</v>
      </c>
      <c r="M400" s="117" t="s">
        <v>1200</v>
      </c>
      <c r="N400" s="115" t="s">
        <v>86</v>
      </c>
      <c r="O400" s="115" t="s">
        <v>347</v>
      </c>
      <c r="P400" s="115">
        <v>100</v>
      </c>
      <c r="Q400" s="115">
        <v>500</v>
      </c>
      <c r="S400" s="115" t="s">
        <v>272</v>
      </c>
      <c r="T400" s="115">
        <v>3</v>
      </c>
      <c r="U400" s="115">
        <v>11.02</v>
      </c>
      <c r="V400" s="115">
        <v>11.12</v>
      </c>
      <c r="W400" s="118">
        <v>3</v>
      </c>
      <c r="X400" s="118">
        <v>11.26</v>
      </c>
      <c r="Y400" s="118">
        <v>2</v>
      </c>
      <c r="Z400" s="118">
        <v>2</v>
      </c>
      <c r="AA400" s="118">
        <v>2</v>
      </c>
      <c r="AB400" s="118">
        <v>2</v>
      </c>
      <c r="AC400" s="118">
        <v>2</v>
      </c>
      <c r="AD400" s="118">
        <v>2</v>
      </c>
      <c r="AE400" s="118">
        <v>2</v>
      </c>
      <c r="AF400" s="118">
        <v>2</v>
      </c>
      <c r="AG400" s="118">
        <v>2</v>
      </c>
      <c r="AH400" s="118">
        <v>2</v>
      </c>
      <c r="AI400" s="118">
        <v>2</v>
      </c>
      <c r="AJ400" s="118">
        <v>2</v>
      </c>
      <c r="AK400" s="118">
        <v>2</v>
      </c>
      <c r="AL400" s="118">
        <v>2</v>
      </c>
      <c r="AM400" s="118">
        <v>2</v>
      </c>
      <c r="AN400" s="118">
        <v>2</v>
      </c>
      <c r="AO400" s="118">
        <v>2</v>
      </c>
      <c r="AP400" s="118">
        <v>2</v>
      </c>
      <c r="AQ400" s="118">
        <v>2</v>
      </c>
      <c r="AR400" s="118">
        <v>1</v>
      </c>
      <c r="AS400" s="118">
        <v>1</v>
      </c>
      <c r="AT400" s="118">
        <v>1</v>
      </c>
      <c r="AU400" s="118">
        <f t="shared" si="29"/>
        <v>1</v>
      </c>
      <c r="AV400" s="115" t="s">
        <v>310</v>
      </c>
      <c r="AW400" s="115" t="s">
        <v>351</v>
      </c>
    </row>
    <row r="401" spans="1:55">
      <c r="A401" s="114">
        <v>26</v>
      </c>
      <c r="B401" s="116">
        <v>45988</v>
      </c>
      <c r="H401" s="115">
        <v>10</v>
      </c>
      <c r="I401" s="117" t="str">
        <f t="shared" si="28"/>
        <v>NHGRI_10</v>
      </c>
      <c r="J401" s="117" t="s">
        <v>789</v>
      </c>
      <c r="K401" s="124">
        <v>11</v>
      </c>
      <c r="L401" s="123" t="str">
        <f t="shared" si="27"/>
        <v>NHGRI_10_11</v>
      </c>
      <c r="M401" s="117" t="s">
        <v>1201</v>
      </c>
      <c r="N401" s="115" t="s">
        <v>86</v>
      </c>
      <c r="O401" s="115" t="s">
        <v>347</v>
      </c>
      <c r="P401" s="115">
        <v>100</v>
      </c>
      <c r="Q401" s="115">
        <v>500</v>
      </c>
      <c r="S401" s="115" t="s">
        <v>273</v>
      </c>
      <c r="T401" s="115">
        <v>3</v>
      </c>
      <c r="U401" s="115">
        <v>11.24</v>
      </c>
      <c r="V401" s="115">
        <v>11.37</v>
      </c>
      <c r="W401" s="118">
        <v>3</v>
      </c>
      <c r="X401" s="118">
        <v>11.53</v>
      </c>
      <c r="Y401" s="118">
        <v>2</v>
      </c>
      <c r="Z401" s="118">
        <v>2</v>
      </c>
      <c r="AA401" s="118">
        <v>2</v>
      </c>
      <c r="AB401" s="118">
        <v>2</v>
      </c>
      <c r="AC401" s="118">
        <v>2</v>
      </c>
      <c r="AD401" s="118">
        <v>2</v>
      </c>
      <c r="AE401" s="118">
        <v>2</v>
      </c>
      <c r="AF401" s="118">
        <v>2</v>
      </c>
      <c r="AG401" s="118">
        <v>2</v>
      </c>
      <c r="AH401" s="118">
        <v>2</v>
      </c>
      <c r="AI401" s="118">
        <v>2</v>
      </c>
      <c r="AJ401" s="118">
        <v>2</v>
      </c>
      <c r="AK401" s="118">
        <v>2</v>
      </c>
      <c r="AL401" s="118">
        <v>2</v>
      </c>
      <c r="AM401" s="118">
        <v>2</v>
      </c>
      <c r="AN401" s="118">
        <v>2</v>
      </c>
      <c r="AO401" s="118">
        <v>2</v>
      </c>
      <c r="AP401" s="118">
        <v>2</v>
      </c>
      <c r="AQ401" s="118">
        <v>2</v>
      </c>
      <c r="AR401" s="118">
        <v>1</v>
      </c>
      <c r="AS401" s="118">
        <v>1</v>
      </c>
      <c r="AT401" s="118">
        <v>1</v>
      </c>
      <c r="AU401" s="118">
        <f t="shared" si="29"/>
        <v>1</v>
      </c>
      <c r="AV401" s="115" t="s">
        <v>310</v>
      </c>
      <c r="AW401" s="115" t="s">
        <v>352</v>
      </c>
    </row>
    <row r="402" spans="1:55">
      <c r="A402" s="114">
        <v>26</v>
      </c>
      <c r="B402" s="116">
        <v>45988</v>
      </c>
      <c r="H402" s="115">
        <v>10</v>
      </c>
      <c r="I402" s="117" t="str">
        <f t="shared" si="28"/>
        <v>NHGRI_10</v>
      </c>
      <c r="J402" s="117" t="s">
        <v>789</v>
      </c>
      <c r="K402" s="124">
        <v>12</v>
      </c>
      <c r="L402" s="123" t="str">
        <f t="shared" si="27"/>
        <v>NHGRI_10_12</v>
      </c>
      <c r="M402" s="117" t="s">
        <v>1202</v>
      </c>
      <c r="N402" s="115" t="s">
        <v>86</v>
      </c>
      <c r="O402" s="115" t="s">
        <v>347</v>
      </c>
      <c r="P402" s="115">
        <v>100</v>
      </c>
      <c r="Q402" s="115">
        <v>500</v>
      </c>
      <c r="S402" s="115" t="s">
        <v>274</v>
      </c>
      <c r="T402" s="115">
        <v>3</v>
      </c>
      <c r="U402" s="115">
        <v>11.42</v>
      </c>
      <c r="V402" s="115">
        <v>11.52</v>
      </c>
      <c r="W402" s="118">
        <v>3</v>
      </c>
      <c r="X402" s="118">
        <v>12.07</v>
      </c>
      <c r="Y402" s="118">
        <v>3</v>
      </c>
      <c r="Z402" s="118">
        <v>3</v>
      </c>
      <c r="AA402" s="118">
        <v>3</v>
      </c>
      <c r="AB402" s="118">
        <v>3</v>
      </c>
      <c r="AC402" s="118">
        <v>1</v>
      </c>
      <c r="AD402" s="118">
        <v>1</v>
      </c>
      <c r="AE402" s="118">
        <v>1</v>
      </c>
      <c r="AF402" s="118">
        <v>1</v>
      </c>
      <c r="AG402" s="118">
        <v>1</v>
      </c>
      <c r="AH402" s="118">
        <v>1</v>
      </c>
      <c r="AI402" s="118">
        <v>1</v>
      </c>
      <c r="AJ402" s="118">
        <v>1</v>
      </c>
      <c r="AK402" s="118">
        <v>1</v>
      </c>
      <c r="AL402" s="118">
        <v>1</v>
      </c>
      <c r="AM402" s="118">
        <v>1</v>
      </c>
      <c r="AN402" s="118">
        <v>1</v>
      </c>
      <c r="AO402" s="118">
        <v>1</v>
      </c>
      <c r="AP402" s="118">
        <v>1</v>
      </c>
      <c r="AQ402" s="118">
        <v>1</v>
      </c>
      <c r="AR402" s="118">
        <v>1</v>
      </c>
      <c r="AS402" s="118">
        <v>1</v>
      </c>
      <c r="AT402" s="118">
        <v>1</v>
      </c>
      <c r="AU402" s="118">
        <f t="shared" si="29"/>
        <v>1</v>
      </c>
      <c r="AV402" s="115" t="s">
        <v>310</v>
      </c>
      <c r="AW402" s="115" t="s">
        <v>353</v>
      </c>
    </row>
    <row r="403" spans="1:55">
      <c r="A403" s="114">
        <v>26</v>
      </c>
      <c r="B403" s="116">
        <v>45988</v>
      </c>
      <c r="H403" s="115">
        <v>10</v>
      </c>
      <c r="I403" s="117" t="str">
        <f t="shared" si="28"/>
        <v>NHGRI_10</v>
      </c>
      <c r="J403" s="117" t="s">
        <v>789</v>
      </c>
      <c r="K403" s="124">
        <v>13</v>
      </c>
      <c r="L403" s="123" t="str">
        <f t="shared" si="27"/>
        <v>NHGRI_10_13</v>
      </c>
      <c r="M403" s="117" t="s">
        <v>1203</v>
      </c>
      <c r="N403" s="115" t="s">
        <v>86</v>
      </c>
      <c r="O403" s="115" t="s">
        <v>347</v>
      </c>
      <c r="P403" s="115">
        <v>100</v>
      </c>
      <c r="Q403" s="115">
        <v>500</v>
      </c>
      <c r="S403" s="115" t="s">
        <v>275</v>
      </c>
      <c r="T403" s="115">
        <v>1</v>
      </c>
      <c r="U403" s="115">
        <v>11.54</v>
      </c>
      <c r="V403" s="115">
        <v>12.02</v>
      </c>
      <c r="W403" s="118">
        <v>1</v>
      </c>
      <c r="X403" s="118">
        <v>12.13</v>
      </c>
      <c r="Y403" s="118">
        <v>2</v>
      </c>
      <c r="Z403" s="118">
        <v>2</v>
      </c>
      <c r="AA403" s="118">
        <v>2</v>
      </c>
      <c r="AB403" s="118">
        <v>2</v>
      </c>
      <c r="AC403" s="118">
        <v>2</v>
      </c>
      <c r="AD403" s="118">
        <v>2</v>
      </c>
      <c r="AE403" s="118">
        <v>2</v>
      </c>
      <c r="AF403" s="118">
        <v>2</v>
      </c>
      <c r="AG403" s="118">
        <v>2</v>
      </c>
      <c r="AH403" s="118">
        <v>2</v>
      </c>
      <c r="AI403" s="118">
        <v>2</v>
      </c>
      <c r="AJ403" s="118">
        <v>2</v>
      </c>
      <c r="AK403" s="118">
        <v>2</v>
      </c>
      <c r="AL403" s="118">
        <v>2</v>
      </c>
      <c r="AM403" s="118">
        <v>2</v>
      </c>
      <c r="AN403" s="118">
        <v>2</v>
      </c>
      <c r="AO403" s="118">
        <v>2</v>
      </c>
      <c r="AP403" s="118">
        <v>2</v>
      </c>
      <c r="AQ403" s="118">
        <v>2</v>
      </c>
      <c r="AR403" s="118">
        <v>1</v>
      </c>
      <c r="AS403" s="118">
        <v>1</v>
      </c>
      <c r="AT403" s="118">
        <v>1</v>
      </c>
      <c r="AU403" s="118">
        <f t="shared" si="29"/>
        <v>1</v>
      </c>
      <c r="AV403" s="115" t="s">
        <v>310</v>
      </c>
      <c r="AW403" s="115" t="s">
        <v>354</v>
      </c>
    </row>
    <row r="404" spans="1:55">
      <c r="A404" s="114">
        <v>26</v>
      </c>
      <c r="B404" s="116">
        <v>45988</v>
      </c>
      <c r="H404" s="115">
        <v>10</v>
      </c>
      <c r="I404" s="117" t="str">
        <f t="shared" si="28"/>
        <v>NHGRI_10</v>
      </c>
      <c r="J404" s="123" t="s">
        <v>789</v>
      </c>
      <c r="K404" s="124">
        <v>14</v>
      </c>
      <c r="L404" s="123" t="str">
        <f t="shared" si="27"/>
        <v>NHGRI_10_14</v>
      </c>
      <c r="M404" s="123" t="s">
        <v>1204</v>
      </c>
      <c r="N404" s="115" t="s">
        <v>86</v>
      </c>
      <c r="O404" s="115" t="s">
        <v>347</v>
      </c>
      <c r="P404" s="115">
        <v>100</v>
      </c>
      <c r="Q404" s="115">
        <v>500</v>
      </c>
      <c r="S404" s="115" t="s">
        <v>276</v>
      </c>
      <c r="T404" s="115">
        <v>2</v>
      </c>
      <c r="U404" s="115">
        <v>12.06</v>
      </c>
      <c r="V404" s="115">
        <v>12.18</v>
      </c>
      <c r="W404" s="118">
        <v>2</v>
      </c>
      <c r="X404" s="118">
        <v>12.35</v>
      </c>
      <c r="Y404" s="118">
        <v>0</v>
      </c>
      <c r="Z404" s="118">
        <v>0</v>
      </c>
      <c r="AA404" s="118">
        <v>0</v>
      </c>
      <c r="AB404" s="118">
        <v>0</v>
      </c>
      <c r="AC404" s="118">
        <v>0</v>
      </c>
      <c r="AD404" s="118">
        <v>0</v>
      </c>
      <c r="AE404" s="118">
        <v>0</v>
      </c>
      <c r="AF404" s="118">
        <v>0</v>
      </c>
      <c r="AG404" s="118">
        <v>0</v>
      </c>
      <c r="AH404" s="118">
        <v>0</v>
      </c>
      <c r="AI404" s="118">
        <v>0</v>
      </c>
      <c r="AJ404" s="118">
        <v>0</v>
      </c>
      <c r="AK404" s="118">
        <v>0</v>
      </c>
      <c r="AL404" s="118">
        <v>0</v>
      </c>
      <c r="AM404" s="118">
        <v>0</v>
      </c>
      <c r="AN404" s="118">
        <v>0</v>
      </c>
      <c r="AO404" s="118">
        <v>0</v>
      </c>
      <c r="AP404" s="118">
        <v>0</v>
      </c>
      <c r="AQ404" s="118">
        <v>0</v>
      </c>
      <c r="AR404" s="118">
        <v>0</v>
      </c>
      <c r="AS404" s="118">
        <v>0</v>
      </c>
      <c r="AT404" s="118">
        <v>0</v>
      </c>
      <c r="AU404" s="118">
        <f t="shared" si="29"/>
        <v>0</v>
      </c>
    </row>
    <row r="405" spans="1:55">
      <c r="A405" s="114">
        <v>26</v>
      </c>
      <c r="B405" s="116">
        <v>45988</v>
      </c>
      <c r="H405" s="115">
        <v>10</v>
      </c>
      <c r="I405" s="117" t="str">
        <f t="shared" si="28"/>
        <v>NHGRI_10</v>
      </c>
      <c r="J405" s="117" t="s">
        <v>789</v>
      </c>
      <c r="K405" s="124">
        <v>15</v>
      </c>
      <c r="L405" s="123" t="str">
        <f t="shared" si="27"/>
        <v>NHGRI_10_15</v>
      </c>
      <c r="M405" s="117" t="s">
        <v>1205</v>
      </c>
      <c r="N405" s="115" t="s">
        <v>86</v>
      </c>
      <c r="O405" s="115" t="s">
        <v>347</v>
      </c>
      <c r="P405" s="115">
        <v>100</v>
      </c>
      <c r="Q405" s="115">
        <v>500</v>
      </c>
      <c r="S405" s="115" t="s">
        <v>257</v>
      </c>
      <c r="T405" s="115">
        <v>5</v>
      </c>
      <c r="U405" s="115" t="s">
        <v>117</v>
      </c>
      <c r="V405" s="115" t="s">
        <v>117</v>
      </c>
      <c r="W405" s="118">
        <v>5</v>
      </c>
      <c r="X405" s="118">
        <v>10.49</v>
      </c>
      <c r="Y405" s="118">
        <v>1</v>
      </c>
      <c r="Z405" s="118">
        <v>1</v>
      </c>
      <c r="AA405" s="118">
        <v>1</v>
      </c>
      <c r="AB405" s="118">
        <v>1</v>
      </c>
      <c r="AC405" s="118">
        <v>1</v>
      </c>
      <c r="AD405" s="118">
        <v>1</v>
      </c>
      <c r="AE405" s="118">
        <v>1</v>
      </c>
      <c r="AF405" s="118">
        <v>1</v>
      </c>
      <c r="AG405" s="118">
        <v>1</v>
      </c>
      <c r="AH405" s="118">
        <v>1</v>
      </c>
      <c r="AI405" s="118">
        <v>1</v>
      </c>
      <c r="AJ405" s="118">
        <v>1</v>
      </c>
      <c r="AK405" s="118">
        <v>1</v>
      </c>
      <c r="AL405" s="118">
        <v>1</v>
      </c>
      <c r="AM405" s="118">
        <v>1</v>
      </c>
      <c r="AN405" s="118">
        <v>1</v>
      </c>
      <c r="AO405" s="118">
        <v>1</v>
      </c>
      <c r="AP405" s="118">
        <v>1</v>
      </c>
      <c r="AQ405" s="118">
        <v>1</v>
      </c>
      <c r="AR405" s="118">
        <v>1</v>
      </c>
      <c r="AS405" s="118">
        <v>1</v>
      </c>
      <c r="AT405" s="118">
        <v>1</v>
      </c>
      <c r="AU405" s="118">
        <f t="shared" si="29"/>
        <v>1</v>
      </c>
      <c r="AV405" s="115" t="s">
        <v>333</v>
      </c>
      <c r="AW405" s="115" t="s">
        <v>355</v>
      </c>
    </row>
    <row r="406" spans="1:55">
      <c r="A406" s="114">
        <v>26</v>
      </c>
      <c r="B406" s="116">
        <v>45988</v>
      </c>
      <c r="H406" s="115">
        <v>10</v>
      </c>
      <c r="I406" s="117" t="str">
        <f t="shared" si="28"/>
        <v>NHGRI_10</v>
      </c>
      <c r="J406" s="123" t="s">
        <v>789</v>
      </c>
      <c r="K406" s="124">
        <v>16</v>
      </c>
      <c r="L406" s="123" t="str">
        <f t="shared" si="27"/>
        <v>NHGRI_10_16</v>
      </c>
      <c r="M406" s="123" t="s">
        <v>1206</v>
      </c>
      <c r="N406" s="115" t="s">
        <v>86</v>
      </c>
      <c r="O406" s="115" t="s">
        <v>347</v>
      </c>
      <c r="P406" s="115">
        <v>100</v>
      </c>
      <c r="Q406" s="115">
        <v>500</v>
      </c>
      <c r="S406" s="115" t="s">
        <v>258</v>
      </c>
      <c r="T406" s="115">
        <v>4</v>
      </c>
      <c r="U406" s="115" t="s">
        <v>117</v>
      </c>
      <c r="V406" s="115" t="s">
        <v>117</v>
      </c>
      <c r="W406" s="118">
        <v>4</v>
      </c>
      <c r="X406" s="118">
        <v>11.02</v>
      </c>
      <c r="Y406" s="118">
        <v>1</v>
      </c>
      <c r="Z406" s="118">
        <v>1</v>
      </c>
      <c r="AA406" s="118">
        <v>0</v>
      </c>
      <c r="AB406" s="118">
        <v>0</v>
      </c>
      <c r="AC406" s="118">
        <v>0</v>
      </c>
      <c r="AD406" s="118">
        <v>0</v>
      </c>
      <c r="AE406" s="118">
        <v>0</v>
      </c>
      <c r="AF406" s="118">
        <v>0</v>
      </c>
      <c r="AG406" s="118">
        <v>0</v>
      </c>
      <c r="AH406" s="118">
        <v>0</v>
      </c>
      <c r="AI406" s="118">
        <v>0</v>
      </c>
      <c r="AJ406" s="118">
        <v>0</v>
      </c>
      <c r="AK406" s="118">
        <v>0</v>
      </c>
      <c r="AL406" s="118">
        <v>0</v>
      </c>
      <c r="AM406" s="118">
        <v>0</v>
      </c>
      <c r="AN406" s="118">
        <v>0</v>
      </c>
      <c r="AO406" s="118">
        <v>0</v>
      </c>
      <c r="AP406" s="118">
        <v>0</v>
      </c>
      <c r="AQ406" s="118">
        <v>0</v>
      </c>
      <c r="AR406" s="118">
        <v>0</v>
      </c>
      <c r="AS406" s="118">
        <v>0</v>
      </c>
      <c r="AT406" s="118">
        <v>0</v>
      </c>
      <c r="AU406" s="118">
        <f t="shared" si="29"/>
        <v>0</v>
      </c>
    </row>
    <row r="407" spans="1:55">
      <c r="A407" s="114">
        <v>26</v>
      </c>
      <c r="B407" s="116">
        <v>45988</v>
      </c>
      <c r="H407" s="115">
        <v>10</v>
      </c>
      <c r="I407" s="117" t="str">
        <f t="shared" si="28"/>
        <v>NHGRI_10</v>
      </c>
      <c r="J407" s="117" t="s">
        <v>789</v>
      </c>
      <c r="K407" s="124">
        <v>17</v>
      </c>
      <c r="L407" s="123" t="str">
        <f t="shared" si="27"/>
        <v>NHGRI_10_17</v>
      </c>
      <c r="M407" s="117" t="s">
        <v>1207</v>
      </c>
      <c r="N407" s="115" t="s">
        <v>86</v>
      </c>
      <c r="O407" s="115" t="s">
        <v>347</v>
      </c>
      <c r="P407" s="115">
        <v>100</v>
      </c>
      <c r="Q407" s="115">
        <v>500</v>
      </c>
      <c r="S407" s="115" t="s">
        <v>259</v>
      </c>
      <c r="T407" s="115">
        <v>5</v>
      </c>
      <c r="U407" s="115" t="s">
        <v>117</v>
      </c>
      <c r="V407" s="115" t="s">
        <v>117</v>
      </c>
      <c r="W407" s="118">
        <v>5</v>
      </c>
      <c r="X407" s="118">
        <v>11.37</v>
      </c>
      <c r="Y407" s="118">
        <v>4</v>
      </c>
      <c r="Z407" s="118">
        <v>4</v>
      </c>
      <c r="AA407" s="118">
        <v>4</v>
      </c>
      <c r="AB407" s="118">
        <v>4</v>
      </c>
      <c r="AC407" s="118">
        <v>4</v>
      </c>
      <c r="AD407" s="118">
        <v>4</v>
      </c>
      <c r="AE407" s="118">
        <v>4</v>
      </c>
      <c r="AF407" s="118">
        <v>4</v>
      </c>
      <c r="AG407" s="118">
        <v>1</v>
      </c>
      <c r="AH407" s="118">
        <v>1</v>
      </c>
      <c r="AI407" s="118">
        <v>1</v>
      </c>
      <c r="AJ407" s="118">
        <v>1</v>
      </c>
      <c r="AK407" s="118">
        <v>1</v>
      </c>
      <c r="AL407" s="118">
        <v>1</v>
      </c>
      <c r="AM407" s="118">
        <v>1</v>
      </c>
      <c r="AN407" s="118">
        <v>1</v>
      </c>
      <c r="AO407" s="118">
        <v>1</v>
      </c>
      <c r="AP407" s="118">
        <v>1</v>
      </c>
      <c r="AQ407" s="118">
        <v>1</v>
      </c>
      <c r="AR407" s="118">
        <v>1</v>
      </c>
      <c r="AS407" s="118">
        <v>1</v>
      </c>
      <c r="AT407" s="118">
        <v>1</v>
      </c>
      <c r="AU407" s="118">
        <f t="shared" si="29"/>
        <v>1</v>
      </c>
      <c r="AV407" s="115" t="s">
        <v>310</v>
      </c>
      <c r="AW407" s="115" t="s">
        <v>356</v>
      </c>
    </row>
    <row r="408" spans="1:55">
      <c r="A408" s="114">
        <v>26</v>
      </c>
      <c r="B408" s="116">
        <v>45988</v>
      </c>
      <c r="H408" s="115">
        <v>10</v>
      </c>
      <c r="I408" s="117" t="str">
        <f t="shared" si="28"/>
        <v>NHGRI_10</v>
      </c>
      <c r="J408" s="123" t="s">
        <v>789</v>
      </c>
      <c r="K408" s="124">
        <v>18</v>
      </c>
      <c r="L408" s="123" t="str">
        <f t="shared" ref="L408:L410" si="30">_xlfn.CONCAT(J408 &amp; "_" &amp; K408)</f>
        <v>NHGRI_10_18</v>
      </c>
      <c r="M408" s="123" t="s">
        <v>1208</v>
      </c>
      <c r="N408" s="115" t="s">
        <v>86</v>
      </c>
      <c r="O408" s="115" t="s">
        <v>347</v>
      </c>
      <c r="P408" s="115">
        <v>100</v>
      </c>
      <c r="Q408" s="115">
        <v>500</v>
      </c>
      <c r="S408" s="115" t="s">
        <v>260</v>
      </c>
      <c r="T408" s="115">
        <v>5</v>
      </c>
      <c r="U408" s="115" t="s">
        <v>117</v>
      </c>
      <c r="V408" s="115" t="s">
        <v>117</v>
      </c>
      <c r="W408" s="118">
        <v>5</v>
      </c>
      <c r="X408" s="118">
        <v>11.55</v>
      </c>
      <c r="Y408" s="118">
        <v>4</v>
      </c>
      <c r="Z408" s="118">
        <v>4</v>
      </c>
      <c r="AA408" s="118">
        <v>4</v>
      </c>
      <c r="AB408" s="118">
        <v>4</v>
      </c>
      <c r="AC408" s="118">
        <v>4</v>
      </c>
      <c r="AD408" s="118">
        <v>1</v>
      </c>
      <c r="AE408" s="118">
        <v>1</v>
      </c>
      <c r="AF408" s="118">
        <v>1</v>
      </c>
      <c r="AG408" s="118">
        <v>1</v>
      </c>
      <c r="AH408" s="118">
        <v>1</v>
      </c>
      <c r="AI408" s="118">
        <v>1</v>
      </c>
      <c r="AJ408" s="118">
        <v>1</v>
      </c>
      <c r="AK408" s="118">
        <v>1</v>
      </c>
      <c r="AL408" s="118">
        <v>1</v>
      </c>
      <c r="AM408" s="118">
        <v>1</v>
      </c>
      <c r="AN408" s="118">
        <v>0</v>
      </c>
      <c r="AO408" s="118">
        <v>0</v>
      </c>
      <c r="AP408" s="118">
        <v>0</v>
      </c>
      <c r="AQ408" s="118">
        <v>0</v>
      </c>
      <c r="AR408" s="118">
        <v>0</v>
      </c>
      <c r="AS408" s="118">
        <v>0</v>
      </c>
      <c r="AT408" s="118">
        <v>0</v>
      </c>
      <c r="AU408" s="118">
        <f t="shared" si="29"/>
        <v>0</v>
      </c>
    </row>
    <row r="409" spans="1:55">
      <c r="A409" s="114">
        <v>26</v>
      </c>
      <c r="B409" s="116">
        <v>45988</v>
      </c>
      <c r="H409" s="115">
        <v>10</v>
      </c>
      <c r="I409" s="117" t="str">
        <f t="shared" si="28"/>
        <v>NHGRI_10</v>
      </c>
      <c r="J409" s="123" t="s">
        <v>789</v>
      </c>
      <c r="K409" s="124">
        <v>19</v>
      </c>
      <c r="L409" s="123" t="str">
        <f t="shared" si="30"/>
        <v>NHGRI_10_19</v>
      </c>
      <c r="M409" s="123" t="s">
        <v>1209</v>
      </c>
      <c r="N409" s="115" t="s">
        <v>86</v>
      </c>
      <c r="O409" s="115" t="s">
        <v>347</v>
      </c>
      <c r="P409" s="115">
        <v>100</v>
      </c>
      <c r="Q409" s="115">
        <v>500</v>
      </c>
      <c r="S409" s="115" t="s">
        <v>261</v>
      </c>
      <c r="T409" s="115">
        <v>5</v>
      </c>
      <c r="U409" s="115" t="s">
        <v>117</v>
      </c>
      <c r="V409" s="115" t="s">
        <v>117</v>
      </c>
      <c r="W409" s="118">
        <v>5</v>
      </c>
      <c r="X409" s="118">
        <v>12.13</v>
      </c>
      <c r="Y409" s="118">
        <v>2</v>
      </c>
      <c r="Z409" s="118">
        <v>2</v>
      </c>
      <c r="AA409" s="118">
        <v>2</v>
      </c>
      <c r="AB409" s="118">
        <v>2</v>
      </c>
      <c r="AC409" s="118">
        <v>2</v>
      </c>
      <c r="AD409" s="118">
        <v>2</v>
      </c>
      <c r="AE409" s="118">
        <v>2</v>
      </c>
      <c r="AF409" s="118">
        <v>2</v>
      </c>
      <c r="AG409" s="118">
        <v>2</v>
      </c>
      <c r="AH409" s="118">
        <v>2</v>
      </c>
      <c r="AI409" s="118">
        <v>2</v>
      </c>
      <c r="AJ409" s="118">
        <v>2</v>
      </c>
      <c r="AK409" s="118">
        <v>2</v>
      </c>
      <c r="AL409" s="118">
        <v>2</v>
      </c>
      <c r="AM409" s="118">
        <v>2</v>
      </c>
      <c r="AN409" s="118">
        <v>0</v>
      </c>
      <c r="AO409" s="118">
        <v>0</v>
      </c>
      <c r="AP409" s="118">
        <v>0</v>
      </c>
      <c r="AQ409" s="118">
        <v>0</v>
      </c>
      <c r="AR409" s="118">
        <v>0</v>
      </c>
      <c r="AS409" s="118">
        <v>0</v>
      </c>
      <c r="AT409" s="118">
        <v>0</v>
      </c>
      <c r="AU409" s="118">
        <f t="shared" si="29"/>
        <v>0</v>
      </c>
    </row>
    <row r="410" spans="1:55" s="141" customFormat="1">
      <c r="A410" s="139">
        <v>26</v>
      </c>
      <c r="B410" s="140">
        <v>45988</v>
      </c>
      <c r="H410" s="141">
        <v>10</v>
      </c>
      <c r="I410" s="142" t="str">
        <f t="shared" si="28"/>
        <v>NHGRI_10</v>
      </c>
      <c r="J410" s="143" t="s">
        <v>789</v>
      </c>
      <c r="K410" s="144">
        <v>20</v>
      </c>
      <c r="L410" s="143" t="str">
        <f t="shared" si="30"/>
        <v>NHGRI_10_20</v>
      </c>
      <c r="M410" s="143" t="s">
        <v>1210</v>
      </c>
      <c r="N410" s="141" t="s">
        <v>86</v>
      </c>
      <c r="O410" s="141" t="s">
        <v>347</v>
      </c>
      <c r="P410" s="141">
        <v>100</v>
      </c>
      <c r="Q410" s="141">
        <v>500</v>
      </c>
      <c r="S410" s="141" t="s">
        <v>262</v>
      </c>
      <c r="T410" s="141">
        <v>5</v>
      </c>
      <c r="U410" s="141" t="s">
        <v>117</v>
      </c>
      <c r="V410" s="141" t="s">
        <v>117</v>
      </c>
      <c r="W410" s="145">
        <v>5</v>
      </c>
      <c r="X410" s="145">
        <v>12.35</v>
      </c>
      <c r="Y410" s="145">
        <v>1</v>
      </c>
      <c r="Z410" s="145">
        <v>1</v>
      </c>
      <c r="AA410" s="145">
        <v>1</v>
      </c>
      <c r="AB410" s="145">
        <v>1</v>
      </c>
      <c r="AC410" s="145">
        <v>1</v>
      </c>
      <c r="AD410" s="145">
        <v>1</v>
      </c>
      <c r="AE410" s="145">
        <v>1</v>
      </c>
      <c r="AF410" s="145">
        <v>1</v>
      </c>
      <c r="AG410" s="145">
        <v>1</v>
      </c>
      <c r="AH410" s="145">
        <v>1</v>
      </c>
      <c r="AI410" s="145">
        <v>1</v>
      </c>
      <c r="AJ410" s="145">
        <v>1</v>
      </c>
      <c r="AK410" s="145">
        <v>0</v>
      </c>
      <c r="AL410" s="145">
        <v>0</v>
      </c>
      <c r="AM410" s="145">
        <v>0</v>
      </c>
      <c r="AN410" s="145">
        <v>0</v>
      </c>
      <c r="AO410" s="145">
        <v>0</v>
      </c>
      <c r="AP410" s="145">
        <v>0</v>
      </c>
      <c r="AQ410" s="145">
        <v>0</v>
      </c>
      <c r="AR410" s="145">
        <v>0</v>
      </c>
      <c r="AS410" s="145">
        <v>0</v>
      </c>
      <c r="AT410" s="145">
        <v>0</v>
      </c>
      <c r="AU410" s="145">
        <f t="shared" si="29"/>
        <v>0</v>
      </c>
      <c r="AX410" s="139"/>
      <c r="BC410" s="146"/>
    </row>
    <row r="411" spans="1:55">
      <c r="W411" s="147">
        <f>SUM(W2:W410)</f>
        <v>1433</v>
      </c>
      <c r="X411" s="118"/>
      <c r="Y411" s="147">
        <f t="shared" ref="Y411:AU411" si="31">SUM(Y2:Y410)</f>
        <v>670</v>
      </c>
      <c r="Z411" s="147">
        <f t="shared" si="31"/>
        <v>621</v>
      </c>
      <c r="AA411" s="147">
        <f t="shared" si="31"/>
        <v>581</v>
      </c>
      <c r="AB411" s="147">
        <f t="shared" si="31"/>
        <v>539</v>
      </c>
      <c r="AC411" s="147">
        <f t="shared" si="31"/>
        <v>518</v>
      </c>
      <c r="AD411" s="147">
        <f t="shared" si="31"/>
        <v>510</v>
      </c>
      <c r="AE411" s="147">
        <f t="shared" si="31"/>
        <v>496</v>
      </c>
      <c r="AF411" s="147">
        <f t="shared" si="31"/>
        <v>491</v>
      </c>
      <c r="AG411" s="147">
        <f t="shared" si="31"/>
        <v>474</v>
      </c>
      <c r="AH411" s="147">
        <f t="shared" si="31"/>
        <v>459</v>
      </c>
      <c r="AI411" s="147">
        <f t="shared" si="31"/>
        <v>431</v>
      </c>
      <c r="AJ411" s="147">
        <f t="shared" si="31"/>
        <v>392</v>
      </c>
      <c r="AK411" s="147">
        <f t="shared" si="31"/>
        <v>345</v>
      </c>
      <c r="AL411" s="147">
        <f t="shared" si="31"/>
        <v>238</v>
      </c>
      <c r="AM411" s="147">
        <f t="shared" si="31"/>
        <v>175</v>
      </c>
      <c r="AN411" s="147">
        <f t="shared" si="31"/>
        <v>134</v>
      </c>
      <c r="AO411" s="147">
        <f t="shared" si="31"/>
        <v>122</v>
      </c>
      <c r="AP411" s="147">
        <f t="shared" si="31"/>
        <v>105</v>
      </c>
      <c r="AQ411" s="147">
        <f t="shared" si="31"/>
        <v>82</v>
      </c>
      <c r="AR411" s="147">
        <f t="shared" si="31"/>
        <v>57</v>
      </c>
      <c r="AS411" s="147">
        <f t="shared" si="31"/>
        <v>46</v>
      </c>
      <c r="AT411" s="147">
        <f t="shared" si="31"/>
        <v>46</v>
      </c>
      <c r="AU411" s="147">
        <f t="shared" si="31"/>
        <v>46</v>
      </c>
    </row>
    <row r="412" spans="1:55"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</row>
  </sheetData>
  <autoFilter ref="A1:BG412" xr:uid="{B0D0A629-98DE-47C8-983C-F4F938BB059E}"/>
  <mergeCells count="1">
    <mergeCell ref="AX76:AX80"/>
  </mergeCells>
  <conditionalFormatting sqref="W412:AT412">
    <cfRule type="uniqueValues" dxfId="2" priority="1"/>
  </conditionalFormatting>
  <conditionalFormatting sqref="AC2:AD3 AC9:AD10 AC12:AD13 AC15:AD18 AC14 AC20:AD21 AC23:AD28 AC22 AC30:AD36 AC39:AD46 AC49:AD57 AC59:AD63 AC65:AD67 AC70:AD87 AC89:AD96 AC100:AD100 AC102:AD102 AC104:AD111 AC113:AD113 AC115:AD122 AC124:AD124 AC123 AC126:AD128">
    <cfRule type="duplicateValues" dxfId="1" priority="5"/>
    <cfRule type="uniqueValues" dxfId="0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2819-656A-4445-A9D0-4E2416D6A9CE}">
  <sheetPr>
    <tabColor rgb="FF00B050"/>
  </sheetPr>
  <dimension ref="A3:E31"/>
  <sheetViews>
    <sheetView workbookViewId="0"/>
    <sheetView workbookViewId="1">
      <selection activeCell="E33" sqref="E33"/>
    </sheetView>
    <sheetView workbookViewId="2"/>
  </sheetViews>
  <sheetFormatPr defaultRowHeight="15"/>
  <cols>
    <col min="1" max="1" width="17.7109375" bestFit="1" customWidth="1"/>
    <col min="2" max="2" width="16.28515625" bestFit="1" customWidth="1"/>
    <col min="3" max="3" width="6.85546875" bestFit="1" customWidth="1"/>
    <col min="4" max="4" width="4" bestFit="1" customWidth="1"/>
    <col min="5" max="5" width="11.28515625" bestFit="1" customWidth="1"/>
    <col min="6" max="7" width="17.7109375" bestFit="1" customWidth="1"/>
    <col min="8" max="9" width="22.7109375" bestFit="1" customWidth="1"/>
    <col min="10" max="18" width="8.7109375" bestFit="1" customWidth="1"/>
    <col min="19" max="19" width="11.7109375" bestFit="1" customWidth="1"/>
    <col min="20" max="26" width="5.28515625" bestFit="1" customWidth="1"/>
    <col min="27" max="27" width="8.28515625" bestFit="1" customWidth="1"/>
    <col min="28" max="28" width="11.28515625" bestFit="1" customWidth="1"/>
  </cols>
  <sheetData>
    <row r="3" spans="1:5">
      <c r="A3" s="104" t="s">
        <v>1250</v>
      </c>
      <c r="B3" s="104" t="s">
        <v>767</v>
      </c>
    </row>
    <row r="4" spans="1:5">
      <c r="A4" s="104" t="s">
        <v>765</v>
      </c>
      <c r="B4" t="s">
        <v>88</v>
      </c>
      <c r="C4" t="s">
        <v>86</v>
      </c>
      <c r="D4" t="s">
        <v>50</v>
      </c>
      <c r="E4" t="s">
        <v>766</v>
      </c>
    </row>
    <row r="5" spans="1:5">
      <c r="A5" s="8" t="s">
        <v>771</v>
      </c>
      <c r="B5">
        <v>31</v>
      </c>
      <c r="E5">
        <v>31</v>
      </c>
    </row>
    <row r="6" spans="1:5">
      <c r="A6" s="8" t="s">
        <v>772</v>
      </c>
      <c r="B6">
        <v>18</v>
      </c>
      <c r="E6">
        <v>18</v>
      </c>
    </row>
    <row r="7" spans="1:5">
      <c r="A7" s="8" t="s">
        <v>773</v>
      </c>
      <c r="B7">
        <v>26</v>
      </c>
      <c r="E7">
        <v>26</v>
      </c>
    </row>
    <row r="8" spans="1:5">
      <c r="A8" s="8" t="s">
        <v>774</v>
      </c>
      <c r="B8">
        <v>22</v>
      </c>
      <c r="E8">
        <v>22</v>
      </c>
    </row>
    <row r="9" spans="1:5">
      <c r="A9" s="8" t="s">
        <v>775</v>
      </c>
      <c r="B9">
        <v>3</v>
      </c>
      <c r="E9">
        <v>3</v>
      </c>
    </row>
    <row r="10" spans="1:5">
      <c r="A10" s="8" t="s">
        <v>776</v>
      </c>
      <c r="B10">
        <v>25</v>
      </c>
      <c r="E10">
        <v>25</v>
      </c>
    </row>
    <row r="11" spans="1:5">
      <c r="A11" s="8" t="s">
        <v>777</v>
      </c>
      <c r="B11">
        <v>17</v>
      </c>
      <c r="E11">
        <v>17</v>
      </c>
    </row>
    <row r="12" spans="1:5">
      <c r="A12" s="8" t="s">
        <v>778</v>
      </c>
      <c r="B12">
        <v>6</v>
      </c>
      <c r="E12">
        <v>6</v>
      </c>
    </row>
    <row r="13" spans="1:5">
      <c r="A13" s="8" t="s">
        <v>779</v>
      </c>
      <c r="B13">
        <v>21</v>
      </c>
      <c r="E13">
        <v>21</v>
      </c>
    </row>
    <row r="14" spans="1:5">
      <c r="A14" s="8" t="s">
        <v>780</v>
      </c>
      <c r="C14">
        <v>8</v>
      </c>
      <c r="E14">
        <v>8</v>
      </c>
    </row>
    <row r="15" spans="1:5">
      <c r="A15" s="8" t="s">
        <v>789</v>
      </c>
      <c r="C15">
        <v>24</v>
      </c>
      <c r="E15">
        <v>24</v>
      </c>
    </row>
    <row r="16" spans="1:5">
      <c r="A16" s="8" t="s">
        <v>781</v>
      </c>
      <c r="C16">
        <v>30</v>
      </c>
      <c r="E16">
        <v>30</v>
      </c>
    </row>
    <row r="17" spans="1:5">
      <c r="A17" s="8" t="s">
        <v>782</v>
      </c>
      <c r="C17">
        <v>24</v>
      </c>
      <c r="E17">
        <v>24</v>
      </c>
    </row>
    <row r="18" spans="1:5">
      <c r="A18" s="8" t="s">
        <v>783</v>
      </c>
      <c r="C18">
        <v>16</v>
      </c>
      <c r="E18">
        <v>16</v>
      </c>
    </row>
    <row r="19" spans="1:5">
      <c r="A19" s="8" t="s">
        <v>784</v>
      </c>
      <c r="C19">
        <v>4</v>
      </c>
      <c r="E19">
        <v>4</v>
      </c>
    </row>
    <row r="20" spans="1:5">
      <c r="A20" s="8" t="s">
        <v>785</v>
      </c>
      <c r="C20">
        <v>25</v>
      </c>
      <c r="E20">
        <v>25</v>
      </c>
    </row>
    <row r="21" spans="1:5">
      <c r="A21" s="8" t="s">
        <v>786</v>
      </c>
      <c r="C21">
        <v>13</v>
      </c>
      <c r="E21">
        <v>13</v>
      </c>
    </row>
    <row r="22" spans="1:5">
      <c r="A22" s="8" t="s">
        <v>787</v>
      </c>
      <c r="C22">
        <v>11</v>
      </c>
      <c r="E22">
        <v>11</v>
      </c>
    </row>
    <row r="23" spans="1:5">
      <c r="A23" s="8" t="s">
        <v>788</v>
      </c>
      <c r="C23">
        <v>23</v>
      </c>
      <c r="E23">
        <v>23</v>
      </c>
    </row>
    <row r="24" spans="1:5">
      <c r="A24" s="8" t="s">
        <v>791</v>
      </c>
      <c r="D24">
        <v>8</v>
      </c>
      <c r="E24">
        <v>8</v>
      </c>
    </row>
    <row r="25" spans="1:5">
      <c r="A25" s="8" t="s">
        <v>792</v>
      </c>
      <c r="D25">
        <v>21</v>
      </c>
      <c r="E25">
        <v>21</v>
      </c>
    </row>
    <row r="26" spans="1:5">
      <c r="A26" s="8" t="s">
        <v>793</v>
      </c>
      <c r="D26">
        <v>31</v>
      </c>
      <c r="E26">
        <v>31</v>
      </c>
    </row>
    <row r="27" spans="1:5">
      <c r="A27" s="8" t="s">
        <v>794</v>
      </c>
      <c r="D27">
        <v>27</v>
      </c>
      <c r="E27">
        <v>27</v>
      </c>
    </row>
    <row r="28" spans="1:5">
      <c r="A28" s="8" t="s">
        <v>795</v>
      </c>
      <c r="D28">
        <v>11</v>
      </c>
      <c r="E28">
        <v>11</v>
      </c>
    </row>
    <row r="29" spans="1:5">
      <c r="A29" s="8" t="s">
        <v>796</v>
      </c>
      <c r="D29">
        <v>22</v>
      </c>
      <c r="E29">
        <v>22</v>
      </c>
    </row>
    <row r="30" spans="1:5">
      <c r="A30" s="8" t="s">
        <v>797</v>
      </c>
      <c r="D30">
        <v>24</v>
      </c>
      <c r="E30">
        <v>24</v>
      </c>
    </row>
    <row r="31" spans="1:5">
      <c r="A31" s="8" t="s">
        <v>766</v>
      </c>
      <c r="B31">
        <v>169</v>
      </c>
      <c r="C31">
        <v>178</v>
      </c>
      <c r="D31">
        <v>144</v>
      </c>
      <c r="E31">
        <v>491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AD5B-3945-439F-9460-53A175A78DB7}">
  <sheetPr>
    <tabColor theme="9" tint="0.39997558519241921"/>
    <pageSetUpPr fitToPage="1"/>
  </sheetPr>
  <dimension ref="A1:AB11"/>
  <sheetViews>
    <sheetView workbookViewId="0">
      <selection sqref="A1:A2"/>
    </sheetView>
    <sheetView topLeftCell="A15" workbookViewId="1">
      <selection activeCell="D3" sqref="D3"/>
    </sheetView>
    <sheetView workbookViewId="2">
      <selection sqref="A1:A2"/>
    </sheetView>
  </sheetViews>
  <sheetFormatPr defaultColWidth="8.85546875" defaultRowHeight="15"/>
  <cols>
    <col min="1" max="1" width="5.28515625" style="2" customWidth="1"/>
    <col min="2" max="2" width="10.7109375" style="2" customWidth="1"/>
    <col min="3" max="3" width="8.85546875" style="2"/>
    <col min="4" max="4" width="12.28515625" style="2" bestFit="1" customWidth="1"/>
    <col min="5" max="18" width="11.28515625" style="2" bestFit="1" customWidth="1"/>
    <col min="19" max="26" width="10.28515625" style="2" bestFit="1" customWidth="1"/>
    <col min="27" max="16384" width="8.85546875" style="2"/>
  </cols>
  <sheetData>
    <row r="1" spans="1:28" s="10" customFormat="1" ht="22.35" customHeight="1">
      <c r="A1" s="211" t="s">
        <v>357</v>
      </c>
      <c r="B1" s="213" t="s">
        <v>358</v>
      </c>
      <c r="C1" s="215" t="s">
        <v>359</v>
      </c>
      <c r="D1" s="217" t="s">
        <v>0</v>
      </c>
      <c r="E1" s="209" t="s">
        <v>1</v>
      </c>
      <c r="F1" s="209" t="s">
        <v>2</v>
      </c>
      <c r="G1" s="209" t="s">
        <v>3</v>
      </c>
      <c r="H1" s="209" t="s">
        <v>4</v>
      </c>
      <c r="I1" s="219" t="s">
        <v>5</v>
      </c>
      <c r="J1" s="209" t="s">
        <v>6</v>
      </c>
      <c r="K1" s="219" t="s">
        <v>7</v>
      </c>
      <c r="L1" s="219" t="s">
        <v>8</v>
      </c>
      <c r="M1" s="219" t="s">
        <v>9</v>
      </c>
      <c r="N1" s="219" t="s">
        <v>10</v>
      </c>
      <c r="O1" s="209" t="s">
        <v>11</v>
      </c>
      <c r="P1" s="209" t="s">
        <v>12</v>
      </c>
      <c r="Q1" s="209" t="s">
        <v>13</v>
      </c>
      <c r="R1" s="219" t="s">
        <v>14</v>
      </c>
      <c r="S1" s="219" t="s">
        <v>15</v>
      </c>
      <c r="T1" s="219" t="s">
        <v>16</v>
      </c>
      <c r="U1" s="225" t="s">
        <v>17</v>
      </c>
      <c r="V1" s="219" t="s">
        <v>18</v>
      </c>
      <c r="W1" s="209" t="s">
        <v>19</v>
      </c>
      <c r="X1" s="209" t="s">
        <v>20</v>
      </c>
      <c r="Y1" s="221" t="s">
        <v>21</v>
      </c>
      <c r="Z1" s="223" t="s">
        <v>35</v>
      </c>
      <c r="AA1" s="10" t="s">
        <v>22</v>
      </c>
      <c r="AB1" s="10" t="s">
        <v>360</v>
      </c>
    </row>
    <row r="2" spans="1:28" s="10" customFormat="1" ht="22.35" customHeight="1">
      <c r="A2" s="212"/>
      <c r="B2" s="214"/>
      <c r="C2" s="216"/>
      <c r="D2" s="218"/>
      <c r="E2" s="210"/>
      <c r="F2" s="210"/>
      <c r="G2" s="210"/>
      <c r="H2" s="210"/>
      <c r="I2" s="220"/>
      <c r="J2" s="210"/>
      <c r="K2" s="220"/>
      <c r="L2" s="220"/>
      <c r="M2" s="220"/>
      <c r="N2" s="220"/>
      <c r="O2" s="210"/>
      <c r="P2" s="210"/>
      <c r="Q2" s="210"/>
      <c r="R2" s="220"/>
      <c r="S2" s="220"/>
      <c r="T2" s="220"/>
      <c r="U2" s="226"/>
      <c r="V2" s="220"/>
      <c r="W2" s="210"/>
      <c r="X2" s="210"/>
      <c r="Y2" s="222"/>
      <c r="Z2" s="224"/>
    </row>
    <row r="3" spans="1:28" s="13" customFormat="1" ht="25.15" customHeight="1">
      <c r="A3" s="11">
        <v>1</v>
      </c>
      <c r="B3" s="11" t="s">
        <v>88</v>
      </c>
      <c r="C3" s="12">
        <f>'[1]raw data'!AZ3</f>
        <v>482</v>
      </c>
      <c r="D3" s="11">
        <f>'[1]raw data'!AZ4</f>
        <v>482</v>
      </c>
      <c r="E3" s="11">
        <f>'[1]raw data'!AZ5</f>
        <v>230</v>
      </c>
      <c r="F3" s="11">
        <f>'[1]raw data'!AZ6</f>
        <v>213</v>
      </c>
      <c r="G3" s="11">
        <f>'[1]raw data'!AZ7</f>
        <v>199</v>
      </c>
      <c r="H3" s="11">
        <f>'[1]raw data'!AZ8</f>
        <v>179</v>
      </c>
      <c r="I3" s="11">
        <f>'[1]raw data'!AZ9</f>
        <v>174</v>
      </c>
      <c r="J3" s="11">
        <f>'[1]raw data'!AZ10</f>
        <v>173</v>
      </c>
      <c r="K3" s="11">
        <f>'[1]raw data'!AZ11</f>
        <v>169</v>
      </c>
      <c r="L3" s="11">
        <f>'[1]raw data'!AZ12</f>
        <v>169</v>
      </c>
      <c r="M3" s="11">
        <f>'[1]raw data'!AZ13</f>
        <v>164</v>
      </c>
      <c r="N3" s="11">
        <f>'[1]raw data'!AZ14</f>
        <v>157</v>
      </c>
      <c r="O3" s="11">
        <f>'[1]raw data'!AZ15</f>
        <v>147</v>
      </c>
      <c r="P3" s="11">
        <f>'[1]raw data'!AZ16</f>
        <v>131</v>
      </c>
      <c r="Q3" s="11">
        <f>'[1]raw data'!AZ17</f>
        <v>114</v>
      </c>
      <c r="R3" s="11">
        <f>'[1]raw data'!AZ18</f>
        <v>79</v>
      </c>
      <c r="S3" s="11">
        <f>'[1]raw data'!AZ19</f>
        <v>54</v>
      </c>
      <c r="T3" s="11">
        <f>'[1]raw data'!AZ20</f>
        <v>38</v>
      </c>
      <c r="U3" s="11">
        <f>'[1]raw data'!AZ21</f>
        <v>36</v>
      </c>
      <c r="V3" s="11">
        <f>'[1]raw data'!AZ22</f>
        <v>29</v>
      </c>
      <c r="W3" s="11">
        <f>'[1]raw data'!AZ23</f>
        <v>19</v>
      </c>
      <c r="X3" s="11">
        <f>'[1]raw data'!AZ24</f>
        <v>14</v>
      </c>
      <c r="Y3" s="11">
        <f>'[1]raw data'!AZ25</f>
        <v>11</v>
      </c>
      <c r="Z3" s="11">
        <f>'[1]raw data'!AZ26</f>
        <v>11</v>
      </c>
    </row>
    <row r="4" spans="1:28" s="13" customFormat="1" ht="25.15" customHeight="1">
      <c r="A4" s="14"/>
      <c r="B4" s="14"/>
      <c r="C4" s="15"/>
      <c r="D4" s="16" t="s">
        <v>361</v>
      </c>
      <c r="E4" s="16" t="s">
        <v>361</v>
      </c>
      <c r="F4" s="16" t="s">
        <v>361</v>
      </c>
      <c r="G4" s="16" t="s">
        <v>361</v>
      </c>
      <c r="H4" s="16" t="s">
        <v>361</v>
      </c>
      <c r="I4" s="16" t="s">
        <v>361</v>
      </c>
      <c r="J4" s="16" t="s">
        <v>361</v>
      </c>
      <c r="K4" s="16" t="s">
        <v>361</v>
      </c>
      <c r="L4" s="16" t="s">
        <v>361</v>
      </c>
      <c r="M4" s="16" t="s">
        <v>361</v>
      </c>
      <c r="N4" s="16" t="s">
        <v>361</v>
      </c>
      <c r="O4" s="16" t="s">
        <v>361</v>
      </c>
      <c r="P4" s="16" t="s">
        <v>361</v>
      </c>
      <c r="Q4" s="16" t="s">
        <v>361</v>
      </c>
      <c r="R4" s="16" t="s">
        <v>361</v>
      </c>
      <c r="S4" s="16" t="s">
        <v>361</v>
      </c>
      <c r="T4" s="16" t="s">
        <v>361</v>
      </c>
      <c r="U4" s="16" t="s">
        <v>361</v>
      </c>
      <c r="V4" s="16" t="s">
        <v>361</v>
      </c>
      <c r="W4" s="16" t="s">
        <v>361</v>
      </c>
      <c r="X4" s="16" t="s">
        <v>361</v>
      </c>
      <c r="Y4" s="16" t="s">
        <v>361</v>
      </c>
      <c r="Z4" s="16" t="s">
        <v>361</v>
      </c>
    </row>
    <row r="5" spans="1:28" s="13" customFormat="1" ht="25.15" customHeight="1">
      <c r="A5" s="17"/>
      <c r="B5" s="17"/>
      <c r="C5" s="18"/>
      <c r="D5" s="19">
        <f>'[1]raw data'!BA4</f>
        <v>100</v>
      </c>
      <c r="E5" s="19">
        <f>'[1]raw data'!BA5</f>
        <v>47.717842323651453</v>
      </c>
      <c r="F5" s="19">
        <f>'[1]raw data'!BA6</f>
        <v>44.190871369294605</v>
      </c>
      <c r="G5" s="19">
        <f>'[1]raw data'!BA7</f>
        <v>41.286307053941911</v>
      </c>
      <c r="H5" s="19">
        <f>'[1]raw data'!BA8</f>
        <v>37.136929460580916</v>
      </c>
      <c r="I5" s="19">
        <f>'[1]raw data'!BA9</f>
        <v>36.099585062240664</v>
      </c>
      <c r="J5" s="19">
        <f>'[1]raw data'!BA10</f>
        <v>35.892116182572614</v>
      </c>
      <c r="K5" s="19">
        <f>'[1]raw data'!BA11</f>
        <v>35.062240663900418</v>
      </c>
      <c r="L5" s="19">
        <f>'[1]raw data'!BA12</f>
        <v>35.062240663900418</v>
      </c>
      <c r="M5" s="19">
        <f>'[1]raw data'!BA13</f>
        <v>34.024896265560166</v>
      </c>
      <c r="N5" s="19">
        <f>'[1]raw data'!BA14</f>
        <v>32.572614107883815</v>
      </c>
      <c r="O5" s="19">
        <f>'[1]raw data'!BA15</f>
        <v>30.497925311203318</v>
      </c>
      <c r="P5" s="19">
        <f>'[1]raw data'!BA16</f>
        <v>27.178423236514522</v>
      </c>
      <c r="Q5" s="19">
        <f>'[1]raw data'!BA17</f>
        <v>23.651452282157678</v>
      </c>
      <c r="R5" s="19">
        <f>'[1]raw data'!BA18</f>
        <v>16.390041493775932</v>
      </c>
      <c r="S5" s="19">
        <f>'[1]raw data'!BA19</f>
        <v>11.203319502074688</v>
      </c>
      <c r="T5" s="19">
        <f>'[1]raw data'!BA20</f>
        <v>7.8838174273858925</v>
      </c>
      <c r="U5" s="19">
        <f>'[1]raw data'!BA21</f>
        <v>7.4688796680497926</v>
      </c>
      <c r="V5" s="19">
        <f>'[1]raw data'!BA22</f>
        <v>6.0165975103734439</v>
      </c>
      <c r="W5" s="19">
        <f>'[1]raw data'!BA23</f>
        <v>3.9419087136929463</v>
      </c>
      <c r="X5" s="19">
        <f>'[1]raw data'!BA24</f>
        <v>2.904564315352697</v>
      </c>
      <c r="Y5" s="19">
        <f>'[1]raw data'!BA25</f>
        <v>2.2821576763485476</v>
      </c>
      <c r="Z5" s="20">
        <f>'[1]raw data'!BA26</f>
        <v>2.2821576763485476</v>
      </c>
    </row>
    <row r="6" spans="1:28" s="13" customFormat="1" ht="25.15" customHeight="1">
      <c r="A6" s="11">
        <v>2</v>
      </c>
      <c r="B6" s="11" t="s">
        <v>50</v>
      </c>
      <c r="C6" s="12">
        <f>'[1]raw data'!AV3</f>
        <v>450</v>
      </c>
      <c r="D6" s="11">
        <f>'[1]raw data'!AV4</f>
        <v>450</v>
      </c>
      <c r="E6" s="12">
        <f>'[1]raw data'!AV5</f>
        <v>203</v>
      </c>
      <c r="F6" s="11">
        <f>'[1]raw data'!AV6</f>
        <v>185</v>
      </c>
      <c r="G6" s="11">
        <f>'[1]raw data'!AV7</f>
        <v>169</v>
      </c>
      <c r="H6" s="11">
        <f>'[1]raw data'!AV8</f>
        <v>156</v>
      </c>
      <c r="I6" s="11">
        <f>'[1]raw data'!AV9</f>
        <v>145</v>
      </c>
      <c r="J6" s="11">
        <f>'[1]raw data'!AV10</f>
        <v>144</v>
      </c>
      <c r="K6" s="11">
        <f>'[1]raw data'!AV11</f>
        <v>143</v>
      </c>
      <c r="L6" s="11">
        <f>'[1]raw data'!AV12</f>
        <v>140</v>
      </c>
      <c r="M6" s="11">
        <f>'[1]raw data'!AV13</f>
        <v>135</v>
      </c>
      <c r="N6" s="11">
        <f>'[1]raw data'!AV14</f>
        <v>134</v>
      </c>
      <c r="O6" s="11">
        <f>'[1]raw data'!AV15</f>
        <v>120</v>
      </c>
      <c r="P6" s="11">
        <f>'[1]raw data'!AV16</f>
        <v>110</v>
      </c>
      <c r="Q6" s="11">
        <f>'[1]raw data'!AV17</f>
        <v>102</v>
      </c>
      <c r="R6" s="11">
        <f>'[1]raw data'!AV18</f>
        <v>64</v>
      </c>
      <c r="S6" s="11">
        <f>'[1]raw data'!AV19</f>
        <v>39</v>
      </c>
      <c r="T6" s="11">
        <f>'[1]raw data'!AV20</f>
        <v>24</v>
      </c>
      <c r="U6" s="11">
        <f>'[1]raw data'!AV21</f>
        <v>22</v>
      </c>
      <c r="V6" s="11">
        <f>'[1]raw data'!AV22</f>
        <v>20</v>
      </c>
      <c r="W6" s="11">
        <f>'[1]raw data'!AV23</f>
        <v>11</v>
      </c>
      <c r="X6" s="11">
        <f>'[1]raw data'!AV24</f>
        <v>8</v>
      </c>
      <c r="Y6" s="11">
        <f>'[1]raw data'!AV25</f>
        <v>8</v>
      </c>
      <c r="Z6" s="11">
        <f>'[1]raw data'!AV26</f>
        <v>8</v>
      </c>
    </row>
    <row r="7" spans="1:28" s="13" customFormat="1" ht="25.15" customHeight="1">
      <c r="A7" s="14"/>
      <c r="B7" s="14"/>
      <c r="C7" s="15"/>
      <c r="D7" s="16" t="s">
        <v>361</v>
      </c>
      <c r="E7" s="16" t="s">
        <v>361</v>
      </c>
      <c r="F7" s="16" t="s">
        <v>361</v>
      </c>
      <c r="G7" s="16" t="s">
        <v>361</v>
      </c>
      <c r="H7" s="16" t="s">
        <v>361</v>
      </c>
      <c r="I7" s="16" t="s">
        <v>361</v>
      </c>
      <c r="J7" s="16" t="s">
        <v>361</v>
      </c>
      <c r="K7" s="16" t="s">
        <v>361</v>
      </c>
      <c r="L7" s="16" t="s">
        <v>361</v>
      </c>
      <c r="M7" s="16" t="s">
        <v>361</v>
      </c>
      <c r="N7" s="16" t="s">
        <v>361</v>
      </c>
      <c r="O7" s="16" t="s">
        <v>361</v>
      </c>
      <c r="P7" s="16" t="s">
        <v>361</v>
      </c>
      <c r="Q7" s="16" t="s">
        <v>361</v>
      </c>
      <c r="R7" s="16" t="s">
        <v>361</v>
      </c>
      <c r="S7" s="16" t="s">
        <v>361</v>
      </c>
      <c r="T7" s="16" t="s">
        <v>361</v>
      </c>
      <c r="U7" s="16" t="s">
        <v>361</v>
      </c>
      <c r="V7" s="16" t="s">
        <v>361</v>
      </c>
      <c r="W7" s="16" t="s">
        <v>361</v>
      </c>
      <c r="X7" s="16" t="s">
        <v>361</v>
      </c>
      <c r="Y7" s="16" t="s">
        <v>361</v>
      </c>
      <c r="Z7" s="16" t="s">
        <v>361</v>
      </c>
    </row>
    <row r="8" spans="1:28" s="13" customFormat="1" ht="25.15" customHeight="1">
      <c r="A8" s="17"/>
      <c r="B8" s="17"/>
      <c r="C8" s="18"/>
      <c r="D8" s="19">
        <f>'[1]raw data'!AW4</f>
        <v>100</v>
      </c>
      <c r="E8" s="19">
        <f>'[1]raw data'!AW5</f>
        <v>45.111111111111114</v>
      </c>
      <c r="F8" s="19">
        <f>'[1]raw data'!AW6</f>
        <v>41.111111111111114</v>
      </c>
      <c r="G8" s="19">
        <f>'[1]raw data'!AW7</f>
        <v>37.555555555555557</v>
      </c>
      <c r="H8" s="19">
        <f>'[1]raw data'!AW8</f>
        <v>34.666666666666664</v>
      </c>
      <c r="I8" s="19">
        <f>'[1]raw data'!AW9</f>
        <v>32.222222222222221</v>
      </c>
      <c r="J8" s="19">
        <f>'[1]raw data'!AW10</f>
        <v>32</v>
      </c>
      <c r="K8" s="19">
        <f>'[1]raw data'!AW11</f>
        <v>31.777777777777779</v>
      </c>
      <c r="L8" s="19">
        <f>'[1]raw data'!AW12</f>
        <v>31.111111111111111</v>
      </c>
      <c r="M8" s="19">
        <f>'[1]raw data'!AW13</f>
        <v>30</v>
      </c>
      <c r="N8" s="19">
        <f>'[1]raw data'!AW14</f>
        <v>29.777777777777779</v>
      </c>
      <c r="O8" s="19">
        <f>'[1]raw data'!AW15</f>
        <v>26.666666666666668</v>
      </c>
      <c r="P8" s="19">
        <f>'[1]raw data'!AW16</f>
        <v>24.444444444444443</v>
      </c>
      <c r="Q8" s="19">
        <f>'[1]raw data'!AW17</f>
        <v>22.666666666666668</v>
      </c>
      <c r="R8" s="19">
        <f>'[1]raw data'!AW18</f>
        <v>14.222222222222221</v>
      </c>
      <c r="S8" s="19">
        <f>'[1]raw data'!AW19</f>
        <v>8.6666666666666661</v>
      </c>
      <c r="T8" s="19">
        <f>'[1]raw data'!AW20</f>
        <v>5.333333333333333</v>
      </c>
      <c r="U8" s="19">
        <f>'[1]raw data'!AW21</f>
        <v>4.8888888888888893</v>
      </c>
      <c r="V8" s="19">
        <f>'[1]raw data'!AW22</f>
        <v>4.4444444444444446</v>
      </c>
      <c r="W8" s="19">
        <f>'[1]raw data'!AW23</f>
        <v>2.4444444444444446</v>
      </c>
      <c r="X8" s="19">
        <f>'[1]raw data'!AW24</f>
        <v>1.7777777777777777</v>
      </c>
      <c r="Y8" s="19">
        <f>'[1]raw data'!AW25</f>
        <v>1.7777777777777777</v>
      </c>
      <c r="Z8" s="20">
        <f>'[1]raw data'!AW26</f>
        <v>1.7777777777777777</v>
      </c>
    </row>
    <row r="9" spans="1:28" s="13" customFormat="1" ht="25.15" customHeight="1">
      <c r="A9" s="11">
        <v>3</v>
      </c>
      <c r="B9" s="11" t="s">
        <v>362</v>
      </c>
      <c r="C9" s="12">
        <f>'[1]raw data'!AX3</f>
        <v>484</v>
      </c>
      <c r="D9" s="11">
        <f>'[1]raw data'!AX4</f>
        <v>484</v>
      </c>
      <c r="E9" s="11">
        <f>'[1]raw data'!AX5</f>
        <v>234</v>
      </c>
      <c r="F9" s="11">
        <f>'[1]raw data'!AX6</f>
        <v>220</v>
      </c>
      <c r="G9" s="11">
        <f>'[1]raw data'!AX7</f>
        <v>210</v>
      </c>
      <c r="H9" s="11">
        <f>'[1]raw data'!AX8</f>
        <v>201</v>
      </c>
      <c r="I9" s="11">
        <f>'[1]raw data'!AX9</f>
        <v>193</v>
      </c>
      <c r="J9" s="11">
        <f>'[1]raw data'!AX10</f>
        <v>190</v>
      </c>
      <c r="K9" s="11">
        <f>'[1]raw data'!AX11</f>
        <v>180</v>
      </c>
      <c r="L9" s="11">
        <f>'[1]raw data'!AX12</f>
        <v>178</v>
      </c>
      <c r="M9" s="11">
        <f>'[1]raw data'!AX13</f>
        <v>172</v>
      </c>
      <c r="N9" s="11">
        <f>'[1]raw data'!AX14</f>
        <v>168</v>
      </c>
      <c r="O9" s="11">
        <f>'[1]raw data'!AX15</f>
        <v>162</v>
      </c>
      <c r="P9" s="11">
        <f>'[1]raw data'!AX16</f>
        <v>146</v>
      </c>
      <c r="Q9" s="11">
        <f>'[1]raw data'!AX17</f>
        <v>127</v>
      </c>
      <c r="R9" s="11">
        <f>'[1]raw data'!AX18</f>
        <v>93</v>
      </c>
      <c r="S9" s="11">
        <f>'[1]raw data'!AX19</f>
        <v>79</v>
      </c>
      <c r="T9" s="11">
        <f>'[1]raw data'!AX20</f>
        <v>68</v>
      </c>
      <c r="U9" s="11">
        <f>'[1]raw data'!AX21</f>
        <v>68</v>
      </c>
      <c r="V9" s="11">
        <f>'[1]raw data'!AX22</f>
        <v>56</v>
      </c>
      <c r="W9" s="11">
        <f>'[1]raw data'!AX23</f>
        <v>51</v>
      </c>
      <c r="X9" s="11">
        <f>'[1]raw data'!AX24</f>
        <v>34</v>
      </c>
      <c r="Y9" s="11">
        <f>'[1]raw data'!AX25</f>
        <v>27</v>
      </c>
      <c r="Z9" s="21">
        <f>'[1]raw data'!AX26</f>
        <v>27</v>
      </c>
    </row>
    <row r="10" spans="1:28" s="13" customFormat="1" ht="25.15" customHeight="1">
      <c r="A10" s="14"/>
      <c r="B10" s="14"/>
      <c r="C10" s="15"/>
      <c r="D10" s="16" t="s">
        <v>361</v>
      </c>
      <c r="E10" s="16" t="s">
        <v>361</v>
      </c>
      <c r="F10" s="16" t="s">
        <v>361</v>
      </c>
      <c r="G10" s="16" t="s">
        <v>361</v>
      </c>
      <c r="H10" s="16" t="s">
        <v>361</v>
      </c>
      <c r="I10" s="16" t="s">
        <v>361</v>
      </c>
      <c r="J10" s="16" t="s">
        <v>361</v>
      </c>
      <c r="K10" s="16" t="s">
        <v>361</v>
      </c>
      <c r="L10" s="16" t="s">
        <v>361</v>
      </c>
      <c r="M10" s="16" t="s">
        <v>361</v>
      </c>
      <c r="N10" s="16" t="s">
        <v>361</v>
      </c>
      <c r="O10" s="16" t="s">
        <v>361</v>
      </c>
      <c r="P10" s="16" t="s">
        <v>361</v>
      </c>
      <c r="Q10" s="16" t="s">
        <v>361</v>
      </c>
      <c r="R10" s="16" t="s">
        <v>361</v>
      </c>
      <c r="S10" s="16" t="s">
        <v>361</v>
      </c>
      <c r="T10" s="16" t="s">
        <v>361</v>
      </c>
      <c r="U10" s="16" t="s">
        <v>361</v>
      </c>
      <c r="V10" s="16" t="s">
        <v>361</v>
      </c>
      <c r="W10" s="16" t="s">
        <v>361</v>
      </c>
      <c r="X10" s="16" t="s">
        <v>361</v>
      </c>
      <c r="Y10" s="16" t="s">
        <v>361</v>
      </c>
      <c r="Z10" s="16" t="s">
        <v>361</v>
      </c>
    </row>
    <row r="11" spans="1:28" s="13" customFormat="1" ht="25.15" customHeight="1">
      <c r="A11" s="17"/>
      <c r="B11" s="17"/>
      <c r="C11" s="18"/>
      <c r="D11" s="19">
        <f>'[1]raw data'!AY4</f>
        <v>100</v>
      </c>
      <c r="E11" s="19">
        <f>'[1]raw data'!AY5</f>
        <v>48.347107438016529</v>
      </c>
      <c r="F11" s="19">
        <f>'[1]raw data'!AY6</f>
        <v>45.454545454545453</v>
      </c>
      <c r="G11" s="19">
        <f>'[1]raw data'!AY7</f>
        <v>43.388429752066116</v>
      </c>
      <c r="H11" s="19">
        <f>'[1]raw data'!AY8</f>
        <v>41.528925619834709</v>
      </c>
      <c r="I11" s="19">
        <f>'[1]raw data'!AY9</f>
        <v>39.876033057851238</v>
      </c>
      <c r="J11" s="19">
        <f>'[1]raw data'!AY10</f>
        <v>39.256198347107436</v>
      </c>
      <c r="K11" s="19">
        <f>'[1]raw data'!AY11</f>
        <v>37.190082644628099</v>
      </c>
      <c r="L11" s="19">
        <f>'[1]raw data'!AY12</f>
        <v>36.776859504132233</v>
      </c>
      <c r="M11" s="19">
        <f>'[1]raw data'!AY13</f>
        <v>35.537190082644628</v>
      </c>
      <c r="N11" s="19">
        <f>'[1]raw data'!AY14</f>
        <v>34.710743801652896</v>
      </c>
      <c r="O11" s="19">
        <f>'[1]raw data'!AY15</f>
        <v>33.471074380165291</v>
      </c>
      <c r="P11" s="19">
        <f>'[1]raw data'!AY16</f>
        <v>30.165289256198346</v>
      </c>
      <c r="Q11" s="19">
        <f>'[1]raw data'!AY17</f>
        <v>26.239669421487605</v>
      </c>
      <c r="R11" s="19">
        <f>'[1]raw data'!AY18</f>
        <v>19.214876033057852</v>
      </c>
      <c r="S11" s="19">
        <f>'[1]raw data'!AY19</f>
        <v>16.322314049586776</v>
      </c>
      <c r="T11" s="19">
        <f>'[1]raw data'!AY20</f>
        <v>14.049586776859504</v>
      </c>
      <c r="U11" s="19">
        <f>'[1]raw data'!AY21</f>
        <v>14.049586776859504</v>
      </c>
      <c r="V11" s="19">
        <f>'[1]raw data'!AY22</f>
        <v>11.570247933884298</v>
      </c>
      <c r="W11" s="19">
        <f>'[1]raw data'!AY23</f>
        <v>10.537190082644628</v>
      </c>
      <c r="X11" s="19">
        <f>'[1]raw data'!AY24</f>
        <v>7.0247933884297522</v>
      </c>
      <c r="Y11" s="19">
        <f>'[1]raw data'!AY25</f>
        <v>5.5785123966942152</v>
      </c>
      <c r="Z11" s="19">
        <f>'[1]raw data'!AY26</f>
        <v>5.5785123966942152</v>
      </c>
    </row>
  </sheetData>
  <mergeCells count="26">
    <mergeCell ref="Y1:Y2"/>
    <mergeCell ref="Z1:Z2"/>
    <mergeCell ref="S1:S2"/>
    <mergeCell ref="T1:T2"/>
    <mergeCell ref="U1:U2"/>
    <mergeCell ref="V1:V2"/>
    <mergeCell ref="W1:W2"/>
    <mergeCell ref="X1:X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pageMargins left="0" right="0" top="0" bottom="0" header="0" footer="0"/>
  <pageSetup paperSize="9" fitToHeight="0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1E1F-2A4C-4B12-8E9E-BF47572A7A1B}">
  <sheetPr>
    <tabColor theme="9" tint="0.39997558519241921"/>
    <pageSetUpPr fitToPage="1"/>
  </sheetPr>
  <dimension ref="A1:II53"/>
  <sheetViews>
    <sheetView workbookViewId="0"/>
    <sheetView workbookViewId="1"/>
    <sheetView workbookViewId="2"/>
  </sheetViews>
  <sheetFormatPr defaultRowHeight="15" customHeight="1"/>
  <cols>
    <col min="1" max="1" width="9.140625" style="7"/>
    <col min="2" max="2" width="17" style="7" bestFit="1" customWidth="1"/>
    <col min="3" max="3" width="24" style="7" bestFit="1" customWidth="1"/>
    <col min="4" max="4" width="21.7109375" style="9" bestFit="1" customWidth="1"/>
    <col min="5" max="5" width="14.85546875" bestFit="1" customWidth="1"/>
    <col min="6" max="6" width="19.28515625" customWidth="1"/>
    <col min="7" max="7" width="23.140625" bestFit="1" customWidth="1"/>
    <col min="8" max="8" width="25.7109375" customWidth="1"/>
    <col min="9" max="9" width="7.140625" style="7" customWidth="1"/>
    <col min="10" max="10" width="28" customWidth="1"/>
    <col min="11" max="11" width="11.28515625" style="7" customWidth="1"/>
    <col min="12" max="12" width="19.5703125" style="7" bestFit="1" customWidth="1"/>
    <col min="13" max="13" width="12.28515625" bestFit="1" customWidth="1"/>
    <col min="14" max="14" width="14.5703125" bestFit="1" customWidth="1"/>
    <col min="15" max="15" width="9.28515625" bestFit="1" customWidth="1"/>
    <col min="16" max="16" width="12" bestFit="1" customWidth="1"/>
    <col min="17" max="17" width="14.85546875" customWidth="1"/>
    <col min="18" max="18" width="9" customWidth="1"/>
    <col min="19" max="237" width="6.28515625" customWidth="1"/>
    <col min="238" max="238" width="21.5703125" customWidth="1"/>
    <col min="239" max="239" width="40.5703125" customWidth="1"/>
    <col min="240" max="240" width="21.5703125" customWidth="1"/>
    <col min="241" max="241" width="16.5703125" customWidth="1"/>
    <col min="242" max="242" width="27.28515625" customWidth="1"/>
  </cols>
  <sheetData>
    <row r="1" spans="1:243" s="28" customFormat="1" ht="28.5" customHeight="1" thickBot="1">
      <c r="A1" s="22" t="s">
        <v>23</v>
      </c>
      <c r="B1" s="22" t="s">
        <v>363</v>
      </c>
      <c r="C1" s="22" t="s">
        <v>364</v>
      </c>
      <c r="D1" s="23" t="s">
        <v>365</v>
      </c>
      <c r="E1" s="24" t="s">
        <v>366</v>
      </c>
      <c r="F1" s="24" t="s">
        <v>367</v>
      </c>
      <c r="G1" s="24" t="s">
        <v>368</v>
      </c>
      <c r="H1" s="24" t="s">
        <v>369</v>
      </c>
      <c r="I1" s="24"/>
      <c r="J1" s="24" t="s">
        <v>370</v>
      </c>
      <c r="K1" s="24" t="s">
        <v>371</v>
      </c>
      <c r="L1" s="24" t="s">
        <v>372</v>
      </c>
      <c r="M1" s="25" t="s">
        <v>238</v>
      </c>
      <c r="N1" s="25" t="s">
        <v>310</v>
      </c>
      <c r="O1" s="25" t="s">
        <v>373</v>
      </c>
      <c r="P1" s="25" t="s">
        <v>374</v>
      </c>
      <c r="Q1" s="25" t="s">
        <v>375</v>
      </c>
      <c r="R1" s="25" t="s">
        <v>376</v>
      </c>
      <c r="S1" s="25" t="s">
        <v>377</v>
      </c>
      <c r="T1" s="25" t="s">
        <v>378</v>
      </c>
      <c r="U1" s="25" t="s">
        <v>379</v>
      </c>
      <c r="V1" s="25" t="s">
        <v>380</v>
      </c>
      <c r="W1" s="25" t="s">
        <v>381</v>
      </c>
      <c r="X1" s="25" t="s">
        <v>382</v>
      </c>
      <c r="Y1" s="25" t="s">
        <v>383</v>
      </c>
      <c r="Z1" s="25" t="s">
        <v>384</v>
      </c>
      <c r="AA1" s="25" t="s">
        <v>385</v>
      </c>
      <c r="AB1" s="25" t="s">
        <v>386</v>
      </c>
      <c r="AC1" s="25" t="s">
        <v>387</v>
      </c>
      <c r="AD1" s="25" t="s">
        <v>388</v>
      </c>
      <c r="AE1" s="25" t="s">
        <v>389</v>
      </c>
      <c r="AF1" s="25" t="s">
        <v>390</v>
      </c>
      <c r="AG1" s="25" t="s">
        <v>391</v>
      </c>
      <c r="AH1" s="25" t="s">
        <v>392</v>
      </c>
      <c r="AI1" s="25" t="s">
        <v>393</v>
      </c>
      <c r="AJ1" s="25" t="s">
        <v>394</v>
      </c>
      <c r="AK1" s="25" t="s">
        <v>395</v>
      </c>
      <c r="AL1" s="25" t="s">
        <v>396</v>
      </c>
      <c r="AM1" s="25" t="s">
        <v>397</v>
      </c>
      <c r="AN1" s="25" t="s">
        <v>398</v>
      </c>
      <c r="AO1" s="25" t="s">
        <v>399</v>
      </c>
      <c r="AP1" s="25" t="s">
        <v>400</v>
      </c>
      <c r="AQ1" s="25" t="s">
        <v>401</v>
      </c>
      <c r="AR1" s="25" t="s">
        <v>402</v>
      </c>
      <c r="AS1" s="25" t="s">
        <v>403</v>
      </c>
      <c r="AT1" s="25" t="s">
        <v>404</v>
      </c>
      <c r="AU1" s="25" t="s">
        <v>405</v>
      </c>
      <c r="AV1" s="25" t="s">
        <v>406</v>
      </c>
      <c r="AW1" s="25" t="s">
        <v>407</v>
      </c>
      <c r="AX1" s="25" t="s">
        <v>408</v>
      </c>
      <c r="AY1" s="25" t="s">
        <v>409</v>
      </c>
      <c r="AZ1" s="25" t="s">
        <v>410</v>
      </c>
      <c r="BA1" s="25" t="s">
        <v>411</v>
      </c>
      <c r="BB1" s="25" t="s">
        <v>412</v>
      </c>
      <c r="BC1" s="25" t="s">
        <v>413</v>
      </c>
      <c r="BD1" s="25" t="s">
        <v>414</v>
      </c>
      <c r="BE1" s="25" t="s">
        <v>415</v>
      </c>
      <c r="BF1" s="25" t="s">
        <v>416</v>
      </c>
      <c r="BG1" s="25" t="s">
        <v>417</v>
      </c>
      <c r="BH1" s="25" t="s">
        <v>418</v>
      </c>
      <c r="BI1" s="25" t="s">
        <v>419</v>
      </c>
      <c r="BJ1" s="25" t="s">
        <v>420</v>
      </c>
      <c r="BK1" s="25" t="s">
        <v>421</v>
      </c>
      <c r="BL1" s="25" t="s">
        <v>422</v>
      </c>
      <c r="BM1" s="25" t="s">
        <v>423</v>
      </c>
      <c r="BN1" s="25" t="s">
        <v>424</v>
      </c>
      <c r="BO1" s="25" t="s">
        <v>425</v>
      </c>
      <c r="BP1" s="25" t="s">
        <v>426</v>
      </c>
      <c r="BQ1" s="25" t="s">
        <v>427</v>
      </c>
      <c r="BR1" s="25" t="s">
        <v>428</v>
      </c>
      <c r="BS1" s="25" t="s">
        <v>429</v>
      </c>
      <c r="BT1" s="25" t="s">
        <v>430</v>
      </c>
      <c r="BU1" s="25" t="s">
        <v>431</v>
      </c>
      <c r="BV1" s="25" t="s">
        <v>432</v>
      </c>
      <c r="BW1" s="25" t="s">
        <v>433</v>
      </c>
      <c r="BX1" s="25" t="s">
        <v>434</v>
      </c>
      <c r="BY1" s="25" t="s">
        <v>435</v>
      </c>
      <c r="BZ1" s="25" t="s">
        <v>436</v>
      </c>
      <c r="CA1" s="25" t="s">
        <v>437</v>
      </c>
      <c r="CB1" s="25" t="s">
        <v>438</v>
      </c>
      <c r="CC1" s="25" t="s">
        <v>439</v>
      </c>
      <c r="CD1" s="25" t="s">
        <v>440</v>
      </c>
      <c r="CE1" s="25" t="s">
        <v>441</v>
      </c>
      <c r="CF1" s="25" t="s">
        <v>442</v>
      </c>
      <c r="CG1" s="25" t="s">
        <v>443</v>
      </c>
      <c r="CH1" s="25" t="s">
        <v>444</v>
      </c>
      <c r="CI1" s="25" t="s">
        <v>445</v>
      </c>
      <c r="CJ1" s="25" t="s">
        <v>446</v>
      </c>
      <c r="CK1" s="25" t="s">
        <v>447</v>
      </c>
      <c r="CL1" s="25" t="s">
        <v>448</v>
      </c>
      <c r="CM1" s="25" t="s">
        <v>449</v>
      </c>
      <c r="CN1" s="25" t="s">
        <v>450</v>
      </c>
      <c r="CO1" s="25" t="s">
        <v>451</v>
      </c>
      <c r="CP1" s="25" t="s">
        <v>452</v>
      </c>
      <c r="CQ1" s="25" t="s">
        <v>453</v>
      </c>
      <c r="CR1" s="25" t="s">
        <v>454</v>
      </c>
      <c r="CS1" s="25" t="s">
        <v>455</v>
      </c>
      <c r="CT1" s="25" t="s">
        <v>456</v>
      </c>
      <c r="CU1" s="25" t="s">
        <v>457</v>
      </c>
      <c r="CV1" s="25" t="s">
        <v>458</v>
      </c>
      <c r="CW1" s="25" t="s">
        <v>459</v>
      </c>
      <c r="CX1" s="25" t="s">
        <v>460</v>
      </c>
      <c r="CY1" s="25" t="s">
        <v>461</v>
      </c>
      <c r="CZ1" s="25" t="s">
        <v>462</v>
      </c>
      <c r="DA1" s="25" t="s">
        <v>463</v>
      </c>
      <c r="DB1" s="25" t="s">
        <v>464</v>
      </c>
      <c r="DC1" s="25" t="s">
        <v>465</v>
      </c>
      <c r="DD1" s="25" t="s">
        <v>466</v>
      </c>
      <c r="DE1" s="25" t="s">
        <v>467</v>
      </c>
      <c r="DF1" s="25" t="s">
        <v>468</v>
      </c>
      <c r="DG1" s="25" t="s">
        <v>469</v>
      </c>
      <c r="DH1" s="25" t="s">
        <v>470</v>
      </c>
      <c r="DI1" s="25" t="s">
        <v>471</v>
      </c>
      <c r="DJ1" s="25" t="s">
        <v>472</v>
      </c>
      <c r="DK1" s="25" t="s">
        <v>473</v>
      </c>
      <c r="DL1" s="25" t="s">
        <v>474</v>
      </c>
      <c r="DM1" s="25" t="s">
        <v>475</v>
      </c>
      <c r="DN1" s="25" t="s">
        <v>476</v>
      </c>
      <c r="DO1" s="25" t="s">
        <v>477</v>
      </c>
      <c r="DP1" s="25" t="s">
        <v>478</v>
      </c>
      <c r="DQ1" s="25" t="s">
        <v>479</v>
      </c>
      <c r="DR1" s="25" t="s">
        <v>480</v>
      </c>
      <c r="DS1" s="25" t="s">
        <v>481</v>
      </c>
      <c r="DT1" s="25" t="s">
        <v>482</v>
      </c>
      <c r="DU1" s="25" t="s">
        <v>483</v>
      </c>
      <c r="DV1" s="25" t="s">
        <v>484</v>
      </c>
      <c r="DW1" s="25" t="s">
        <v>485</v>
      </c>
      <c r="DX1" s="25" t="s">
        <v>486</v>
      </c>
      <c r="DY1" s="25" t="s">
        <v>487</v>
      </c>
      <c r="DZ1" s="25" t="s">
        <v>488</v>
      </c>
      <c r="EA1" s="25" t="s">
        <v>489</v>
      </c>
      <c r="EB1" s="25" t="s">
        <v>490</v>
      </c>
      <c r="EC1" s="25" t="s">
        <v>491</v>
      </c>
      <c r="ED1" s="25" t="s">
        <v>492</v>
      </c>
      <c r="EE1" s="25" t="s">
        <v>493</v>
      </c>
      <c r="EF1" s="25" t="s">
        <v>494</v>
      </c>
      <c r="EG1" s="25" t="s">
        <v>495</v>
      </c>
      <c r="EH1" s="25" t="s">
        <v>496</v>
      </c>
      <c r="EI1" s="25" t="s">
        <v>497</v>
      </c>
      <c r="EJ1" s="25" t="s">
        <v>498</v>
      </c>
      <c r="EK1" s="25" t="s">
        <v>499</v>
      </c>
      <c r="EL1" s="25" t="s">
        <v>500</v>
      </c>
      <c r="EM1" s="25" t="s">
        <v>501</v>
      </c>
      <c r="EN1" s="25" t="s">
        <v>502</v>
      </c>
      <c r="EO1" s="25" t="s">
        <v>503</v>
      </c>
      <c r="EP1" s="25" t="s">
        <v>504</v>
      </c>
      <c r="EQ1" s="25" t="s">
        <v>505</v>
      </c>
      <c r="ER1" s="25" t="s">
        <v>506</v>
      </c>
      <c r="ES1" s="25" t="s">
        <v>507</v>
      </c>
      <c r="ET1" s="25" t="s">
        <v>508</v>
      </c>
      <c r="EU1" s="25" t="s">
        <v>509</v>
      </c>
      <c r="EV1" s="25" t="s">
        <v>510</v>
      </c>
      <c r="EW1" s="25" t="s">
        <v>511</v>
      </c>
      <c r="EX1" s="25" t="s">
        <v>512</v>
      </c>
      <c r="EY1" s="25" t="s">
        <v>513</v>
      </c>
      <c r="EZ1" s="25" t="s">
        <v>514</v>
      </c>
      <c r="FA1" s="25" t="s">
        <v>515</v>
      </c>
      <c r="FB1" s="25" t="s">
        <v>516</v>
      </c>
      <c r="FC1" s="25" t="s">
        <v>517</v>
      </c>
      <c r="FD1" s="25" t="s">
        <v>518</v>
      </c>
      <c r="FE1" s="25" t="s">
        <v>519</v>
      </c>
      <c r="FF1" s="25" t="s">
        <v>520</v>
      </c>
      <c r="FG1" s="25" t="s">
        <v>521</v>
      </c>
      <c r="FH1" s="25" t="s">
        <v>522</v>
      </c>
      <c r="FI1" s="25" t="s">
        <v>523</v>
      </c>
      <c r="FJ1" s="25" t="s">
        <v>524</v>
      </c>
      <c r="FK1" s="25" t="s">
        <v>525</v>
      </c>
      <c r="FL1" s="25" t="s">
        <v>526</v>
      </c>
      <c r="FM1" s="25" t="s">
        <v>527</v>
      </c>
      <c r="FN1" s="25" t="s">
        <v>528</v>
      </c>
      <c r="FO1" s="25" t="s">
        <v>529</v>
      </c>
      <c r="FP1" s="25" t="s">
        <v>530</v>
      </c>
      <c r="FQ1" s="25" t="s">
        <v>531</v>
      </c>
      <c r="FR1" s="25" t="s">
        <v>532</v>
      </c>
      <c r="FS1" s="25" t="s">
        <v>533</v>
      </c>
      <c r="FT1" s="25" t="s">
        <v>534</v>
      </c>
      <c r="FU1" s="25" t="s">
        <v>535</v>
      </c>
      <c r="FV1" s="25" t="s">
        <v>536</v>
      </c>
      <c r="FW1" s="25" t="s">
        <v>537</v>
      </c>
      <c r="FX1" s="25" t="s">
        <v>538</v>
      </c>
      <c r="FY1" s="25" t="s">
        <v>539</v>
      </c>
      <c r="FZ1" s="25" t="s">
        <v>540</v>
      </c>
      <c r="GA1" s="25" t="s">
        <v>541</v>
      </c>
      <c r="GB1" s="25" t="s">
        <v>542</v>
      </c>
      <c r="GC1" s="25" t="s">
        <v>543</v>
      </c>
      <c r="GD1" s="25" t="s">
        <v>544</v>
      </c>
      <c r="GE1" s="25" t="s">
        <v>545</v>
      </c>
      <c r="GF1" s="25" t="s">
        <v>546</v>
      </c>
      <c r="GG1" s="25" t="s">
        <v>547</v>
      </c>
      <c r="GH1" s="25" t="s">
        <v>548</v>
      </c>
      <c r="GI1" s="25" t="s">
        <v>549</v>
      </c>
      <c r="GJ1" s="25" t="s">
        <v>550</v>
      </c>
      <c r="GK1" s="25" t="s">
        <v>551</v>
      </c>
      <c r="GL1" s="25" t="s">
        <v>552</v>
      </c>
      <c r="GM1" s="25" t="s">
        <v>553</v>
      </c>
      <c r="GN1" s="25" t="s">
        <v>554</v>
      </c>
      <c r="GO1" s="25" t="s">
        <v>555</v>
      </c>
      <c r="GP1" s="25" t="s">
        <v>556</v>
      </c>
      <c r="GQ1" s="25" t="s">
        <v>557</v>
      </c>
      <c r="GR1" s="25" t="s">
        <v>558</v>
      </c>
      <c r="GS1" s="25" t="s">
        <v>559</v>
      </c>
      <c r="GT1" s="25" t="s">
        <v>560</v>
      </c>
      <c r="GU1" s="25" t="s">
        <v>561</v>
      </c>
      <c r="GV1" s="25" t="s">
        <v>562</v>
      </c>
      <c r="GW1" s="25" t="s">
        <v>563</v>
      </c>
      <c r="GX1" s="25" t="s">
        <v>564</v>
      </c>
      <c r="GY1" s="25" t="s">
        <v>565</v>
      </c>
      <c r="GZ1" s="25" t="s">
        <v>566</v>
      </c>
      <c r="HA1" s="25" t="s">
        <v>567</v>
      </c>
      <c r="HB1" s="25" t="s">
        <v>568</v>
      </c>
      <c r="HC1" s="25" t="s">
        <v>569</v>
      </c>
      <c r="HD1" s="25" t="s">
        <v>570</v>
      </c>
      <c r="HE1" s="25" t="s">
        <v>571</v>
      </c>
      <c r="HF1" s="25" t="s">
        <v>572</v>
      </c>
      <c r="HG1" s="25" t="s">
        <v>573</v>
      </c>
      <c r="HH1" s="25" t="s">
        <v>574</v>
      </c>
      <c r="HI1" s="25" t="s">
        <v>575</v>
      </c>
      <c r="HJ1" s="25" t="s">
        <v>576</v>
      </c>
      <c r="HK1" s="25" t="s">
        <v>577</v>
      </c>
      <c r="HL1" s="25" t="s">
        <v>578</v>
      </c>
      <c r="HM1" s="25" t="s">
        <v>579</v>
      </c>
      <c r="HN1" s="25" t="s">
        <v>580</v>
      </c>
      <c r="HO1" s="25" t="s">
        <v>581</v>
      </c>
      <c r="HP1" s="25" t="s">
        <v>582</v>
      </c>
      <c r="HQ1" s="25" t="s">
        <v>583</v>
      </c>
      <c r="HR1" s="25" t="s">
        <v>584</v>
      </c>
      <c r="HS1" s="25" t="s">
        <v>585</v>
      </c>
      <c r="HT1" s="25" t="s">
        <v>586</v>
      </c>
      <c r="HU1" s="25" t="s">
        <v>587</v>
      </c>
      <c r="HV1" s="25" t="s">
        <v>588</v>
      </c>
      <c r="HW1" s="25" t="s">
        <v>589</v>
      </c>
      <c r="HX1" s="25" t="s">
        <v>590</v>
      </c>
      <c r="HY1" s="25" t="s">
        <v>591</v>
      </c>
      <c r="HZ1" s="25" t="s">
        <v>592</v>
      </c>
      <c r="IA1" s="25" t="s">
        <v>593</v>
      </c>
      <c r="IB1" s="25" t="s">
        <v>594</v>
      </c>
      <c r="IC1" s="25" t="s">
        <v>595</v>
      </c>
      <c r="ID1" s="25"/>
      <c r="IE1" s="25" t="s">
        <v>596</v>
      </c>
      <c r="IF1" s="25" t="s">
        <v>37</v>
      </c>
      <c r="IG1" s="26" t="s">
        <v>597</v>
      </c>
      <c r="IH1" s="27" t="s">
        <v>598</v>
      </c>
      <c r="II1" s="27" t="s">
        <v>37</v>
      </c>
    </row>
    <row r="2" spans="1:243">
      <c r="A2" s="7">
        <v>1</v>
      </c>
      <c r="B2" s="7" t="s">
        <v>599</v>
      </c>
      <c r="C2" s="7" t="s">
        <v>600</v>
      </c>
      <c r="D2" s="9" t="s">
        <v>601</v>
      </c>
      <c r="E2" s="6">
        <v>45916</v>
      </c>
      <c r="F2" s="7" t="s">
        <v>602</v>
      </c>
      <c r="G2" s="29" t="s">
        <v>603</v>
      </c>
      <c r="H2" s="30" t="s">
        <v>87</v>
      </c>
      <c r="I2" s="4" t="s">
        <v>86</v>
      </c>
      <c r="J2" s="31" t="s">
        <v>604</v>
      </c>
      <c r="K2" s="4" t="s">
        <v>605</v>
      </c>
      <c r="L2" s="4" t="s">
        <v>606</v>
      </c>
      <c r="M2" s="2">
        <v>0</v>
      </c>
      <c r="N2" s="10">
        <v>1</v>
      </c>
      <c r="O2" s="10"/>
      <c r="P2" s="10"/>
      <c r="Q2" s="10">
        <f>SUM(R2:CC2)</f>
        <v>6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32">
        <v>45922</v>
      </c>
      <c r="IE2" s="1" t="s">
        <v>607</v>
      </c>
      <c r="IF2" s="33" t="s">
        <v>608</v>
      </c>
      <c r="IG2" s="2" t="s">
        <v>117</v>
      </c>
      <c r="IH2" s="2"/>
    </row>
    <row r="3" spans="1:243">
      <c r="A3" s="7">
        <v>2</v>
      </c>
      <c r="B3" s="7" t="s">
        <v>609</v>
      </c>
      <c r="C3" s="7" t="s">
        <v>610</v>
      </c>
      <c r="D3" s="9" t="s">
        <v>611</v>
      </c>
      <c r="E3" s="6">
        <v>45918</v>
      </c>
      <c r="F3" s="7" t="s">
        <v>612</v>
      </c>
      <c r="G3" s="7" t="s">
        <v>613</v>
      </c>
      <c r="H3" s="30" t="s">
        <v>131</v>
      </c>
      <c r="I3" s="4" t="s">
        <v>50</v>
      </c>
      <c r="J3" s="31" t="s">
        <v>614</v>
      </c>
      <c r="K3" s="4" t="s">
        <v>605</v>
      </c>
      <c r="L3" s="4" t="s">
        <v>606</v>
      </c>
      <c r="M3" s="10">
        <v>1</v>
      </c>
      <c r="N3" s="2">
        <v>0</v>
      </c>
      <c r="O3" s="2"/>
      <c r="P3" s="2"/>
      <c r="Q3" s="10">
        <f>SUM(R3:CC3)</f>
        <v>7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32">
        <v>45926</v>
      </c>
      <c r="IE3" s="1" t="s">
        <v>615</v>
      </c>
      <c r="IF3" s="33" t="s">
        <v>608</v>
      </c>
      <c r="IG3" s="2" t="s">
        <v>117</v>
      </c>
      <c r="IH3" s="2"/>
    </row>
    <row r="4" spans="1:243">
      <c r="A4" s="7">
        <v>3</v>
      </c>
      <c r="B4" s="7" t="s">
        <v>616</v>
      </c>
      <c r="C4" s="7" t="s">
        <v>617</v>
      </c>
      <c r="D4" s="3" t="s">
        <v>618</v>
      </c>
      <c r="E4" s="6">
        <v>45923</v>
      </c>
      <c r="F4" s="7" t="s">
        <v>612</v>
      </c>
      <c r="G4" s="7" t="s">
        <v>619</v>
      </c>
      <c r="H4" s="30" t="s">
        <v>146</v>
      </c>
      <c r="I4" s="4" t="s">
        <v>86</v>
      </c>
      <c r="J4" s="31" t="s">
        <v>620</v>
      </c>
      <c r="K4" s="4" t="s">
        <v>605</v>
      </c>
      <c r="L4" s="4" t="s">
        <v>606</v>
      </c>
      <c r="M4" s="2">
        <v>0</v>
      </c>
      <c r="N4" s="10">
        <v>1</v>
      </c>
      <c r="O4" s="10"/>
      <c r="P4" s="10"/>
      <c r="Q4" s="10">
        <f t="shared" ref="Q4:Q28" si="0">SUM(R4:CC4)</f>
        <v>7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10">
        <v>1</v>
      </c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32">
        <v>45930</v>
      </c>
      <c r="IE4" s="1" t="s">
        <v>621</v>
      </c>
      <c r="IF4" s="33" t="s">
        <v>608</v>
      </c>
      <c r="IG4" s="2" t="s">
        <v>117</v>
      </c>
      <c r="IH4" s="2"/>
    </row>
    <row r="5" spans="1:243">
      <c r="A5" s="7">
        <v>4</v>
      </c>
      <c r="B5" s="7" t="s">
        <v>622</v>
      </c>
      <c r="C5" s="7" t="s">
        <v>617</v>
      </c>
      <c r="D5" s="3" t="s">
        <v>618</v>
      </c>
      <c r="E5" s="6">
        <v>45923</v>
      </c>
      <c r="F5" s="7" t="s">
        <v>612</v>
      </c>
      <c r="G5" s="7" t="s">
        <v>619</v>
      </c>
      <c r="H5" s="30" t="s">
        <v>146</v>
      </c>
      <c r="I5" s="4" t="s">
        <v>86</v>
      </c>
      <c r="J5" s="31" t="s">
        <v>623</v>
      </c>
      <c r="K5" s="4" t="s">
        <v>605</v>
      </c>
      <c r="L5" s="4" t="s">
        <v>606</v>
      </c>
      <c r="M5" s="2">
        <v>0</v>
      </c>
      <c r="N5" s="10">
        <v>1</v>
      </c>
      <c r="O5" s="10"/>
      <c r="P5" s="10"/>
      <c r="Q5" s="10">
        <f t="shared" si="0"/>
        <v>7</v>
      </c>
      <c r="R5" s="10">
        <v>1</v>
      </c>
      <c r="S5" s="10">
        <v>1</v>
      </c>
      <c r="T5" s="10">
        <v>1</v>
      </c>
      <c r="U5" s="10">
        <v>1</v>
      </c>
      <c r="V5" s="10">
        <v>1</v>
      </c>
      <c r="W5" s="10">
        <v>1</v>
      </c>
      <c r="X5" s="10">
        <v>1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32">
        <v>45930</v>
      </c>
      <c r="IE5" s="1" t="s">
        <v>621</v>
      </c>
      <c r="IF5" s="33" t="s">
        <v>608</v>
      </c>
      <c r="IG5" s="2" t="s">
        <v>117</v>
      </c>
      <c r="IH5" s="2"/>
    </row>
    <row r="6" spans="1:243">
      <c r="A6" s="7">
        <v>5</v>
      </c>
      <c r="B6" s="7" t="s">
        <v>624</v>
      </c>
      <c r="C6" s="7" t="s">
        <v>625</v>
      </c>
      <c r="D6" s="9" t="s">
        <v>626</v>
      </c>
      <c r="E6" s="6">
        <v>45926</v>
      </c>
      <c r="F6" s="7" t="s">
        <v>612</v>
      </c>
      <c r="G6" s="7" t="s">
        <v>627</v>
      </c>
      <c r="H6" s="30" t="s">
        <v>154</v>
      </c>
      <c r="I6" s="4" t="s">
        <v>88</v>
      </c>
      <c r="J6" s="31" t="s">
        <v>628</v>
      </c>
      <c r="K6" s="4" t="s">
        <v>605</v>
      </c>
      <c r="L6" s="4" t="s">
        <v>606</v>
      </c>
      <c r="M6" s="2">
        <v>0</v>
      </c>
      <c r="N6" s="10">
        <v>1</v>
      </c>
      <c r="O6" s="10"/>
      <c r="P6" s="10"/>
      <c r="Q6" s="10">
        <f t="shared" si="0"/>
        <v>7</v>
      </c>
      <c r="R6" s="10">
        <v>1</v>
      </c>
      <c r="S6" s="10">
        <v>1</v>
      </c>
      <c r="T6" s="10">
        <v>1</v>
      </c>
      <c r="U6" s="10">
        <v>1</v>
      </c>
      <c r="V6" s="10">
        <v>1</v>
      </c>
      <c r="W6" s="10">
        <v>1</v>
      </c>
      <c r="X6" s="10">
        <v>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32">
        <v>45930</v>
      </c>
      <c r="IE6" s="1" t="s">
        <v>621</v>
      </c>
      <c r="IF6" s="33" t="s">
        <v>608</v>
      </c>
      <c r="IG6" s="2" t="s">
        <v>117</v>
      </c>
      <c r="IH6" s="2"/>
    </row>
    <row r="7" spans="1:243" s="46" customFormat="1">
      <c r="A7" s="34">
        <v>6</v>
      </c>
      <c r="B7" s="34" t="s">
        <v>629</v>
      </c>
      <c r="C7" s="34" t="s">
        <v>630</v>
      </c>
      <c r="D7" s="35" t="s">
        <v>626</v>
      </c>
      <c r="E7" s="36">
        <v>45926</v>
      </c>
      <c r="F7" s="34" t="s">
        <v>612</v>
      </c>
      <c r="G7" s="34" t="s">
        <v>619</v>
      </c>
      <c r="H7" s="37" t="s">
        <v>154</v>
      </c>
      <c r="I7" s="38" t="s">
        <v>88</v>
      </c>
      <c r="J7" s="39" t="s">
        <v>631</v>
      </c>
      <c r="K7" s="38" t="s">
        <v>632</v>
      </c>
      <c r="L7" s="38" t="s">
        <v>633</v>
      </c>
      <c r="M7" s="40">
        <v>1</v>
      </c>
      <c r="N7" s="38">
        <v>0</v>
      </c>
      <c r="O7" s="41" t="s">
        <v>634</v>
      </c>
      <c r="P7" s="42" t="b">
        <v>1</v>
      </c>
      <c r="Q7" s="40">
        <f>SUM(R7:IC7)</f>
        <v>211</v>
      </c>
      <c r="R7" s="38">
        <v>1</v>
      </c>
      <c r="S7" s="38">
        <v>1</v>
      </c>
      <c r="T7" s="38">
        <v>1</v>
      </c>
      <c r="U7" s="38">
        <v>1</v>
      </c>
      <c r="V7" s="38">
        <v>1</v>
      </c>
      <c r="W7" s="38">
        <v>1</v>
      </c>
      <c r="X7" s="38">
        <v>1</v>
      </c>
      <c r="Y7" s="38">
        <v>1</v>
      </c>
      <c r="Z7" s="38">
        <v>1</v>
      </c>
      <c r="AA7" s="38">
        <v>1</v>
      </c>
      <c r="AB7" s="38">
        <v>1</v>
      </c>
      <c r="AC7" s="38">
        <v>1</v>
      </c>
      <c r="AD7" s="38">
        <v>1</v>
      </c>
      <c r="AE7" s="38">
        <v>1</v>
      </c>
      <c r="AF7" s="38">
        <v>1</v>
      </c>
      <c r="AG7" s="38">
        <v>1</v>
      </c>
      <c r="AH7" s="38">
        <v>1</v>
      </c>
      <c r="AI7" s="38">
        <v>1</v>
      </c>
      <c r="AJ7" s="38">
        <v>1</v>
      </c>
      <c r="AK7" s="38">
        <v>1</v>
      </c>
      <c r="AL7" s="38">
        <v>1</v>
      </c>
      <c r="AM7" s="38">
        <v>1</v>
      </c>
      <c r="AN7" s="38">
        <v>1</v>
      </c>
      <c r="AO7" s="38">
        <v>1</v>
      </c>
      <c r="AP7" s="38">
        <v>1</v>
      </c>
      <c r="AQ7" s="38">
        <v>1</v>
      </c>
      <c r="AR7" s="38">
        <v>1</v>
      </c>
      <c r="AS7" s="38">
        <v>1</v>
      </c>
      <c r="AT7" s="38">
        <v>1</v>
      </c>
      <c r="AU7" s="38">
        <v>1</v>
      </c>
      <c r="AV7" s="38">
        <v>1</v>
      </c>
      <c r="AW7" s="38">
        <v>1</v>
      </c>
      <c r="AX7" s="38">
        <v>1</v>
      </c>
      <c r="AY7" s="38">
        <v>1</v>
      </c>
      <c r="AZ7" s="38">
        <v>1</v>
      </c>
      <c r="BA7" s="38">
        <v>1</v>
      </c>
      <c r="BB7" s="38">
        <v>1</v>
      </c>
      <c r="BC7" s="38">
        <v>1</v>
      </c>
      <c r="BD7" s="38">
        <v>1</v>
      </c>
      <c r="BE7" s="38">
        <v>1</v>
      </c>
      <c r="BF7" s="38">
        <v>1</v>
      </c>
      <c r="BG7" s="38">
        <v>1</v>
      </c>
      <c r="BH7" s="38">
        <v>1</v>
      </c>
      <c r="BI7" s="38">
        <v>1</v>
      </c>
      <c r="BJ7" s="38">
        <v>1</v>
      </c>
      <c r="BK7" s="38">
        <v>1</v>
      </c>
      <c r="BL7" s="38">
        <v>1</v>
      </c>
      <c r="BM7" s="38">
        <v>1</v>
      </c>
      <c r="BN7" s="38">
        <v>1</v>
      </c>
      <c r="BO7" s="38">
        <v>1</v>
      </c>
      <c r="BP7" s="38">
        <v>1</v>
      </c>
      <c r="BQ7" s="38">
        <v>1</v>
      </c>
      <c r="BR7" s="38">
        <v>1</v>
      </c>
      <c r="BS7" s="38">
        <v>1</v>
      </c>
      <c r="BT7" s="38">
        <v>1</v>
      </c>
      <c r="BU7" s="38">
        <v>1</v>
      </c>
      <c r="BV7" s="38">
        <v>1</v>
      </c>
      <c r="BW7" s="38">
        <v>1</v>
      </c>
      <c r="BX7" s="38">
        <v>1</v>
      </c>
      <c r="BY7" s="38">
        <v>1</v>
      </c>
      <c r="BZ7" s="38">
        <v>1</v>
      </c>
      <c r="CA7" s="38">
        <v>1</v>
      </c>
      <c r="CB7" s="38">
        <v>1</v>
      </c>
      <c r="CC7" s="38">
        <v>1</v>
      </c>
      <c r="CD7" s="38">
        <v>1</v>
      </c>
      <c r="CE7" s="38">
        <v>1</v>
      </c>
      <c r="CF7" s="38">
        <v>1</v>
      </c>
      <c r="CG7" s="38">
        <v>1</v>
      </c>
      <c r="CH7" s="38">
        <v>1</v>
      </c>
      <c r="CI7" s="38">
        <v>1</v>
      </c>
      <c r="CJ7" s="38">
        <v>1</v>
      </c>
      <c r="CK7" s="38">
        <v>1</v>
      </c>
      <c r="CL7" s="38">
        <v>1</v>
      </c>
      <c r="CM7" s="38">
        <v>1</v>
      </c>
      <c r="CN7" s="38">
        <v>1</v>
      </c>
      <c r="CO7" s="38">
        <v>1</v>
      </c>
      <c r="CP7" s="38">
        <v>1</v>
      </c>
      <c r="CQ7" s="38">
        <v>1</v>
      </c>
      <c r="CR7" s="38">
        <v>1</v>
      </c>
      <c r="CS7" s="38">
        <v>1</v>
      </c>
      <c r="CT7" s="38">
        <v>1</v>
      </c>
      <c r="CU7" s="38">
        <v>1</v>
      </c>
      <c r="CV7" s="38">
        <v>1</v>
      </c>
      <c r="CW7" s="38">
        <v>1</v>
      </c>
      <c r="CX7" s="38">
        <v>1</v>
      </c>
      <c r="CY7" s="38">
        <v>1</v>
      </c>
      <c r="CZ7" s="38">
        <v>1</v>
      </c>
      <c r="DA7" s="38">
        <v>1</v>
      </c>
      <c r="DB7" s="38">
        <v>1</v>
      </c>
      <c r="DC7" s="38">
        <v>1</v>
      </c>
      <c r="DD7" s="38">
        <v>1</v>
      </c>
      <c r="DE7" s="38">
        <v>1</v>
      </c>
      <c r="DF7" s="38">
        <v>1</v>
      </c>
      <c r="DG7" s="38">
        <v>1</v>
      </c>
      <c r="DH7" s="38">
        <v>1</v>
      </c>
      <c r="DI7" s="38">
        <v>1</v>
      </c>
      <c r="DJ7" s="38">
        <v>1</v>
      </c>
      <c r="DK7" s="38">
        <v>1</v>
      </c>
      <c r="DL7" s="38">
        <v>1</v>
      </c>
      <c r="DM7" s="38">
        <v>1</v>
      </c>
      <c r="DN7" s="38">
        <v>1</v>
      </c>
      <c r="DO7" s="38">
        <v>1</v>
      </c>
      <c r="DP7" s="38">
        <v>1</v>
      </c>
      <c r="DQ7" s="38">
        <v>1</v>
      </c>
      <c r="DR7" s="38">
        <v>1</v>
      </c>
      <c r="DS7" s="38">
        <v>1</v>
      </c>
      <c r="DT7" s="38">
        <v>1</v>
      </c>
      <c r="DU7" s="38">
        <v>1</v>
      </c>
      <c r="DV7" s="38">
        <v>1</v>
      </c>
      <c r="DW7" s="38">
        <v>1</v>
      </c>
      <c r="DX7" s="38">
        <v>1</v>
      </c>
      <c r="DY7" s="38">
        <v>1</v>
      </c>
      <c r="DZ7" s="38">
        <v>1</v>
      </c>
      <c r="EA7" s="38">
        <v>1</v>
      </c>
      <c r="EB7" s="38">
        <v>1</v>
      </c>
      <c r="EC7" s="38">
        <v>1</v>
      </c>
      <c r="ED7" s="38">
        <v>1</v>
      </c>
      <c r="EE7" s="38">
        <v>1</v>
      </c>
      <c r="EF7" s="38">
        <v>1</v>
      </c>
      <c r="EG7" s="38">
        <v>1</v>
      </c>
      <c r="EH7" s="38">
        <v>1</v>
      </c>
      <c r="EI7" s="38">
        <v>1</v>
      </c>
      <c r="EJ7" s="38">
        <v>1</v>
      </c>
      <c r="EK7" s="38">
        <v>1</v>
      </c>
      <c r="EL7" s="38">
        <v>1</v>
      </c>
      <c r="EM7" s="38">
        <v>1</v>
      </c>
      <c r="EN7" s="38">
        <v>1</v>
      </c>
      <c r="EO7" s="38">
        <v>1</v>
      </c>
      <c r="EP7" s="38">
        <v>1</v>
      </c>
      <c r="EQ7" s="38">
        <v>1</v>
      </c>
      <c r="ER7" s="38">
        <v>1</v>
      </c>
      <c r="ES7" s="38">
        <v>1</v>
      </c>
      <c r="ET7" s="38">
        <v>1</v>
      </c>
      <c r="EU7" s="38">
        <v>1</v>
      </c>
      <c r="EV7" s="38">
        <v>1</v>
      </c>
      <c r="EW7" s="38">
        <v>1</v>
      </c>
      <c r="EX7" s="38">
        <v>1</v>
      </c>
      <c r="EY7" s="38">
        <v>1</v>
      </c>
      <c r="EZ7" s="38">
        <v>1</v>
      </c>
      <c r="FA7" s="38">
        <v>1</v>
      </c>
      <c r="FB7" s="38">
        <v>1</v>
      </c>
      <c r="FC7" s="38">
        <v>1</v>
      </c>
      <c r="FD7" s="38">
        <v>1</v>
      </c>
      <c r="FE7" s="38">
        <v>1</v>
      </c>
      <c r="FF7" s="38">
        <v>1</v>
      </c>
      <c r="FG7" s="38">
        <v>1</v>
      </c>
      <c r="FH7" s="38">
        <v>1</v>
      </c>
      <c r="FI7" s="38">
        <v>1</v>
      </c>
      <c r="FJ7" s="38">
        <v>1</v>
      </c>
      <c r="FK7" s="38">
        <v>1</v>
      </c>
      <c r="FL7" s="38">
        <v>1</v>
      </c>
      <c r="FM7" s="38">
        <v>1</v>
      </c>
      <c r="FN7" s="38">
        <v>1</v>
      </c>
      <c r="FO7" s="38">
        <v>1</v>
      </c>
      <c r="FP7" s="38">
        <v>1</v>
      </c>
      <c r="FQ7" s="38">
        <v>1</v>
      </c>
      <c r="FR7" s="38">
        <v>1</v>
      </c>
      <c r="FS7" s="38">
        <v>1</v>
      </c>
      <c r="FT7" s="38">
        <v>1</v>
      </c>
      <c r="FU7" s="38">
        <v>1</v>
      </c>
      <c r="FV7" s="38">
        <v>1</v>
      </c>
      <c r="FW7" s="38">
        <v>1</v>
      </c>
      <c r="FX7" s="38">
        <v>1</v>
      </c>
      <c r="FY7" s="38">
        <v>1</v>
      </c>
      <c r="FZ7" s="38">
        <v>1</v>
      </c>
      <c r="GA7" s="38">
        <v>1</v>
      </c>
      <c r="GB7" s="38">
        <v>1</v>
      </c>
      <c r="GC7" s="38">
        <v>1</v>
      </c>
      <c r="GD7" s="38">
        <v>1</v>
      </c>
      <c r="GE7" s="38">
        <v>1</v>
      </c>
      <c r="GF7" s="38">
        <v>1</v>
      </c>
      <c r="GG7" s="38">
        <v>1</v>
      </c>
      <c r="GH7" s="38">
        <v>1</v>
      </c>
      <c r="GI7" s="38">
        <v>1</v>
      </c>
      <c r="GJ7" s="38">
        <v>1</v>
      </c>
      <c r="GK7" s="38">
        <v>1</v>
      </c>
      <c r="GL7" s="38">
        <v>1</v>
      </c>
      <c r="GM7" s="38">
        <v>1</v>
      </c>
      <c r="GN7" s="38">
        <v>1</v>
      </c>
      <c r="GO7" s="38">
        <v>1</v>
      </c>
      <c r="GP7" s="38">
        <v>1</v>
      </c>
      <c r="GQ7" s="38">
        <v>1</v>
      </c>
      <c r="GR7" s="38">
        <v>1</v>
      </c>
      <c r="GS7" s="38">
        <v>1</v>
      </c>
      <c r="GT7" s="38">
        <v>1</v>
      </c>
      <c r="GU7" s="38">
        <v>1</v>
      </c>
      <c r="GV7" s="38">
        <v>1</v>
      </c>
      <c r="GW7" s="38">
        <v>1</v>
      </c>
      <c r="GX7" s="38">
        <v>1</v>
      </c>
      <c r="GY7" s="38">
        <v>1</v>
      </c>
      <c r="GZ7" s="38">
        <v>1</v>
      </c>
      <c r="HA7" s="38">
        <v>1</v>
      </c>
      <c r="HB7" s="38">
        <v>1</v>
      </c>
      <c r="HC7" s="38">
        <v>1</v>
      </c>
      <c r="HD7" s="38">
        <v>1</v>
      </c>
      <c r="HE7" s="38">
        <v>1</v>
      </c>
      <c r="HF7" s="38">
        <v>1</v>
      </c>
      <c r="HG7" s="38">
        <v>1</v>
      </c>
      <c r="HH7" s="38">
        <v>1</v>
      </c>
      <c r="HI7" s="38">
        <v>1</v>
      </c>
      <c r="HJ7" s="38">
        <v>1</v>
      </c>
      <c r="HK7" s="38">
        <v>1</v>
      </c>
      <c r="HL7" s="38">
        <v>1</v>
      </c>
      <c r="HM7" s="38">
        <v>1</v>
      </c>
      <c r="HN7" s="38">
        <v>1</v>
      </c>
      <c r="HO7" s="38">
        <v>1</v>
      </c>
      <c r="HP7" s="38">
        <v>1</v>
      </c>
      <c r="HQ7" s="38">
        <v>1</v>
      </c>
      <c r="HR7" s="38">
        <v>1</v>
      </c>
      <c r="HS7" s="38">
        <v>1</v>
      </c>
      <c r="HT7" s="38">
        <v>1</v>
      </c>
      <c r="HU7" s="38"/>
      <c r="HV7" s="38"/>
      <c r="HW7" s="38"/>
      <c r="HX7" s="38"/>
      <c r="HY7" s="38"/>
      <c r="HZ7" s="38"/>
      <c r="IA7" s="38"/>
      <c r="IB7" s="38"/>
      <c r="IC7" s="38"/>
      <c r="ID7" s="43" t="s">
        <v>632</v>
      </c>
      <c r="IE7" s="44" t="s">
        <v>635</v>
      </c>
      <c r="IF7" s="45" t="s">
        <v>636</v>
      </c>
      <c r="IG7" s="38">
        <v>1</v>
      </c>
      <c r="IH7" s="38"/>
    </row>
    <row r="8" spans="1:243">
      <c r="A8" s="7">
        <v>7</v>
      </c>
      <c r="B8" s="7" t="s">
        <v>637</v>
      </c>
      <c r="C8" s="7" t="s">
        <v>630</v>
      </c>
      <c r="D8" s="9" t="s">
        <v>626</v>
      </c>
      <c r="E8" s="6">
        <v>45926</v>
      </c>
      <c r="F8" s="7" t="s">
        <v>612</v>
      </c>
      <c r="G8" s="7" t="s">
        <v>619</v>
      </c>
      <c r="H8" s="30" t="s">
        <v>154</v>
      </c>
      <c r="I8" s="4" t="s">
        <v>88</v>
      </c>
      <c r="J8" s="31" t="s">
        <v>638</v>
      </c>
      <c r="K8" s="4" t="s">
        <v>605</v>
      </c>
      <c r="L8" s="4" t="s">
        <v>606</v>
      </c>
      <c r="M8" s="2">
        <v>0</v>
      </c>
      <c r="N8" s="10">
        <v>1</v>
      </c>
      <c r="O8" s="10"/>
      <c r="P8" s="10"/>
      <c r="Q8" s="10">
        <f t="shared" si="0"/>
        <v>4</v>
      </c>
      <c r="R8" s="10">
        <v>1</v>
      </c>
      <c r="S8" s="10">
        <v>1</v>
      </c>
      <c r="T8" s="10">
        <v>1</v>
      </c>
      <c r="U8" s="10">
        <v>1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2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32">
        <v>45930</v>
      </c>
      <c r="IE8" s="1" t="s">
        <v>639</v>
      </c>
      <c r="IF8" s="33" t="s">
        <v>608</v>
      </c>
      <c r="IG8" s="2" t="s">
        <v>117</v>
      </c>
      <c r="IH8" s="2"/>
    </row>
    <row r="9" spans="1:243">
      <c r="A9" s="7">
        <v>8</v>
      </c>
      <c r="B9" s="7" t="s">
        <v>640</v>
      </c>
      <c r="C9" s="7" t="s">
        <v>641</v>
      </c>
      <c r="D9" s="9" t="s">
        <v>642</v>
      </c>
      <c r="E9" s="6">
        <v>45932</v>
      </c>
      <c r="F9" s="7" t="s">
        <v>612</v>
      </c>
      <c r="G9" s="7" t="s">
        <v>619</v>
      </c>
      <c r="H9" s="30" t="s">
        <v>180</v>
      </c>
      <c r="I9" s="4" t="s">
        <v>86</v>
      </c>
      <c r="J9" s="31" t="s">
        <v>643</v>
      </c>
      <c r="K9" s="4" t="s">
        <v>605</v>
      </c>
      <c r="L9" s="4" t="s">
        <v>606</v>
      </c>
      <c r="M9" s="2">
        <v>0</v>
      </c>
      <c r="N9" s="10">
        <v>1</v>
      </c>
      <c r="O9" s="10"/>
      <c r="P9" s="10"/>
      <c r="Q9" s="10">
        <f t="shared" si="0"/>
        <v>4</v>
      </c>
      <c r="R9" s="10">
        <v>1</v>
      </c>
      <c r="S9" s="10">
        <v>1</v>
      </c>
      <c r="T9" s="10">
        <v>1</v>
      </c>
      <c r="U9" s="10">
        <v>1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32">
        <v>45932</v>
      </c>
      <c r="IE9" s="1" t="s">
        <v>639</v>
      </c>
      <c r="IF9" s="33" t="s">
        <v>608</v>
      </c>
      <c r="IG9" s="2" t="s">
        <v>117</v>
      </c>
      <c r="IH9" s="2"/>
    </row>
    <row r="10" spans="1:243" s="58" customFormat="1">
      <c r="A10" s="47">
        <v>9</v>
      </c>
      <c r="B10" s="47"/>
      <c r="C10" s="47" t="s">
        <v>644</v>
      </c>
      <c r="D10" s="48" t="s">
        <v>645</v>
      </c>
      <c r="E10" s="49">
        <v>45933</v>
      </c>
      <c r="F10" s="47" t="s">
        <v>612</v>
      </c>
      <c r="G10" s="47" t="s">
        <v>646</v>
      </c>
      <c r="H10" s="50" t="s">
        <v>189</v>
      </c>
      <c r="I10" s="51" t="s">
        <v>88</v>
      </c>
      <c r="J10" s="50" t="s">
        <v>647</v>
      </c>
      <c r="K10" s="51" t="s">
        <v>648</v>
      </c>
      <c r="L10" s="51"/>
      <c r="M10" s="52">
        <v>0</v>
      </c>
      <c r="N10" s="53">
        <v>1</v>
      </c>
      <c r="O10" s="53"/>
      <c r="P10" s="54" t="b">
        <v>0</v>
      </c>
      <c r="Q10" s="53">
        <f t="shared" si="0"/>
        <v>5</v>
      </c>
      <c r="R10" s="53">
        <v>1</v>
      </c>
      <c r="S10" s="53">
        <v>1</v>
      </c>
      <c r="T10" s="53">
        <v>1</v>
      </c>
      <c r="U10" s="53">
        <v>1</v>
      </c>
      <c r="V10" s="53">
        <v>1</v>
      </c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5" t="s">
        <v>117</v>
      </c>
      <c r="IE10" s="56" t="s">
        <v>649</v>
      </c>
      <c r="IF10" s="57" t="s">
        <v>650</v>
      </c>
      <c r="IG10" s="52" t="s">
        <v>117</v>
      </c>
      <c r="IH10" s="52"/>
    </row>
    <row r="11" spans="1:243">
      <c r="A11" s="7">
        <v>10</v>
      </c>
      <c r="B11" s="7" t="s">
        <v>651</v>
      </c>
      <c r="C11" s="7" t="s">
        <v>644</v>
      </c>
      <c r="D11" s="9" t="s">
        <v>645</v>
      </c>
      <c r="E11" s="6">
        <v>45933</v>
      </c>
      <c r="F11" s="7" t="s">
        <v>612</v>
      </c>
      <c r="G11" s="7" t="s">
        <v>646</v>
      </c>
      <c r="H11" s="31" t="s">
        <v>189</v>
      </c>
      <c r="I11" s="4" t="s">
        <v>88</v>
      </c>
      <c r="J11" s="31" t="s">
        <v>652</v>
      </c>
      <c r="K11" s="4" t="s">
        <v>605</v>
      </c>
      <c r="L11" s="4" t="s">
        <v>606</v>
      </c>
      <c r="M11" s="2">
        <v>0</v>
      </c>
      <c r="N11" s="10">
        <v>1</v>
      </c>
      <c r="O11" s="10"/>
      <c r="P11" s="10"/>
      <c r="Q11" s="10">
        <f t="shared" si="0"/>
        <v>10</v>
      </c>
      <c r="R11" s="10">
        <v>1</v>
      </c>
      <c r="S11" s="10">
        <v>1</v>
      </c>
      <c r="T11" s="10">
        <v>1</v>
      </c>
      <c r="U11" s="10">
        <v>1</v>
      </c>
      <c r="V11" s="10">
        <v>1</v>
      </c>
      <c r="W11" s="10">
        <v>1</v>
      </c>
      <c r="X11" s="10">
        <v>1</v>
      </c>
      <c r="Y11" s="10">
        <v>1</v>
      </c>
      <c r="Z11" s="10">
        <v>1</v>
      </c>
      <c r="AA11" s="10">
        <v>1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32">
        <v>45940</v>
      </c>
      <c r="IE11" s="1" t="s">
        <v>621</v>
      </c>
      <c r="IF11" s="33" t="s">
        <v>608</v>
      </c>
      <c r="IG11" s="2" t="s">
        <v>117</v>
      </c>
      <c r="IH11" s="2"/>
    </row>
    <row r="12" spans="1:243" s="46" customFormat="1">
      <c r="A12" s="34">
        <v>11</v>
      </c>
      <c r="B12" s="34" t="s">
        <v>653</v>
      </c>
      <c r="C12" s="34" t="s">
        <v>644</v>
      </c>
      <c r="D12" s="35" t="s">
        <v>645</v>
      </c>
      <c r="E12" s="36">
        <v>45933</v>
      </c>
      <c r="F12" s="34" t="s">
        <v>612</v>
      </c>
      <c r="G12" s="34" t="s">
        <v>646</v>
      </c>
      <c r="H12" s="59" t="s">
        <v>189</v>
      </c>
      <c r="I12" s="38" t="s">
        <v>88</v>
      </c>
      <c r="J12" s="60" t="s">
        <v>654</v>
      </c>
      <c r="K12" s="38" t="s">
        <v>632</v>
      </c>
      <c r="L12" s="38" t="s">
        <v>633</v>
      </c>
      <c r="M12" s="40">
        <v>1</v>
      </c>
      <c r="N12" s="38">
        <v>0</v>
      </c>
      <c r="O12" s="41" t="s">
        <v>634</v>
      </c>
      <c r="P12" s="61" t="b">
        <v>1</v>
      </c>
      <c r="Q12" s="40">
        <f>SUM(R12:IC12)</f>
        <v>204</v>
      </c>
      <c r="R12" s="38">
        <v>1</v>
      </c>
      <c r="S12" s="38">
        <v>1</v>
      </c>
      <c r="T12" s="38">
        <v>1</v>
      </c>
      <c r="U12" s="38">
        <v>1</v>
      </c>
      <c r="V12" s="38">
        <v>1</v>
      </c>
      <c r="W12" s="38">
        <v>1</v>
      </c>
      <c r="X12" s="38">
        <v>1</v>
      </c>
      <c r="Y12" s="38">
        <v>1</v>
      </c>
      <c r="Z12" s="38">
        <v>1</v>
      </c>
      <c r="AA12" s="38">
        <v>1</v>
      </c>
      <c r="AB12" s="38">
        <v>1</v>
      </c>
      <c r="AC12" s="38">
        <v>1</v>
      </c>
      <c r="AD12" s="38">
        <v>1</v>
      </c>
      <c r="AE12" s="38">
        <v>1</v>
      </c>
      <c r="AF12" s="38">
        <v>1</v>
      </c>
      <c r="AG12" s="38">
        <v>1</v>
      </c>
      <c r="AH12" s="38">
        <v>1</v>
      </c>
      <c r="AI12" s="38">
        <v>1</v>
      </c>
      <c r="AJ12" s="38">
        <v>1</v>
      </c>
      <c r="AK12" s="38">
        <v>1</v>
      </c>
      <c r="AL12" s="38">
        <v>1</v>
      </c>
      <c r="AM12" s="38">
        <v>1</v>
      </c>
      <c r="AN12" s="38">
        <v>1</v>
      </c>
      <c r="AO12" s="38">
        <v>1</v>
      </c>
      <c r="AP12" s="38">
        <v>1</v>
      </c>
      <c r="AQ12" s="38">
        <v>1</v>
      </c>
      <c r="AR12" s="38">
        <v>1</v>
      </c>
      <c r="AS12" s="38">
        <v>1</v>
      </c>
      <c r="AT12" s="38">
        <v>1</v>
      </c>
      <c r="AU12" s="38">
        <v>1</v>
      </c>
      <c r="AV12" s="38">
        <v>1</v>
      </c>
      <c r="AW12" s="38">
        <v>1</v>
      </c>
      <c r="AX12" s="38">
        <v>1</v>
      </c>
      <c r="AY12" s="38">
        <v>1</v>
      </c>
      <c r="AZ12" s="38">
        <v>1</v>
      </c>
      <c r="BA12" s="38">
        <v>1</v>
      </c>
      <c r="BB12" s="38">
        <v>1</v>
      </c>
      <c r="BC12" s="38">
        <v>1</v>
      </c>
      <c r="BD12" s="38">
        <v>1</v>
      </c>
      <c r="BE12" s="38">
        <v>1</v>
      </c>
      <c r="BF12" s="38">
        <v>1</v>
      </c>
      <c r="BG12" s="38">
        <v>1</v>
      </c>
      <c r="BH12" s="38">
        <v>1</v>
      </c>
      <c r="BI12" s="38">
        <v>1</v>
      </c>
      <c r="BJ12" s="38">
        <v>1</v>
      </c>
      <c r="BK12" s="38">
        <v>1</v>
      </c>
      <c r="BL12" s="38">
        <v>1</v>
      </c>
      <c r="BM12" s="38">
        <v>1</v>
      </c>
      <c r="BN12" s="38">
        <v>1</v>
      </c>
      <c r="BO12" s="38">
        <v>1</v>
      </c>
      <c r="BP12" s="38">
        <v>1</v>
      </c>
      <c r="BQ12" s="38">
        <v>1</v>
      </c>
      <c r="BR12" s="38">
        <v>1</v>
      </c>
      <c r="BS12" s="38">
        <v>1</v>
      </c>
      <c r="BT12" s="38">
        <v>1</v>
      </c>
      <c r="BU12" s="38">
        <v>1</v>
      </c>
      <c r="BV12" s="38">
        <v>1</v>
      </c>
      <c r="BW12" s="38">
        <v>1</v>
      </c>
      <c r="BX12" s="38">
        <v>1</v>
      </c>
      <c r="BY12" s="38">
        <v>1</v>
      </c>
      <c r="BZ12" s="38">
        <v>1</v>
      </c>
      <c r="CA12" s="38">
        <v>1</v>
      </c>
      <c r="CB12" s="38">
        <v>1</v>
      </c>
      <c r="CC12" s="38">
        <v>1</v>
      </c>
      <c r="CD12" s="38">
        <v>1</v>
      </c>
      <c r="CE12" s="38">
        <v>1</v>
      </c>
      <c r="CF12" s="38">
        <v>1</v>
      </c>
      <c r="CG12" s="38">
        <v>1</v>
      </c>
      <c r="CH12" s="38">
        <v>1</v>
      </c>
      <c r="CI12" s="38">
        <v>1</v>
      </c>
      <c r="CJ12" s="38">
        <v>1</v>
      </c>
      <c r="CK12" s="38">
        <v>1</v>
      </c>
      <c r="CL12" s="38">
        <v>1</v>
      </c>
      <c r="CM12" s="38">
        <v>1</v>
      </c>
      <c r="CN12" s="38">
        <v>1</v>
      </c>
      <c r="CO12" s="38">
        <v>1</v>
      </c>
      <c r="CP12" s="38">
        <v>1</v>
      </c>
      <c r="CQ12" s="38">
        <v>1</v>
      </c>
      <c r="CR12" s="38">
        <v>1</v>
      </c>
      <c r="CS12" s="38">
        <v>1</v>
      </c>
      <c r="CT12" s="38">
        <v>1</v>
      </c>
      <c r="CU12" s="38">
        <v>1</v>
      </c>
      <c r="CV12" s="38">
        <v>1</v>
      </c>
      <c r="CW12" s="38">
        <v>1</v>
      </c>
      <c r="CX12" s="38">
        <v>1</v>
      </c>
      <c r="CY12" s="38">
        <v>1</v>
      </c>
      <c r="CZ12" s="38">
        <v>1</v>
      </c>
      <c r="DA12" s="38">
        <v>1</v>
      </c>
      <c r="DB12" s="38">
        <v>1</v>
      </c>
      <c r="DC12" s="38">
        <v>1</v>
      </c>
      <c r="DD12" s="38">
        <v>1</v>
      </c>
      <c r="DE12" s="38">
        <v>1</v>
      </c>
      <c r="DF12" s="38">
        <v>1</v>
      </c>
      <c r="DG12" s="38">
        <v>1</v>
      </c>
      <c r="DH12" s="38">
        <v>1</v>
      </c>
      <c r="DI12" s="38">
        <v>1</v>
      </c>
      <c r="DJ12" s="38">
        <v>1</v>
      </c>
      <c r="DK12" s="38">
        <v>1</v>
      </c>
      <c r="DL12" s="38">
        <v>1</v>
      </c>
      <c r="DM12" s="38">
        <v>1</v>
      </c>
      <c r="DN12" s="38">
        <v>1</v>
      </c>
      <c r="DO12" s="38">
        <v>1</v>
      </c>
      <c r="DP12" s="38">
        <v>1</v>
      </c>
      <c r="DQ12" s="38">
        <v>1</v>
      </c>
      <c r="DR12" s="38">
        <v>1</v>
      </c>
      <c r="DS12" s="38">
        <v>1</v>
      </c>
      <c r="DT12" s="38">
        <v>1</v>
      </c>
      <c r="DU12" s="38">
        <v>1</v>
      </c>
      <c r="DV12" s="38">
        <v>1</v>
      </c>
      <c r="DW12" s="38">
        <v>1</v>
      </c>
      <c r="DX12" s="38">
        <v>1</v>
      </c>
      <c r="DY12" s="38">
        <v>1</v>
      </c>
      <c r="DZ12" s="38">
        <v>1</v>
      </c>
      <c r="EA12" s="38">
        <v>1</v>
      </c>
      <c r="EB12" s="38">
        <v>1</v>
      </c>
      <c r="EC12" s="38">
        <v>1</v>
      </c>
      <c r="ED12" s="38">
        <v>1</v>
      </c>
      <c r="EE12" s="38">
        <v>1</v>
      </c>
      <c r="EF12" s="38">
        <v>1</v>
      </c>
      <c r="EG12" s="38">
        <v>1</v>
      </c>
      <c r="EH12" s="38">
        <v>1</v>
      </c>
      <c r="EI12" s="38">
        <v>1</v>
      </c>
      <c r="EJ12" s="38">
        <v>1</v>
      </c>
      <c r="EK12" s="38">
        <v>1</v>
      </c>
      <c r="EL12" s="38">
        <v>1</v>
      </c>
      <c r="EM12" s="38">
        <v>1</v>
      </c>
      <c r="EN12" s="38">
        <v>1</v>
      </c>
      <c r="EO12" s="38">
        <v>1</v>
      </c>
      <c r="EP12" s="38">
        <v>1</v>
      </c>
      <c r="EQ12" s="38">
        <v>1</v>
      </c>
      <c r="ER12" s="38">
        <v>1</v>
      </c>
      <c r="ES12" s="38">
        <v>1</v>
      </c>
      <c r="ET12" s="38">
        <v>1</v>
      </c>
      <c r="EU12" s="38">
        <v>1</v>
      </c>
      <c r="EV12" s="38">
        <v>1</v>
      </c>
      <c r="EW12" s="38">
        <v>1</v>
      </c>
      <c r="EX12" s="38">
        <v>1</v>
      </c>
      <c r="EY12" s="38">
        <v>1</v>
      </c>
      <c r="EZ12" s="38">
        <v>1</v>
      </c>
      <c r="FA12" s="38">
        <v>1</v>
      </c>
      <c r="FB12" s="38">
        <v>1</v>
      </c>
      <c r="FC12" s="38">
        <v>1</v>
      </c>
      <c r="FD12" s="38">
        <v>1</v>
      </c>
      <c r="FE12" s="38">
        <v>1</v>
      </c>
      <c r="FF12" s="38">
        <v>1</v>
      </c>
      <c r="FG12" s="38">
        <v>1</v>
      </c>
      <c r="FH12" s="38">
        <v>1</v>
      </c>
      <c r="FI12" s="38">
        <v>1</v>
      </c>
      <c r="FJ12" s="38">
        <v>1</v>
      </c>
      <c r="FK12" s="38">
        <v>1</v>
      </c>
      <c r="FL12" s="38">
        <v>1</v>
      </c>
      <c r="FM12" s="38">
        <v>1</v>
      </c>
      <c r="FN12" s="38">
        <v>1</v>
      </c>
      <c r="FO12" s="38">
        <v>1</v>
      </c>
      <c r="FP12" s="38">
        <v>1</v>
      </c>
      <c r="FQ12" s="38">
        <v>1</v>
      </c>
      <c r="FR12" s="38">
        <v>1</v>
      </c>
      <c r="FS12" s="38">
        <v>1</v>
      </c>
      <c r="FT12" s="38">
        <v>1</v>
      </c>
      <c r="FU12" s="38">
        <v>1</v>
      </c>
      <c r="FV12" s="38">
        <v>1</v>
      </c>
      <c r="FW12" s="38">
        <v>1</v>
      </c>
      <c r="FX12" s="38">
        <v>1</v>
      </c>
      <c r="FY12" s="38">
        <v>1</v>
      </c>
      <c r="FZ12" s="38">
        <v>1</v>
      </c>
      <c r="GA12" s="38">
        <v>1</v>
      </c>
      <c r="GB12" s="38">
        <v>1</v>
      </c>
      <c r="GC12" s="38">
        <v>1</v>
      </c>
      <c r="GD12" s="38">
        <v>1</v>
      </c>
      <c r="GE12" s="38">
        <v>1</v>
      </c>
      <c r="GF12" s="38">
        <v>1</v>
      </c>
      <c r="GG12" s="38">
        <v>1</v>
      </c>
      <c r="GH12" s="38">
        <v>1</v>
      </c>
      <c r="GI12" s="38">
        <v>1</v>
      </c>
      <c r="GJ12" s="38">
        <v>1</v>
      </c>
      <c r="GK12" s="38">
        <v>1</v>
      </c>
      <c r="GL12" s="38">
        <v>1</v>
      </c>
      <c r="GM12" s="38">
        <v>1</v>
      </c>
      <c r="GN12" s="38">
        <v>1</v>
      </c>
      <c r="GO12" s="38">
        <v>1</v>
      </c>
      <c r="GP12" s="38">
        <v>1</v>
      </c>
      <c r="GQ12" s="38">
        <v>1</v>
      </c>
      <c r="GR12" s="38">
        <v>1</v>
      </c>
      <c r="GS12" s="38">
        <v>1</v>
      </c>
      <c r="GT12" s="38">
        <v>1</v>
      </c>
      <c r="GU12" s="38">
        <v>1</v>
      </c>
      <c r="GV12" s="38">
        <v>1</v>
      </c>
      <c r="GW12" s="38">
        <v>1</v>
      </c>
      <c r="GX12" s="38">
        <v>1</v>
      </c>
      <c r="GY12" s="38">
        <v>1</v>
      </c>
      <c r="GZ12" s="38">
        <v>1</v>
      </c>
      <c r="HA12" s="38">
        <v>1</v>
      </c>
      <c r="HB12" s="38">
        <v>1</v>
      </c>
      <c r="HC12" s="38">
        <v>1</v>
      </c>
      <c r="HD12" s="38">
        <v>1</v>
      </c>
      <c r="HE12" s="38">
        <v>1</v>
      </c>
      <c r="HF12" s="38">
        <v>1</v>
      </c>
      <c r="HG12" s="38">
        <v>1</v>
      </c>
      <c r="HH12" s="38">
        <v>1</v>
      </c>
      <c r="HI12" s="38">
        <v>1</v>
      </c>
      <c r="HJ12" s="38">
        <v>1</v>
      </c>
      <c r="HK12" s="38">
        <v>1</v>
      </c>
      <c r="HL12" s="38">
        <v>1</v>
      </c>
      <c r="HM12" s="38">
        <v>1</v>
      </c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43" t="s">
        <v>632</v>
      </c>
      <c r="IE12" s="62" t="s">
        <v>655</v>
      </c>
      <c r="IF12" s="45" t="s">
        <v>656</v>
      </c>
      <c r="IG12" s="38">
        <v>2</v>
      </c>
      <c r="IH12" s="38"/>
    </row>
    <row r="13" spans="1:243">
      <c r="A13" s="7">
        <v>12</v>
      </c>
      <c r="B13" s="7" t="s">
        <v>657</v>
      </c>
      <c r="C13" s="7" t="s">
        <v>658</v>
      </c>
      <c r="D13" s="9" t="s">
        <v>659</v>
      </c>
      <c r="E13" s="6">
        <v>45937</v>
      </c>
      <c r="F13" s="7" t="s">
        <v>612</v>
      </c>
      <c r="G13" s="7" t="s">
        <v>613</v>
      </c>
      <c r="H13" s="30" t="s">
        <v>170</v>
      </c>
      <c r="I13" s="4" t="s">
        <v>50</v>
      </c>
      <c r="J13" s="31" t="s">
        <v>660</v>
      </c>
      <c r="K13" s="4" t="s">
        <v>605</v>
      </c>
      <c r="L13" s="4" t="s">
        <v>606</v>
      </c>
      <c r="M13" s="2">
        <v>0</v>
      </c>
      <c r="N13" s="10">
        <v>1</v>
      </c>
      <c r="O13" s="10"/>
      <c r="P13" s="10"/>
      <c r="Q13" s="10">
        <f t="shared" si="0"/>
        <v>3</v>
      </c>
      <c r="R13" s="10">
        <v>1</v>
      </c>
      <c r="S13" s="10">
        <v>1</v>
      </c>
      <c r="T13" s="10">
        <v>1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32">
        <v>45940</v>
      </c>
      <c r="IE13" s="1" t="s">
        <v>661</v>
      </c>
      <c r="IF13" s="33" t="s">
        <v>608</v>
      </c>
      <c r="IG13" s="2" t="s">
        <v>117</v>
      </c>
      <c r="IH13" s="2"/>
    </row>
    <row r="14" spans="1:243">
      <c r="A14" s="7">
        <v>13</v>
      </c>
      <c r="B14" s="7" t="s">
        <v>662</v>
      </c>
      <c r="C14" s="7" t="s">
        <v>658</v>
      </c>
      <c r="D14" s="9" t="s">
        <v>659</v>
      </c>
      <c r="E14" s="6">
        <v>45937</v>
      </c>
      <c r="F14" s="7" t="s">
        <v>612</v>
      </c>
      <c r="G14" s="7" t="s">
        <v>613</v>
      </c>
      <c r="H14" s="30" t="s">
        <v>170</v>
      </c>
      <c r="I14" s="4" t="s">
        <v>50</v>
      </c>
      <c r="J14" s="31" t="s">
        <v>663</v>
      </c>
      <c r="K14" s="4" t="s">
        <v>605</v>
      </c>
      <c r="L14" s="4" t="s">
        <v>606</v>
      </c>
      <c r="M14" s="2">
        <v>0</v>
      </c>
      <c r="N14" s="10">
        <v>1</v>
      </c>
      <c r="O14" s="10"/>
      <c r="P14" s="10"/>
      <c r="Q14" s="10">
        <f t="shared" si="0"/>
        <v>3</v>
      </c>
      <c r="R14" s="10">
        <v>1</v>
      </c>
      <c r="S14" s="10">
        <v>1</v>
      </c>
      <c r="T14" s="10">
        <v>1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32">
        <v>45940</v>
      </c>
      <c r="IE14" s="1" t="s">
        <v>661</v>
      </c>
      <c r="IF14" s="33" t="s">
        <v>608</v>
      </c>
      <c r="IG14" s="2" t="s">
        <v>117</v>
      </c>
      <c r="IH14" s="2"/>
    </row>
    <row r="15" spans="1:243">
      <c r="A15" s="63">
        <v>14</v>
      </c>
      <c r="B15" s="63" t="s">
        <v>664</v>
      </c>
      <c r="C15" s="63" t="s">
        <v>665</v>
      </c>
      <c r="D15" s="64" t="s">
        <v>666</v>
      </c>
      <c r="E15" s="65">
        <v>45940</v>
      </c>
      <c r="F15" s="63" t="s">
        <v>612</v>
      </c>
      <c r="G15" s="63" t="s">
        <v>627</v>
      </c>
      <c r="H15" s="30" t="s">
        <v>207</v>
      </c>
      <c r="I15" s="4" t="s">
        <v>86</v>
      </c>
      <c r="J15" s="66" t="s">
        <v>667</v>
      </c>
      <c r="K15" s="4" t="s">
        <v>605</v>
      </c>
      <c r="L15" s="4" t="s">
        <v>633</v>
      </c>
      <c r="M15" s="10">
        <v>1</v>
      </c>
      <c r="N15" s="2">
        <v>0</v>
      </c>
      <c r="O15" s="67" t="s">
        <v>668</v>
      </c>
      <c r="P15" s="68" t="b">
        <v>0</v>
      </c>
      <c r="Q15" s="10">
        <f>SUM(R15:GS15)</f>
        <v>183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 s="2">
        <v>1</v>
      </c>
      <c r="BD15" s="2">
        <v>1</v>
      </c>
      <c r="BE15" s="2">
        <v>1</v>
      </c>
      <c r="BF15" s="2">
        <v>1</v>
      </c>
      <c r="BG15" s="2">
        <v>1</v>
      </c>
      <c r="BH15" s="2">
        <v>1</v>
      </c>
      <c r="BI15" s="2">
        <v>1</v>
      </c>
      <c r="BJ15" s="2">
        <v>1</v>
      </c>
      <c r="BK15" s="2">
        <v>1</v>
      </c>
      <c r="BL15" s="2">
        <v>1</v>
      </c>
      <c r="BM15" s="2">
        <v>1</v>
      </c>
      <c r="BN15" s="2">
        <v>1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1</v>
      </c>
      <c r="BW15" s="2">
        <v>1</v>
      </c>
      <c r="BX15" s="2">
        <v>1</v>
      </c>
      <c r="BY15" s="2">
        <v>1</v>
      </c>
      <c r="BZ15" s="2">
        <v>1</v>
      </c>
      <c r="CA15" s="2">
        <v>1</v>
      </c>
      <c r="CB15" s="2">
        <v>1</v>
      </c>
      <c r="CC15" s="2">
        <v>1</v>
      </c>
      <c r="CD15" s="2">
        <v>1</v>
      </c>
      <c r="CE15" s="2">
        <v>1</v>
      </c>
      <c r="CF15" s="2">
        <v>1</v>
      </c>
      <c r="CG15" s="2">
        <v>1</v>
      </c>
      <c r="CH15" s="2">
        <v>1</v>
      </c>
      <c r="CI15" s="2">
        <v>1</v>
      </c>
      <c r="CJ15" s="2">
        <v>1</v>
      </c>
      <c r="CK15" s="2">
        <v>1</v>
      </c>
      <c r="CL15" s="2">
        <v>1</v>
      </c>
      <c r="CM15" s="2">
        <v>1</v>
      </c>
      <c r="CN15" s="2">
        <v>1</v>
      </c>
      <c r="CO15" s="2">
        <v>1</v>
      </c>
      <c r="CP15" s="2">
        <v>1</v>
      </c>
      <c r="CQ15" s="2">
        <v>1</v>
      </c>
      <c r="CR15" s="2">
        <v>1</v>
      </c>
      <c r="CS15" s="2">
        <v>1</v>
      </c>
      <c r="CT15" s="2">
        <v>1</v>
      </c>
      <c r="CU15" s="2">
        <v>1</v>
      </c>
      <c r="CV15" s="2">
        <v>1</v>
      </c>
      <c r="CW15" s="2">
        <v>1</v>
      </c>
      <c r="CX15" s="2">
        <v>1</v>
      </c>
      <c r="CY15" s="2">
        <v>1</v>
      </c>
      <c r="CZ15" s="2">
        <v>1</v>
      </c>
      <c r="DA15" s="2">
        <v>1</v>
      </c>
      <c r="DB15" s="2">
        <v>1</v>
      </c>
      <c r="DC15" s="2">
        <v>1</v>
      </c>
      <c r="DD15" s="2">
        <v>1</v>
      </c>
      <c r="DE15" s="2">
        <v>1</v>
      </c>
      <c r="DF15" s="2">
        <v>1</v>
      </c>
      <c r="DG15" s="2">
        <v>1</v>
      </c>
      <c r="DH15" s="2">
        <v>1</v>
      </c>
      <c r="DI15" s="2">
        <v>1</v>
      </c>
      <c r="DJ15" s="2">
        <v>1</v>
      </c>
      <c r="DK15" s="2">
        <v>1</v>
      </c>
      <c r="DL15" s="2">
        <v>1</v>
      </c>
      <c r="DM15" s="2">
        <v>1</v>
      </c>
      <c r="DN15" s="2">
        <v>1</v>
      </c>
      <c r="DO15" s="2">
        <v>1</v>
      </c>
      <c r="DP15" s="2">
        <v>1</v>
      </c>
      <c r="DQ15" s="2">
        <v>1</v>
      </c>
      <c r="DR15" s="2">
        <v>1</v>
      </c>
      <c r="DS15" s="2">
        <v>1</v>
      </c>
      <c r="DT15" s="2">
        <v>1</v>
      </c>
      <c r="DU15" s="2">
        <v>1</v>
      </c>
      <c r="DV15" s="2">
        <v>1</v>
      </c>
      <c r="DW15" s="2">
        <v>1</v>
      </c>
      <c r="DX15" s="2">
        <v>1</v>
      </c>
      <c r="DY15" s="2">
        <v>1</v>
      </c>
      <c r="DZ15" s="2">
        <v>1</v>
      </c>
      <c r="EA15" s="2">
        <v>1</v>
      </c>
      <c r="EB15" s="2">
        <v>1</v>
      </c>
      <c r="EC15" s="2">
        <v>1</v>
      </c>
      <c r="ED15" s="2">
        <v>1</v>
      </c>
      <c r="EE15" s="2">
        <v>1</v>
      </c>
      <c r="EF15" s="2">
        <v>1</v>
      </c>
      <c r="EG15" s="2">
        <v>1</v>
      </c>
      <c r="EH15" s="2">
        <v>1</v>
      </c>
      <c r="EI15" s="2">
        <v>1</v>
      </c>
      <c r="EJ15" s="2">
        <v>1</v>
      </c>
      <c r="EK15" s="2">
        <v>1</v>
      </c>
      <c r="EL15" s="2">
        <v>1</v>
      </c>
      <c r="EM15" s="2">
        <v>1</v>
      </c>
      <c r="EN15" s="2">
        <v>1</v>
      </c>
      <c r="EO15" s="2">
        <v>1</v>
      </c>
      <c r="EP15" s="2">
        <v>1</v>
      </c>
      <c r="EQ15" s="2">
        <v>1</v>
      </c>
      <c r="ER15" s="2">
        <v>1</v>
      </c>
      <c r="ES15" s="2">
        <v>1</v>
      </c>
      <c r="ET15" s="2">
        <v>1</v>
      </c>
      <c r="EU15" s="2">
        <v>1</v>
      </c>
      <c r="EV15" s="2">
        <v>1</v>
      </c>
      <c r="EW15" s="2">
        <v>1</v>
      </c>
      <c r="EX15" s="2">
        <v>1</v>
      </c>
      <c r="EY15" s="2">
        <v>1</v>
      </c>
      <c r="EZ15" s="2">
        <v>1</v>
      </c>
      <c r="FA15" s="2">
        <v>1</v>
      </c>
      <c r="FB15" s="2">
        <v>1</v>
      </c>
      <c r="FC15" s="2">
        <v>1</v>
      </c>
      <c r="FD15" s="2">
        <v>1</v>
      </c>
      <c r="FE15" s="2">
        <v>1</v>
      </c>
      <c r="FF15" s="2">
        <v>1</v>
      </c>
      <c r="FG15" s="2">
        <v>1</v>
      </c>
      <c r="FH15" s="2">
        <v>1</v>
      </c>
      <c r="FI15" s="2">
        <v>1</v>
      </c>
      <c r="FJ15" s="2">
        <v>1</v>
      </c>
      <c r="FK15" s="2">
        <v>1</v>
      </c>
      <c r="FL15" s="2">
        <v>1</v>
      </c>
      <c r="FM15" s="2">
        <v>1</v>
      </c>
      <c r="FN15" s="2">
        <v>1</v>
      </c>
      <c r="FO15" s="2">
        <v>1</v>
      </c>
      <c r="FP15" s="2">
        <v>1</v>
      </c>
      <c r="FQ15" s="2">
        <v>1</v>
      </c>
      <c r="FR15" s="2">
        <v>1</v>
      </c>
      <c r="FS15" s="2">
        <v>1</v>
      </c>
      <c r="FT15" s="2">
        <v>1</v>
      </c>
      <c r="FU15" s="2">
        <v>1</v>
      </c>
      <c r="FV15" s="2">
        <v>1</v>
      </c>
      <c r="FW15" s="2">
        <v>1</v>
      </c>
      <c r="FX15" s="2">
        <v>1</v>
      </c>
      <c r="FY15" s="2">
        <v>1</v>
      </c>
      <c r="FZ15" s="2">
        <v>1</v>
      </c>
      <c r="GA15" s="2">
        <v>1</v>
      </c>
      <c r="GB15" s="2">
        <v>1</v>
      </c>
      <c r="GC15" s="2">
        <v>1</v>
      </c>
      <c r="GD15" s="2">
        <v>1</v>
      </c>
      <c r="GE15" s="2">
        <v>1</v>
      </c>
      <c r="GF15" s="2">
        <v>1</v>
      </c>
      <c r="GG15" s="2">
        <v>1</v>
      </c>
      <c r="GH15" s="2">
        <v>1</v>
      </c>
      <c r="GI15" s="2">
        <v>1</v>
      </c>
      <c r="GJ15" s="2">
        <v>1</v>
      </c>
      <c r="GK15" s="2">
        <v>1</v>
      </c>
      <c r="GL15" s="2">
        <v>1</v>
      </c>
      <c r="GM15" s="2">
        <v>1</v>
      </c>
      <c r="GN15" s="2">
        <v>1</v>
      </c>
      <c r="GO15" s="2">
        <v>1</v>
      </c>
      <c r="GP15" s="2">
        <v>1</v>
      </c>
      <c r="GQ15" s="2">
        <v>1</v>
      </c>
      <c r="GR15" s="2">
        <v>1</v>
      </c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69" t="s">
        <v>632</v>
      </c>
      <c r="IE15" s="70" t="s">
        <v>669</v>
      </c>
      <c r="IF15" s="10" t="s">
        <v>670</v>
      </c>
      <c r="IG15" s="2">
        <v>3</v>
      </c>
      <c r="IH15" s="2"/>
    </row>
    <row r="16" spans="1:243">
      <c r="A16" s="7">
        <v>15</v>
      </c>
      <c r="B16" s="7" t="s">
        <v>671</v>
      </c>
      <c r="C16" s="7" t="s">
        <v>672</v>
      </c>
      <c r="D16" s="9" t="s">
        <v>673</v>
      </c>
      <c r="E16" s="6">
        <v>45944</v>
      </c>
      <c r="F16" s="7" t="s">
        <v>612</v>
      </c>
      <c r="G16" s="7" t="s">
        <v>619</v>
      </c>
      <c r="H16" s="71" t="s">
        <v>214</v>
      </c>
      <c r="I16" s="4" t="s">
        <v>88</v>
      </c>
      <c r="J16" s="31" t="s">
        <v>674</v>
      </c>
      <c r="K16" s="4" t="s">
        <v>605</v>
      </c>
      <c r="L16" s="4" t="s">
        <v>606</v>
      </c>
      <c r="M16" s="2">
        <v>0</v>
      </c>
      <c r="N16" s="10">
        <v>1</v>
      </c>
      <c r="O16" s="10"/>
      <c r="P16" s="10"/>
      <c r="Q16" s="10">
        <f t="shared" si="0"/>
        <v>3</v>
      </c>
      <c r="R16" s="10">
        <v>1</v>
      </c>
      <c r="S16" s="10">
        <v>1</v>
      </c>
      <c r="T16" s="10">
        <v>1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32">
        <v>45947</v>
      </c>
      <c r="IE16" s="5" t="s">
        <v>661</v>
      </c>
      <c r="IF16" s="33" t="s">
        <v>608</v>
      </c>
      <c r="IG16" s="2" t="s">
        <v>117</v>
      </c>
      <c r="IH16" s="2"/>
    </row>
    <row r="17" spans="1:242">
      <c r="A17" s="7">
        <v>16</v>
      </c>
      <c r="B17" s="7" t="s">
        <v>675</v>
      </c>
      <c r="C17" s="7" t="s">
        <v>672</v>
      </c>
      <c r="D17" s="9" t="s">
        <v>673</v>
      </c>
      <c r="E17" s="6">
        <v>45944</v>
      </c>
      <c r="F17" s="7" t="s">
        <v>612</v>
      </c>
      <c r="G17" s="7" t="s">
        <v>619</v>
      </c>
      <c r="H17" s="71" t="s">
        <v>214</v>
      </c>
      <c r="I17" s="4" t="s">
        <v>88</v>
      </c>
      <c r="J17" s="31" t="s">
        <v>676</v>
      </c>
      <c r="K17" s="4" t="s">
        <v>605</v>
      </c>
      <c r="L17" s="4" t="s">
        <v>606</v>
      </c>
      <c r="M17" s="2">
        <v>0</v>
      </c>
      <c r="N17" s="10">
        <v>1</v>
      </c>
      <c r="O17" s="10"/>
      <c r="P17" s="10"/>
      <c r="Q17" s="10">
        <f t="shared" si="0"/>
        <v>3</v>
      </c>
      <c r="R17" s="10">
        <v>1</v>
      </c>
      <c r="S17" s="10">
        <v>1</v>
      </c>
      <c r="T17" s="10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32">
        <v>45947</v>
      </c>
      <c r="IE17" s="5" t="s">
        <v>661</v>
      </c>
      <c r="IF17" s="33" t="s">
        <v>608</v>
      </c>
      <c r="IG17" s="2" t="s">
        <v>117</v>
      </c>
      <c r="IH17" s="2"/>
    </row>
    <row r="18" spans="1:242">
      <c r="A18" s="7">
        <v>17</v>
      </c>
      <c r="B18" s="7" t="s">
        <v>677</v>
      </c>
      <c r="C18" s="7" t="s">
        <v>678</v>
      </c>
      <c r="D18" s="9" t="s">
        <v>679</v>
      </c>
      <c r="E18" s="6">
        <v>45946</v>
      </c>
      <c r="F18" s="7" t="s">
        <v>612</v>
      </c>
      <c r="G18" s="7" t="s">
        <v>627</v>
      </c>
      <c r="H18" s="30" t="s">
        <v>680</v>
      </c>
      <c r="I18" s="4" t="s">
        <v>86</v>
      </c>
      <c r="J18" s="31" t="s">
        <v>681</v>
      </c>
      <c r="K18" s="4" t="s">
        <v>605</v>
      </c>
      <c r="L18" s="4" t="s">
        <v>606</v>
      </c>
      <c r="M18" s="2">
        <v>0</v>
      </c>
      <c r="N18" s="10">
        <v>1</v>
      </c>
      <c r="O18" s="10"/>
      <c r="P18" s="10"/>
      <c r="Q18" s="10">
        <f t="shared" si="0"/>
        <v>5</v>
      </c>
      <c r="R18" s="10">
        <v>1</v>
      </c>
      <c r="S18" s="10">
        <v>1</v>
      </c>
      <c r="T18" s="10">
        <v>1</v>
      </c>
      <c r="U18" s="10">
        <v>1</v>
      </c>
      <c r="V18" s="10">
        <v>1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32">
        <v>45951</v>
      </c>
      <c r="IE18" s="5" t="s">
        <v>682</v>
      </c>
      <c r="IF18" s="2" t="s">
        <v>608</v>
      </c>
      <c r="IG18" s="2" t="s">
        <v>117</v>
      </c>
      <c r="IH18" s="2"/>
    </row>
    <row r="19" spans="1:242" s="58" customFormat="1">
      <c r="A19" s="47">
        <v>18</v>
      </c>
      <c r="B19" s="47"/>
      <c r="C19" s="47" t="s">
        <v>683</v>
      </c>
      <c r="D19" s="48" t="s">
        <v>684</v>
      </c>
      <c r="E19" s="49">
        <v>45950</v>
      </c>
      <c r="F19" s="47" t="s">
        <v>612</v>
      </c>
      <c r="G19" s="47" t="s">
        <v>603</v>
      </c>
      <c r="H19" s="72" t="s">
        <v>233</v>
      </c>
      <c r="I19" s="51" t="s">
        <v>86</v>
      </c>
      <c r="J19" s="50" t="s">
        <v>685</v>
      </c>
      <c r="K19" s="51" t="s">
        <v>648</v>
      </c>
      <c r="L19" s="51"/>
      <c r="M19" s="53">
        <v>1</v>
      </c>
      <c r="N19" s="52">
        <v>0</v>
      </c>
      <c r="O19" s="52"/>
      <c r="P19" s="54" t="b">
        <v>0</v>
      </c>
      <c r="Q19" s="53">
        <f t="shared" si="0"/>
        <v>8</v>
      </c>
      <c r="R19" s="52">
        <v>1</v>
      </c>
      <c r="S19" s="52">
        <v>1</v>
      </c>
      <c r="T19" s="52">
        <v>1</v>
      </c>
      <c r="U19" s="52">
        <v>1</v>
      </c>
      <c r="V19" s="52">
        <v>1</v>
      </c>
      <c r="W19" s="52">
        <v>1</v>
      </c>
      <c r="X19" s="52">
        <v>1</v>
      </c>
      <c r="Y19" s="52">
        <v>1</v>
      </c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2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73" t="s">
        <v>632</v>
      </c>
      <c r="IE19" s="56" t="s">
        <v>686</v>
      </c>
      <c r="IF19" s="52" t="s">
        <v>687</v>
      </c>
      <c r="IG19" s="52">
        <v>4</v>
      </c>
      <c r="IH19" s="227" t="s">
        <v>688</v>
      </c>
    </row>
    <row r="20" spans="1:242" s="46" customFormat="1">
      <c r="A20" s="34">
        <v>19</v>
      </c>
      <c r="B20" s="34" t="s">
        <v>689</v>
      </c>
      <c r="C20" s="34" t="s">
        <v>683</v>
      </c>
      <c r="D20" s="35" t="s">
        <v>684</v>
      </c>
      <c r="E20" s="36">
        <v>45950</v>
      </c>
      <c r="F20" s="34" t="s">
        <v>612</v>
      </c>
      <c r="G20" s="34" t="s">
        <v>603</v>
      </c>
      <c r="H20" s="37" t="s">
        <v>233</v>
      </c>
      <c r="I20" s="38" t="s">
        <v>86</v>
      </c>
      <c r="J20" s="60" t="s">
        <v>690</v>
      </c>
      <c r="K20" s="38" t="s">
        <v>632</v>
      </c>
      <c r="L20" s="38" t="s">
        <v>633</v>
      </c>
      <c r="M20" s="40">
        <v>1</v>
      </c>
      <c r="N20" s="38">
        <v>0</v>
      </c>
      <c r="O20" s="41" t="s">
        <v>634</v>
      </c>
      <c r="P20" s="61" t="b">
        <v>1</v>
      </c>
      <c r="Q20" s="40">
        <f>SUM(R20:GO20)</f>
        <v>180</v>
      </c>
      <c r="R20" s="38">
        <v>1</v>
      </c>
      <c r="S20" s="38">
        <v>1</v>
      </c>
      <c r="T20" s="38">
        <v>1</v>
      </c>
      <c r="U20" s="38">
        <v>1</v>
      </c>
      <c r="V20" s="38">
        <v>1</v>
      </c>
      <c r="W20" s="38">
        <v>1</v>
      </c>
      <c r="X20" s="38">
        <v>1</v>
      </c>
      <c r="Y20" s="38">
        <v>1</v>
      </c>
      <c r="Z20" s="38">
        <v>1</v>
      </c>
      <c r="AA20" s="38">
        <v>1</v>
      </c>
      <c r="AB20" s="38">
        <v>1</v>
      </c>
      <c r="AC20" s="38">
        <v>1</v>
      </c>
      <c r="AD20" s="38">
        <v>1</v>
      </c>
      <c r="AE20" s="38">
        <v>1</v>
      </c>
      <c r="AF20" s="38">
        <v>1</v>
      </c>
      <c r="AG20" s="38">
        <v>1</v>
      </c>
      <c r="AH20" s="38">
        <v>1</v>
      </c>
      <c r="AI20" s="38">
        <v>1</v>
      </c>
      <c r="AJ20" s="38">
        <v>1</v>
      </c>
      <c r="AK20" s="38">
        <v>1</v>
      </c>
      <c r="AL20" s="38">
        <v>1</v>
      </c>
      <c r="AM20" s="38">
        <v>1</v>
      </c>
      <c r="AN20" s="38">
        <v>1</v>
      </c>
      <c r="AO20" s="38">
        <v>1</v>
      </c>
      <c r="AP20" s="38">
        <v>1</v>
      </c>
      <c r="AQ20" s="38">
        <v>1</v>
      </c>
      <c r="AR20" s="38">
        <v>1</v>
      </c>
      <c r="AS20" s="38">
        <v>1</v>
      </c>
      <c r="AT20" s="38">
        <v>1</v>
      </c>
      <c r="AU20" s="38">
        <v>1</v>
      </c>
      <c r="AV20" s="38">
        <v>1</v>
      </c>
      <c r="AW20" s="38">
        <v>1</v>
      </c>
      <c r="AX20" s="38">
        <v>1</v>
      </c>
      <c r="AY20" s="38">
        <v>1</v>
      </c>
      <c r="AZ20" s="38">
        <v>1</v>
      </c>
      <c r="BA20" s="38">
        <v>1</v>
      </c>
      <c r="BB20" s="38">
        <v>1</v>
      </c>
      <c r="BC20" s="38">
        <v>1</v>
      </c>
      <c r="BD20" s="38">
        <v>1</v>
      </c>
      <c r="BE20" s="38">
        <v>1</v>
      </c>
      <c r="BF20" s="38">
        <v>1</v>
      </c>
      <c r="BG20" s="38">
        <v>1</v>
      </c>
      <c r="BH20" s="38">
        <v>1</v>
      </c>
      <c r="BI20" s="38">
        <v>1</v>
      </c>
      <c r="BJ20" s="38">
        <v>1</v>
      </c>
      <c r="BK20" s="38">
        <v>1</v>
      </c>
      <c r="BL20" s="38">
        <v>1</v>
      </c>
      <c r="BM20" s="38">
        <v>1</v>
      </c>
      <c r="BN20" s="38">
        <v>1</v>
      </c>
      <c r="BO20" s="38">
        <v>1</v>
      </c>
      <c r="BP20" s="38">
        <v>1</v>
      </c>
      <c r="BQ20" s="38">
        <v>1</v>
      </c>
      <c r="BR20" s="38">
        <v>1</v>
      </c>
      <c r="BS20" s="38">
        <v>1</v>
      </c>
      <c r="BT20" s="38">
        <v>1</v>
      </c>
      <c r="BU20" s="38">
        <v>1</v>
      </c>
      <c r="BV20" s="38">
        <v>1</v>
      </c>
      <c r="BW20" s="38">
        <v>1</v>
      </c>
      <c r="BX20" s="38">
        <v>1</v>
      </c>
      <c r="BY20" s="38">
        <v>1</v>
      </c>
      <c r="BZ20" s="38">
        <v>1</v>
      </c>
      <c r="CA20" s="38">
        <v>1</v>
      </c>
      <c r="CB20" s="38">
        <v>1</v>
      </c>
      <c r="CC20" s="38">
        <v>1</v>
      </c>
      <c r="CD20" s="38">
        <v>1</v>
      </c>
      <c r="CE20" s="38">
        <v>1</v>
      </c>
      <c r="CF20" s="38">
        <v>1</v>
      </c>
      <c r="CG20" s="38">
        <v>1</v>
      </c>
      <c r="CH20" s="38">
        <v>1</v>
      </c>
      <c r="CI20" s="38">
        <v>1</v>
      </c>
      <c r="CJ20" s="38">
        <v>1</v>
      </c>
      <c r="CK20" s="38">
        <v>1</v>
      </c>
      <c r="CL20" s="38">
        <v>1</v>
      </c>
      <c r="CM20" s="38">
        <v>1</v>
      </c>
      <c r="CN20" s="38">
        <v>1</v>
      </c>
      <c r="CO20" s="38">
        <v>1</v>
      </c>
      <c r="CP20" s="38">
        <v>1</v>
      </c>
      <c r="CQ20" s="38">
        <v>1</v>
      </c>
      <c r="CR20" s="38">
        <v>1</v>
      </c>
      <c r="CS20" s="38">
        <v>1</v>
      </c>
      <c r="CT20" s="38">
        <v>1</v>
      </c>
      <c r="CU20" s="38">
        <v>1</v>
      </c>
      <c r="CV20" s="38">
        <v>1</v>
      </c>
      <c r="CW20" s="38">
        <v>1</v>
      </c>
      <c r="CX20" s="38">
        <v>1</v>
      </c>
      <c r="CY20" s="38">
        <v>1</v>
      </c>
      <c r="CZ20" s="38">
        <v>1</v>
      </c>
      <c r="DA20" s="38">
        <v>1</v>
      </c>
      <c r="DB20" s="38">
        <v>1</v>
      </c>
      <c r="DC20" s="38">
        <v>1</v>
      </c>
      <c r="DD20" s="38">
        <v>1</v>
      </c>
      <c r="DE20" s="38">
        <v>1</v>
      </c>
      <c r="DF20" s="38">
        <v>1</v>
      </c>
      <c r="DG20" s="38">
        <v>1</v>
      </c>
      <c r="DH20" s="38">
        <v>1</v>
      </c>
      <c r="DI20" s="38">
        <v>1</v>
      </c>
      <c r="DJ20" s="38">
        <v>1</v>
      </c>
      <c r="DK20" s="38">
        <v>1</v>
      </c>
      <c r="DL20" s="38">
        <v>1</v>
      </c>
      <c r="DM20" s="38">
        <v>1</v>
      </c>
      <c r="DN20" s="38">
        <v>1</v>
      </c>
      <c r="DO20" s="38">
        <v>1</v>
      </c>
      <c r="DP20" s="38">
        <v>1</v>
      </c>
      <c r="DQ20" s="38">
        <v>1</v>
      </c>
      <c r="DR20" s="38">
        <v>1</v>
      </c>
      <c r="DS20" s="38">
        <v>1</v>
      </c>
      <c r="DT20" s="38">
        <v>1</v>
      </c>
      <c r="DU20" s="38">
        <v>1</v>
      </c>
      <c r="DV20" s="38">
        <v>1</v>
      </c>
      <c r="DW20" s="38">
        <v>1</v>
      </c>
      <c r="DX20" s="38">
        <v>1</v>
      </c>
      <c r="DY20" s="38">
        <v>1</v>
      </c>
      <c r="DZ20" s="38">
        <v>1</v>
      </c>
      <c r="EA20" s="38">
        <v>1</v>
      </c>
      <c r="EB20" s="38">
        <v>1</v>
      </c>
      <c r="EC20" s="38">
        <v>1</v>
      </c>
      <c r="ED20" s="38">
        <v>1</v>
      </c>
      <c r="EE20" s="38">
        <v>1</v>
      </c>
      <c r="EF20" s="38">
        <v>1</v>
      </c>
      <c r="EG20" s="38">
        <v>1</v>
      </c>
      <c r="EH20" s="38">
        <v>1</v>
      </c>
      <c r="EI20" s="38">
        <v>1</v>
      </c>
      <c r="EJ20" s="38">
        <v>1</v>
      </c>
      <c r="EK20" s="38">
        <v>1</v>
      </c>
      <c r="EL20" s="38">
        <v>1</v>
      </c>
      <c r="EM20" s="38">
        <v>1</v>
      </c>
      <c r="EN20" s="38">
        <v>1</v>
      </c>
      <c r="EO20" s="38">
        <v>1</v>
      </c>
      <c r="EP20" s="38">
        <v>1</v>
      </c>
      <c r="EQ20" s="38">
        <v>1</v>
      </c>
      <c r="ER20" s="38">
        <v>1</v>
      </c>
      <c r="ES20" s="38">
        <v>1</v>
      </c>
      <c r="ET20" s="38">
        <v>1</v>
      </c>
      <c r="EU20" s="38">
        <v>1</v>
      </c>
      <c r="EV20" s="38">
        <v>1</v>
      </c>
      <c r="EW20" s="38">
        <v>1</v>
      </c>
      <c r="EX20" s="38">
        <v>1</v>
      </c>
      <c r="EY20" s="38">
        <v>1</v>
      </c>
      <c r="EZ20" s="38">
        <v>1</v>
      </c>
      <c r="FA20" s="38">
        <v>1</v>
      </c>
      <c r="FB20" s="38">
        <v>1</v>
      </c>
      <c r="FC20" s="38">
        <v>1</v>
      </c>
      <c r="FD20" s="38">
        <v>1</v>
      </c>
      <c r="FE20" s="38">
        <v>1</v>
      </c>
      <c r="FF20" s="38">
        <v>1</v>
      </c>
      <c r="FG20" s="38">
        <v>1</v>
      </c>
      <c r="FH20" s="38">
        <v>1</v>
      </c>
      <c r="FI20" s="38">
        <v>1</v>
      </c>
      <c r="FJ20" s="38">
        <v>1</v>
      </c>
      <c r="FK20" s="38">
        <v>1</v>
      </c>
      <c r="FL20" s="38">
        <v>1</v>
      </c>
      <c r="FM20" s="38">
        <v>1</v>
      </c>
      <c r="FN20" s="38">
        <v>1</v>
      </c>
      <c r="FO20" s="38">
        <v>1</v>
      </c>
      <c r="FP20" s="38">
        <v>1</v>
      </c>
      <c r="FQ20" s="38">
        <v>1</v>
      </c>
      <c r="FR20" s="38">
        <v>1</v>
      </c>
      <c r="FS20" s="38">
        <v>1</v>
      </c>
      <c r="FT20" s="38">
        <v>1</v>
      </c>
      <c r="FU20" s="38">
        <v>1</v>
      </c>
      <c r="FV20" s="38">
        <v>1</v>
      </c>
      <c r="FW20" s="38">
        <v>1</v>
      </c>
      <c r="FX20" s="38">
        <v>1</v>
      </c>
      <c r="FY20" s="38">
        <v>1</v>
      </c>
      <c r="FZ20" s="38">
        <v>1</v>
      </c>
      <c r="GA20" s="38">
        <v>1</v>
      </c>
      <c r="GB20" s="38">
        <v>1</v>
      </c>
      <c r="GC20" s="38">
        <v>1</v>
      </c>
      <c r="GD20" s="38">
        <v>1</v>
      </c>
      <c r="GE20" s="38">
        <v>1</v>
      </c>
      <c r="GF20" s="38">
        <v>1</v>
      </c>
      <c r="GG20" s="38">
        <v>1</v>
      </c>
      <c r="GH20" s="38">
        <v>1</v>
      </c>
      <c r="GI20" s="38">
        <v>1</v>
      </c>
      <c r="GJ20" s="38">
        <v>1</v>
      </c>
      <c r="GK20" s="38">
        <v>1</v>
      </c>
      <c r="GL20" s="38">
        <v>1</v>
      </c>
      <c r="GM20" s="38">
        <v>1</v>
      </c>
      <c r="GN20" s="38">
        <v>1</v>
      </c>
      <c r="GO20" s="38">
        <v>1</v>
      </c>
      <c r="GP20" s="38">
        <v>1</v>
      </c>
      <c r="GQ20" s="38">
        <v>1</v>
      </c>
      <c r="GR20" s="38">
        <v>1</v>
      </c>
      <c r="GS20" s="38">
        <v>1</v>
      </c>
      <c r="GT20" s="38">
        <v>1</v>
      </c>
      <c r="GU20" s="38">
        <v>1</v>
      </c>
      <c r="GV20" s="38">
        <v>1</v>
      </c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43" t="s">
        <v>632</v>
      </c>
      <c r="IE20" s="74" t="s">
        <v>691</v>
      </c>
      <c r="IF20" s="75" t="s">
        <v>687</v>
      </c>
      <c r="IG20" s="38">
        <v>4</v>
      </c>
      <c r="IH20" s="228"/>
    </row>
    <row r="21" spans="1:242" s="46" customFormat="1">
      <c r="A21" s="34">
        <v>20</v>
      </c>
      <c r="B21" s="34" t="s">
        <v>692</v>
      </c>
      <c r="C21" s="34" t="s">
        <v>683</v>
      </c>
      <c r="D21" s="35" t="s">
        <v>684</v>
      </c>
      <c r="E21" s="36">
        <v>45950</v>
      </c>
      <c r="F21" s="34" t="s">
        <v>612</v>
      </c>
      <c r="G21" s="34" t="s">
        <v>603</v>
      </c>
      <c r="H21" s="37" t="s">
        <v>233</v>
      </c>
      <c r="I21" s="38" t="s">
        <v>86</v>
      </c>
      <c r="J21" s="60" t="s">
        <v>693</v>
      </c>
      <c r="K21" s="38" t="s">
        <v>632</v>
      </c>
      <c r="L21" s="38" t="s">
        <v>633</v>
      </c>
      <c r="M21" s="40">
        <v>1</v>
      </c>
      <c r="N21" s="38">
        <v>0</v>
      </c>
      <c r="O21" s="41" t="s">
        <v>634</v>
      </c>
      <c r="P21" s="61" t="b">
        <v>1</v>
      </c>
      <c r="Q21" s="40">
        <f>SUM(R21:GO21)</f>
        <v>180</v>
      </c>
      <c r="R21" s="38">
        <v>1</v>
      </c>
      <c r="S21" s="38">
        <v>1</v>
      </c>
      <c r="T21" s="38">
        <v>1</v>
      </c>
      <c r="U21" s="38">
        <v>1</v>
      </c>
      <c r="V21" s="38">
        <v>1</v>
      </c>
      <c r="W21" s="38">
        <v>1</v>
      </c>
      <c r="X21" s="38">
        <v>1</v>
      </c>
      <c r="Y21" s="38">
        <v>1</v>
      </c>
      <c r="Z21" s="38">
        <v>1</v>
      </c>
      <c r="AA21" s="38">
        <v>1</v>
      </c>
      <c r="AB21" s="38">
        <v>1</v>
      </c>
      <c r="AC21" s="38">
        <v>1</v>
      </c>
      <c r="AD21" s="38">
        <v>1</v>
      </c>
      <c r="AE21" s="38">
        <v>1</v>
      </c>
      <c r="AF21" s="38">
        <v>1</v>
      </c>
      <c r="AG21" s="38">
        <v>1</v>
      </c>
      <c r="AH21" s="38">
        <v>1</v>
      </c>
      <c r="AI21" s="38">
        <v>1</v>
      </c>
      <c r="AJ21" s="38">
        <v>1</v>
      </c>
      <c r="AK21" s="38">
        <v>1</v>
      </c>
      <c r="AL21" s="38">
        <v>1</v>
      </c>
      <c r="AM21" s="38">
        <v>1</v>
      </c>
      <c r="AN21" s="38">
        <v>1</v>
      </c>
      <c r="AO21" s="38">
        <v>1</v>
      </c>
      <c r="AP21" s="38">
        <v>1</v>
      </c>
      <c r="AQ21" s="38">
        <v>1</v>
      </c>
      <c r="AR21" s="38">
        <v>1</v>
      </c>
      <c r="AS21" s="38">
        <v>1</v>
      </c>
      <c r="AT21" s="38">
        <v>1</v>
      </c>
      <c r="AU21" s="38">
        <v>1</v>
      </c>
      <c r="AV21" s="38">
        <v>1</v>
      </c>
      <c r="AW21" s="38">
        <v>1</v>
      </c>
      <c r="AX21" s="38">
        <v>1</v>
      </c>
      <c r="AY21" s="38">
        <v>1</v>
      </c>
      <c r="AZ21" s="38">
        <v>1</v>
      </c>
      <c r="BA21" s="38">
        <v>1</v>
      </c>
      <c r="BB21" s="38">
        <v>1</v>
      </c>
      <c r="BC21" s="38">
        <v>1</v>
      </c>
      <c r="BD21" s="38">
        <v>1</v>
      </c>
      <c r="BE21" s="38">
        <v>1</v>
      </c>
      <c r="BF21" s="38">
        <v>1</v>
      </c>
      <c r="BG21" s="38">
        <v>1</v>
      </c>
      <c r="BH21" s="38">
        <v>1</v>
      </c>
      <c r="BI21" s="38">
        <v>1</v>
      </c>
      <c r="BJ21" s="38">
        <v>1</v>
      </c>
      <c r="BK21" s="38">
        <v>1</v>
      </c>
      <c r="BL21" s="38">
        <v>1</v>
      </c>
      <c r="BM21" s="38">
        <v>1</v>
      </c>
      <c r="BN21" s="38">
        <v>1</v>
      </c>
      <c r="BO21" s="38">
        <v>1</v>
      </c>
      <c r="BP21" s="38">
        <v>1</v>
      </c>
      <c r="BQ21" s="38">
        <v>1</v>
      </c>
      <c r="BR21" s="38">
        <v>1</v>
      </c>
      <c r="BS21" s="38">
        <v>1</v>
      </c>
      <c r="BT21" s="38">
        <v>1</v>
      </c>
      <c r="BU21" s="38">
        <v>1</v>
      </c>
      <c r="BV21" s="38">
        <v>1</v>
      </c>
      <c r="BW21" s="38">
        <v>1</v>
      </c>
      <c r="BX21" s="38">
        <v>1</v>
      </c>
      <c r="BY21" s="38">
        <v>1</v>
      </c>
      <c r="BZ21" s="38">
        <v>1</v>
      </c>
      <c r="CA21" s="38">
        <v>1</v>
      </c>
      <c r="CB21" s="38">
        <v>1</v>
      </c>
      <c r="CC21" s="38">
        <v>1</v>
      </c>
      <c r="CD21" s="38">
        <v>1</v>
      </c>
      <c r="CE21" s="38">
        <v>1</v>
      </c>
      <c r="CF21" s="38">
        <v>1</v>
      </c>
      <c r="CG21" s="38">
        <v>1</v>
      </c>
      <c r="CH21" s="38">
        <v>1</v>
      </c>
      <c r="CI21" s="38">
        <v>1</v>
      </c>
      <c r="CJ21" s="38">
        <v>1</v>
      </c>
      <c r="CK21" s="38">
        <v>1</v>
      </c>
      <c r="CL21" s="38">
        <v>1</v>
      </c>
      <c r="CM21" s="38">
        <v>1</v>
      </c>
      <c r="CN21" s="38">
        <v>1</v>
      </c>
      <c r="CO21" s="38">
        <v>1</v>
      </c>
      <c r="CP21" s="38">
        <v>1</v>
      </c>
      <c r="CQ21" s="38">
        <v>1</v>
      </c>
      <c r="CR21" s="38">
        <v>1</v>
      </c>
      <c r="CS21" s="38">
        <v>1</v>
      </c>
      <c r="CT21" s="38">
        <v>1</v>
      </c>
      <c r="CU21" s="38">
        <v>1</v>
      </c>
      <c r="CV21" s="38">
        <v>1</v>
      </c>
      <c r="CW21" s="38">
        <v>1</v>
      </c>
      <c r="CX21" s="38">
        <v>1</v>
      </c>
      <c r="CY21" s="38">
        <v>1</v>
      </c>
      <c r="CZ21" s="38">
        <v>1</v>
      </c>
      <c r="DA21" s="38">
        <v>1</v>
      </c>
      <c r="DB21" s="38">
        <v>1</v>
      </c>
      <c r="DC21" s="38">
        <v>1</v>
      </c>
      <c r="DD21" s="38">
        <v>1</v>
      </c>
      <c r="DE21" s="38">
        <v>1</v>
      </c>
      <c r="DF21" s="38">
        <v>1</v>
      </c>
      <c r="DG21" s="38">
        <v>1</v>
      </c>
      <c r="DH21" s="38">
        <v>1</v>
      </c>
      <c r="DI21" s="38">
        <v>1</v>
      </c>
      <c r="DJ21" s="38">
        <v>1</v>
      </c>
      <c r="DK21" s="38">
        <v>1</v>
      </c>
      <c r="DL21" s="38">
        <v>1</v>
      </c>
      <c r="DM21" s="38">
        <v>1</v>
      </c>
      <c r="DN21" s="38">
        <v>1</v>
      </c>
      <c r="DO21" s="38">
        <v>1</v>
      </c>
      <c r="DP21" s="38">
        <v>1</v>
      </c>
      <c r="DQ21" s="38">
        <v>1</v>
      </c>
      <c r="DR21" s="38">
        <v>1</v>
      </c>
      <c r="DS21" s="38">
        <v>1</v>
      </c>
      <c r="DT21" s="38">
        <v>1</v>
      </c>
      <c r="DU21" s="38">
        <v>1</v>
      </c>
      <c r="DV21" s="38">
        <v>1</v>
      </c>
      <c r="DW21" s="38">
        <v>1</v>
      </c>
      <c r="DX21" s="38">
        <v>1</v>
      </c>
      <c r="DY21" s="38">
        <v>1</v>
      </c>
      <c r="DZ21" s="38">
        <v>1</v>
      </c>
      <c r="EA21" s="38">
        <v>1</v>
      </c>
      <c r="EB21" s="38">
        <v>1</v>
      </c>
      <c r="EC21" s="38">
        <v>1</v>
      </c>
      <c r="ED21" s="38">
        <v>1</v>
      </c>
      <c r="EE21" s="38">
        <v>1</v>
      </c>
      <c r="EF21" s="38">
        <v>1</v>
      </c>
      <c r="EG21" s="38">
        <v>1</v>
      </c>
      <c r="EH21" s="38">
        <v>1</v>
      </c>
      <c r="EI21" s="38">
        <v>1</v>
      </c>
      <c r="EJ21" s="38">
        <v>1</v>
      </c>
      <c r="EK21" s="38">
        <v>1</v>
      </c>
      <c r="EL21" s="38">
        <v>1</v>
      </c>
      <c r="EM21" s="38">
        <v>1</v>
      </c>
      <c r="EN21" s="38">
        <v>1</v>
      </c>
      <c r="EO21" s="38">
        <v>1</v>
      </c>
      <c r="EP21" s="38">
        <v>1</v>
      </c>
      <c r="EQ21" s="38">
        <v>1</v>
      </c>
      <c r="ER21" s="38">
        <v>1</v>
      </c>
      <c r="ES21" s="38">
        <v>1</v>
      </c>
      <c r="ET21" s="38">
        <v>1</v>
      </c>
      <c r="EU21" s="38">
        <v>1</v>
      </c>
      <c r="EV21" s="38">
        <v>1</v>
      </c>
      <c r="EW21" s="38">
        <v>1</v>
      </c>
      <c r="EX21" s="38">
        <v>1</v>
      </c>
      <c r="EY21" s="38">
        <v>1</v>
      </c>
      <c r="EZ21" s="38">
        <v>1</v>
      </c>
      <c r="FA21" s="38">
        <v>1</v>
      </c>
      <c r="FB21" s="38">
        <v>1</v>
      </c>
      <c r="FC21" s="38">
        <v>1</v>
      </c>
      <c r="FD21" s="38">
        <v>1</v>
      </c>
      <c r="FE21" s="38">
        <v>1</v>
      </c>
      <c r="FF21" s="38">
        <v>1</v>
      </c>
      <c r="FG21" s="38">
        <v>1</v>
      </c>
      <c r="FH21" s="38">
        <v>1</v>
      </c>
      <c r="FI21" s="38">
        <v>1</v>
      </c>
      <c r="FJ21" s="38">
        <v>1</v>
      </c>
      <c r="FK21" s="38">
        <v>1</v>
      </c>
      <c r="FL21" s="38">
        <v>1</v>
      </c>
      <c r="FM21" s="38">
        <v>1</v>
      </c>
      <c r="FN21" s="38">
        <v>1</v>
      </c>
      <c r="FO21" s="38">
        <v>1</v>
      </c>
      <c r="FP21" s="38">
        <v>1</v>
      </c>
      <c r="FQ21" s="38">
        <v>1</v>
      </c>
      <c r="FR21" s="38">
        <v>1</v>
      </c>
      <c r="FS21" s="38">
        <v>1</v>
      </c>
      <c r="FT21" s="38">
        <v>1</v>
      </c>
      <c r="FU21" s="38">
        <v>1</v>
      </c>
      <c r="FV21" s="38">
        <v>1</v>
      </c>
      <c r="FW21" s="38">
        <v>1</v>
      </c>
      <c r="FX21" s="38">
        <v>1</v>
      </c>
      <c r="FY21" s="38">
        <v>1</v>
      </c>
      <c r="FZ21" s="38">
        <v>1</v>
      </c>
      <c r="GA21" s="38">
        <v>1</v>
      </c>
      <c r="GB21" s="38">
        <v>1</v>
      </c>
      <c r="GC21" s="38">
        <v>1</v>
      </c>
      <c r="GD21" s="38">
        <v>1</v>
      </c>
      <c r="GE21" s="38">
        <v>1</v>
      </c>
      <c r="GF21" s="38">
        <v>1</v>
      </c>
      <c r="GG21" s="38">
        <v>1</v>
      </c>
      <c r="GH21" s="38">
        <v>1</v>
      </c>
      <c r="GI21" s="38">
        <v>1</v>
      </c>
      <c r="GJ21" s="38">
        <v>1</v>
      </c>
      <c r="GK21" s="38">
        <v>1</v>
      </c>
      <c r="GL21" s="38">
        <v>1</v>
      </c>
      <c r="GM21" s="38">
        <v>1</v>
      </c>
      <c r="GN21" s="38">
        <v>1</v>
      </c>
      <c r="GO21" s="38">
        <v>1</v>
      </c>
      <c r="GP21" s="38">
        <v>1</v>
      </c>
      <c r="GQ21" s="38">
        <v>1</v>
      </c>
      <c r="GR21" s="38">
        <v>1</v>
      </c>
      <c r="GS21" s="38">
        <v>1</v>
      </c>
      <c r="GT21" s="38">
        <v>1</v>
      </c>
      <c r="GU21" s="38">
        <v>1</v>
      </c>
      <c r="GV21" s="38">
        <v>1</v>
      </c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43" t="s">
        <v>632</v>
      </c>
      <c r="IE21" s="74" t="s">
        <v>686</v>
      </c>
      <c r="IF21" s="75" t="s">
        <v>687</v>
      </c>
      <c r="IG21" s="38">
        <v>4</v>
      </c>
      <c r="IH21" s="228"/>
    </row>
    <row r="22" spans="1:242" s="46" customFormat="1">
      <c r="A22" s="34">
        <v>21</v>
      </c>
      <c r="B22" s="34" t="s">
        <v>694</v>
      </c>
      <c r="C22" s="34" t="s">
        <v>683</v>
      </c>
      <c r="D22" s="35" t="s">
        <v>684</v>
      </c>
      <c r="E22" s="36">
        <v>45950</v>
      </c>
      <c r="F22" s="34" t="s">
        <v>612</v>
      </c>
      <c r="G22" s="34" t="s">
        <v>603</v>
      </c>
      <c r="H22" s="37" t="s">
        <v>233</v>
      </c>
      <c r="I22" s="38" t="s">
        <v>86</v>
      </c>
      <c r="J22" s="60" t="s">
        <v>695</v>
      </c>
      <c r="K22" s="38" t="s">
        <v>632</v>
      </c>
      <c r="L22" s="38" t="s">
        <v>633</v>
      </c>
      <c r="M22" s="40">
        <v>1</v>
      </c>
      <c r="N22" s="38">
        <v>0</v>
      </c>
      <c r="O22" s="41" t="s">
        <v>634</v>
      </c>
      <c r="P22" s="61" t="b">
        <v>1</v>
      </c>
      <c r="Q22" s="40">
        <f>SUM(R22:GO22)</f>
        <v>180</v>
      </c>
      <c r="R22" s="38">
        <v>1</v>
      </c>
      <c r="S22" s="38">
        <v>1</v>
      </c>
      <c r="T22" s="38">
        <v>1</v>
      </c>
      <c r="U22" s="38">
        <v>1</v>
      </c>
      <c r="V22" s="38">
        <v>1</v>
      </c>
      <c r="W22" s="38">
        <v>1</v>
      </c>
      <c r="X22" s="38">
        <v>1</v>
      </c>
      <c r="Y22" s="38">
        <v>1</v>
      </c>
      <c r="Z22" s="38">
        <v>1</v>
      </c>
      <c r="AA22" s="38">
        <v>1</v>
      </c>
      <c r="AB22" s="38">
        <v>1</v>
      </c>
      <c r="AC22" s="38">
        <v>1</v>
      </c>
      <c r="AD22" s="38">
        <v>1</v>
      </c>
      <c r="AE22" s="38">
        <v>1</v>
      </c>
      <c r="AF22" s="38">
        <v>1</v>
      </c>
      <c r="AG22" s="38">
        <v>1</v>
      </c>
      <c r="AH22" s="38">
        <v>1</v>
      </c>
      <c r="AI22" s="38">
        <v>1</v>
      </c>
      <c r="AJ22" s="38">
        <v>1</v>
      </c>
      <c r="AK22" s="38">
        <v>1</v>
      </c>
      <c r="AL22" s="38">
        <v>1</v>
      </c>
      <c r="AM22" s="38">
        <v>1</v>
      </c>
      <c r="AN22" s="38">
        <v>1</v>
      </c>
      <c r="AO22" s="38">
        <v>1</v>
      </c>
      <c r="AP22" s="38">
        <v>1</v>
      </c>
      <c r="AQ22" s="38">
        <v>1</v>
      </c>
      <c r="AR22" s="38">
        <v>1</v>
      </c>
      <c r="AS22" s="38">
        <v>1</v>
      </c>
      <c r="AT22" s="38">
        <v>1</v>
      </c>
      <c r="AU22" s="38">
        <v>1</v>
      </c>
      <c r="AV22" s="38">
        <v>1</v>
      </c>
      <c r="AW22" s="38">
        <v>1</v>
      </c>
      <c r="AX22" s="38">
        <v>1</v>
      </c>
      <c r="AY22" s="38">
        <v>1</v>
      </c>
      <c r="AZ22" s="38">
        <v>1</v>
      </c>
      <c r="BA22" s="38">
        <v>1</v>
      </c>
      <c r="BB22" s="38">
        <v>1</v>
      </c>
      <c r="BC22" s="38">
        <v>1</v>
      </c>
      <c r="BD22" s="38">
        <v>1</v>
      </c>
      <c r="BE22" s="38">
        <v>1</v>
      </c>
      <c r="BF22" s="38">
        <v>1</v>
      </c>
      <c r="BG22" s="38">
        <v>1</v>
      </c>
      <c r="BH22" s="38">
        <v>1</v>
      </c>
      <c r="BI22" s="38">
        <v>1</v>
      </c>
      <c r="BJ22" s="38">
        <v>1</v>
      </c>
      <c r="BK22" s="38">
        <v>1</v>
      </c>
      <c r="BL22" s="38">
        <v>1</v>
      </c>
      <c r="BM22" s="38">
        <v>1</v>
      </c>
      <c r="BN22" s="38">
        <v>1</v>
      </c>
      <c r="BO22" s="38">
        <v>1</v>
      </c>
      <c r="BP22" s="38">
        <v>1</v>
      </c>
      <c r="BQ22" s="38">
        <v>1</v>
      </c>
      <c r="BR22" s="38">
        <v>1</v>
      </c>
      <c r="BS22" s="38">
        <v>1</v>
      </c>
      <c r="BT22" s="38">
        <v>1</v>
      </c>
      <c r="BU22" s="38">
        <v>1</v>
      </c>
      <c r="BV22" s="38">
        <v>1</v>
      </c>
      <c r="BW22" s="38">
        <v>1</v>
      </c>
      <c r="BX22" s="38">
        <v>1</v>
      </c>
      <c r="BY22" s="38">
        <v>1</v>
      </c>
      <c r="BZ22" s="38">
        <v>1</v>
      </c>
      <c r="CA22" s="38">
        <v>1</v>
      </c>
      <c r="CB22" s="38">
        <v>1</v>
      </c>
      <c r="CC22" s="38">
        <v>1</v>
      </c>
      <c r="CD22" s="38">
        <v>1</v>
      </c>
      <c r="CE22" s="38">
        <v>1</v>
      </c>
      <c r="CF22" s="38">
        <v>1</v>
      </c>
      <c r="CG22" s="38">
        <v>1</v>
      </c>
      <c r="CH22" s="38">
        <v>1</v>
      </c>
      <c r="CI22" s="38">
        <v>1</v>
      </c>
      <c r="CJ22" s="38">
        <v>1</v>
      </c>
      <c r="CK22" s="38">
        <v>1</v>
      </c>
      <c r="CL22" s="38">
        <v>1</v>
      </c>
      <c r="CM22" s="38">
        <v>1</v>
      </c>
      <c r="CN22" s="38">
        <v>1</v>
      </c>
      <c r="CO22" s="38">
        <v>1</v>
      </c>
      <c r="CP22" s="38">
        <v>1</v>
      </c>
      <c r="CQ22" s="38">
        <v>1</v>
      </c>
      <c r="CR22" s="38">
        <v>1</v>
      </c>
      <c r="CS22" s="38">
        <v>1</v>
      </c>
      <c r="CT22" s="38">
        <v>1</v>
      </c>
      <c r="CU22" s="38">
        <v>1</v>
      </c>
      <c r="CV22" s="38">
        <v>1</v>
      </c>
      <c r="CW22" s="38">
        <v>1</v>
      </c>
      <c r="CX22" s="38">
        <v>1</v>
      </c>
      <c r="CY22" s="38">
        <v>1</v>
      </c>
      <c r="CZ22" s="38">
        <v>1</v>
      </c>
      <c r="DA22" s="38">
        <v>1</v>
      </c>
      <c r="DB22" s="38">
        <v>1</v>
      </c>
      <c r="DC22" s="38">
        <v>1</v>
      </c>
      <c r="DD22" s="38">
        <v>1</v>
      </c>
      <c r="DE22" s="38">
        <v>1</v>
      </c>
      <c r="DF22" s="38">
        <v>1</v>
      </c>
      <c r="DG22" s="38">
        <v>1</v>
      </c>
      <c r="DH22" s="38">
        <v>1</v>
      </c>
      <c r="DI22" s="38">
        <v>1</v>
      </c>
      <c r="DJ22" s="38">
        <v>1</v>
      </c>
      <c r="DK22" s="38">
        <v>1</v>
      </c>
      <c r="DL22" s="38">
        <v>1</v>
      </c>
      <c r="DM22" s="38">
        <v>1</v>
      </c>
      <c r="DN22" s="38">
        <v>1</v>
      </c>
      <c r="DO22" s="38">
        <v>1</v>
      </c>
      <c r="DP22" s="38">
        <v>1</v>
      </c>
      <c r="DQ22" s="38">
        <v>1</v>
      </c>
      <c r="DR22" s="38">
        <v>1</v>
      </c>
      <c r="DS22" s="38">
        <v>1</v>
      </c>
      <c r="DT22" s="38">
        <v>1</v>
      </c>
      <c r="DU22" s="38">
        <v>1</v>
      </c>
      <c r="DV22" s="38">
        <v>1</v>
      </c>
      <c r="DW22" s="38">
        <v>1</v>
      </c>
      <c r="DX22" s="38">
        <v>1</v>
      </c>
      <c r="DY22" s="38">
        <v>1</v>
      </c>
      <c r="DZ22" s="38">
        <v>1</v>
      </c>
      <c r="EA22" s="38">
        <v>1</v>
      </c>
      <c r="EB22" s="38">
        <v>1</v>
      </c>
      <c r="EC22" s="38">
        <v>1</v>
      </c>
      <c r="ED22" s="38">
        <v>1</v>
      </c>
      <c r="EE22" s="38">
        <v>1</v>
      </c>
      <c r="EF22" s="38">
        <v>1</v>
      </c>
      <c r="EG22" s="38">
        <v>1</v>
      </c>
      <c r="EH22" s="38">
        <v>1</v>
      </c>
      <c r="EI22" s="38">
        <v>1</v>
      </c>
      <c r="EJ22" s="38">
        <v>1</v>
      </c>
      <c r="EK22" s="38">
        <v>1</v>
      </c>
      <c r="EL22" s="38">
        <v>1</v>
      </c>
      <c r="EM22" s="38">
        <v>1</v>
      </c>
      <c r="EN22" s="38">
        <v>1</v>
      </c>
      <c r="EO22" s="38">
        <v>1</v>
      </c>
      <c r="EP22" s="38">
        <v>1</v>
      </c>
      <c r="EQ22" s="38">
        <v>1</v>
      </c>
      <c r="ER22" s="38">
        <v>1</v>
      </c>
      <c r="ES22" s="38">
        <v>1</v>
      </c>
      <c r="ET22" s="38">
        <v>1</v>
      </c>
      <c r="EU22" s="38">
        <v>1</v>
      </c>
      <c r="EV22" s="38">
        <v>1</v>
      </c>
      <c r="EW22" s="38">
        <v>1</v>
      </c>
      <c r="EX22" s="38">
        <v>1</v>
      </c>
      <c r="EY22" s="38">
        <v>1</v>
      </c>
      <c r="EZ22" s="38">
        <v>1</v>
      </c>
      <c r="FA22" s="38">
        <v>1</v>
      </c>
      <c r="FB22" s="38">
        <v>1</v>
      </c>
      <c r="FC22" s="38">
        <v>1</v>
      </c>
      <c r="FD22" s="38">
        <v>1</v>
      </c>
      <c r="FE22" s="38">
        <v>1</v>
      </c>
      <c r="FF22" s="38">
        <v>1</v>
      </c>
      <c r="FG22" s="38">
        <v>1</v>
      </c>
      <c r="FH22" s="38">
        <v>1</v>
      </c>
      <c r="FI22" s="38">
        <v>1</v>
      </c>
      <c r="FJ22" s="38">
        <v>1</v>
      </c>
      <c r="FK22" s="38">
        <v>1</v>
      </c>
      <c r="FL22" s="38">
        <v>1</v>
      </c>
      <c r="FM22" s="38">
        <v>1</v>
      </c>
      <c r="FN22" s="38">
        <v>1</v>
      </c>
      <c r="FO22" s="38">
        <v>1</v>
      </c>
      <c r="FP22" s="38">
        <v>1</v>
      </c>
      <c r="FQ22" s="38">
        <v>1</v>
      </c>
      <c r="FR22" s="38">
        <v>1</v>
      </c>
      <c r="FS22" s="38">
        <v>1</v>
      </c>
      <c r="FT22" s="38">
        <v>1</v>
      </c>
      <c r="FU22" s="38">
        <v>1</v>
      </c>
      <c r="FV22" s="38">
        <v>1</v>
      </c>
      <c r="FW22" s="38">
        <v>1</v>
      </c>
      <c r="FX22" s="38">
        <v>1</v>
      </c>
      <c r="FY22" s="38">
        <v>1</v>
      </c>
      <c r="FZ22" s="38">
        <v>1</v>
      </c>
      <c r="GA22" s="38">
        <v>1</v>
      </c>
      <c r="GB22" s="38">
        <v>1</v>
      </c>
      <c r="GC22" s="38">
        <v>1</v>
      </c>
      <c r="GD22" s="38">
        <v>1</v>
      </c>
      <c r="GE22" s="38">
        <v>1</v>
      </c>
      <c r="GF22" s="38">
        <v>1</v>
      </c>
      <c r="GG22" s="38">
        <v>1</v>
      </c>
      <c r="GH22" s="38">
        <v>1</v>
      </c>
      <c r="GI22" s="38">
        <v>1</v>
      </c>
      <c r="GJ22" s="38">
        <v>1</v>
      </c>
      <c r="GK22" s="38">
        <v>1</v>
      </c>
      <c r="GL22" s="38">
        <v>1</v>
      </c>
      <c r="GM22" s="38">
        <v>1</v>
      </c>
      <c r="GN22" s="38">
        <v>1</v>
      </c>
      <c r="GO22" s="38">
        <v>1</v>
      </c>
      <c r="GP22" s="38">
        <v>1</v>
      </c>
      <c r="GQ22" s="38">
        <v>1</v>
      </c>
      <c r="GR22" s="38">
        <v>1</v>
      </c>
      <c r="GS22" s="38">
        <v>1</v>
      </c>
      <c r="GT22" s="38">
        <v>1</v>
      </c>
      <c r="GU22" s="38">
        <v>1</v>
      </c>
      <c r="GV22" s="38">
        <v>1</v>
      </c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43" t="s">
        <v>632</v>
      </c>
      <c r="IE22" s="74" t="s">
        <v>686</v>
      </c>
      <c r="IF22" s="75" t="s">
        <v>687</v>
      </c>
      <c r="IG22" s="38">
        <v>4</v>
      </c>
      <c r="IH22" s="228"/>
    </row>
    <row r="23" spans="1:242">
      <c r="A23" s="7">
        <v>22</v>
      </c>
      <c r="B23" s="7" t="s">
        <v>696</v>
      </c>
      <c r="C23" s="7" t="s">
        <v>697</v>
      </c>
      <c r="D23" s="9" t="s">
        <v>684</v>
      </c>
      <c r="E23" s="6">
        <v>45950</v>
      </c>
      <c r="F23" s="7" t="s">
        <v>612</v>
      </c>
      <c r="G23" s="7" t="s">
        <v>627</v>
      </c>
      <c r="H23" s="30" t="s">
        <v>233</v>
      </c>
      <c r="I23" s="4" t="s">
        <v>86</v>
      </c>
      <c r="J23" s="31" t="s">
        <v>698</v>
      </c>
      <c r="K23" s="4" t="s">
        <v>605</v>
      </c>
      <c r="L23" s="4" t="s">
        <v>606</v>
      </c>
      <c r="M23" s="2">
        <v>0</v>
      </c>
      <c r="N23" s="10">
        <v>1</v>
      </c>
      <c r="O23" s="10"/>
      <c r="P23" s="10"/>
      <c r="Q23" s="10">
        <f t="shared" si="0"/>
        <v>3</v>
      </c>
      <c r="R23" s="10">
        <v>1</v>
      </c>
      <c r="S23" s="10">
        <v>1</v>
      </c>
      <c r="T23" s="10">
        <v>1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32">
        <v>45953</v>
      </c>
      <c r="IE23" s="5" t="s">
        <v>699</v>
      </c>
      <c r="IF23" s="33" t="s">
        <v>608</v>
      </c>
      <c r="IG23" s="2" t="s">
        <v>117</v>
      </c>
      <c r="IH23" s="228"/>
    </row>
    <row r="24" spans="1:242" s="46" customFormat="1">
      <c r="A24" s="34">
        <v>23</v>
      </c>
      <c r="B24" s="34" t="s">
        <v>700</v>
      </c>
      <c r="C24" s="34" t="s">
        <v>683</v>
      </c>
      <c r="D24" s="35" t="s">
        <v>684</v>
      </c>
      <c r="E24" s="36">
        <v>45950</v>
      </c>
      <c r="F24" s="34" t="s">
        <v>612</v>
      </c>
      <c r="G24" s="34" t="s">
        <v>603</v>
      </c>
      <c r="H24" s="37" t="s">
        <v>233</v>
      </c>
      <c r="I24" s="38" t="s">
        <v>86</v>
      </c>
      <c r="J24" s="60" t="s">
        <v>701</v>
      </c>
      <c r="K24" s="38" t="s">
        <v>632</v>
      </c>
      <c r="L24" s="38" t="s">
        <v>633</v>
      </c>
      <c r="M24" s="40">
        <v>1</v>
      </c>
      <c r="N24" s="38">
        <v>0</v>
      </c>
      <c r="O24" s="41" t="s">
        <v>668</v>
      </c>
      <c r="P24" s="61" t="b">
        <v>1</v>
      </c>
      <c r="Q24" s="40">
        <f>SUM(R24:GO24)</f>
        <v>180</v>
      </c>
      <c r="R24" s="38">
        <v>1</v>
      </c>
      <c r="S24" s="38">
        <v>1</v>
      </c>
      <c r="T24" s="38">
        <v>1</v>
      </c>
      <c r="U24" s="38">
        <v>1</v>
      </c>
      <c r="V24" s="38">
        <v>1</v>
      </c>
      <c r="W24" s="38">
        <v>1</v>
      </c>
      <c r="X24" s="38">
        <v>1</v>
      </c>
      <c r="Y24" s="38">
        <v>1</v>
      </c>
      <c r="Z24" s="38">
        <v>1</v>
      </c>
      <c r="AA24" s="38">
        <v>1</v>
      </c>
      <c r="AB24" s="38">
        <v>1</v>
      </c>
      <c r="AC24" s="38">
        <v>1</v>
      </c>
      <c r="AD24" s="38">
        <v>1</v>
      </c>
      <c r="AE24" s="38">
        <v>1</v>
      </c>
      <c r="AF24" s="38">
        <v>1</v>
      </c>
      <c r="AG24" s="38">
        <v>1</v>
      </c>
      <c r="AH24" s="38">
        <v>1</v>
      </c>
      <c r="AI24" s="38">
        <v>1</v>
      </c>
      <c r="AJ24" s="38">
        <v>1</v>
      </c>
      <c r="AK24" s="38">
        <v>1</v>
      </c>
      <c r="AL24" s="38">
        <v>1</v>
      </c>
      <c r="AM24" s="38">
        <v>1</v>
      </c>
      <c r="AN24" s="38">
        <v>1</v>
      </c>
      <c r="AO24" s="38">
        <v>1</v>
      </c>
      <c r="AP24" s="38">
        <v>1</v>
      </c>
      <c r="AQ24" s="38">
        <v>1</v>
      </c>
      <c r="AR24" s="38">
        <v>1</v>
      </c>
      <c r="AS24" s="38">
        <v>1</v>
      </c>
      <c r="AT24" s="38">
        <v>1</v>
      </c>
      <c r="AU24" s="38">
        <v>1</v>
      </c>
      <c r="AV24" s="38">
        <v>1</v>
      </c>
      <c r="AW24" s="38">
        <v>1</v>
      </c>
      <c r="AX24" s="38">
        <v>1</v>
      </c>
      <c r="AY24" s="38">
        <v>1</v>
      </c>
      <c r="AZ24" s="38">
        <v>1</v>
      </c>
      <c r="BA24" s="38">
        <v>1</v>
      </c>
      <c r="BB24" s="38">
        <v>1</v>
      </c>
      <c r="BC24" s="38">
        <v>1</v>
      </c>
      <c r="BD24" s="38">
        <v>1</v>
      </c>
      <c r="BE24" s="38">
        <v>1</v>
      </c>
      <c r="BF24" s="38">
        <v>1</v>
      </c>
      <c r="BG24" s="38">
        <v>1</v>
      </c>
      <c r="BH24" s="38">
        <v>1</v>
      </c>
      <c r="BI24" s="38">
        <v>1</v>
      </c>
      <c r="BJ24" s="38">
        <v>1</v>
      </c>
      <c r="BK24" s="38">
        <v>1</v>
      </c>
      <c r="BL24" s="38">
        <v>1</v>
      </c>
      <c r="BM24" s="38">
        <v>1</v>
      </c>
      <c r="BN24" s="38">
        <v>1</v>
      </c>
      <c r="BO24" s="38">
        <v>1</v>
      </c>
      <c r="BP24" s="38">
        <v>1</v>
      </c>
      <c r="BQ24" s="38">
        <v>1</v>
      </c>
      <c r="BR24" s="38">
        <v>1</v>
      </c>
      <c r="BS24" s="38">
        <v>1</v>
      </c>
      <c r="BT24" s="38">
        <v>1</v>
      </c>
      <c r="BU24" s="38">
        <v>1</v>
      </c>
      <c r="BV24" s="38">
        <v>1</v>
      </c>
      <c r="BW24" s="38">
        <v>1</v>
      </c>
      <c r="BX24" s="38">
        <v>1</v>
      </c>
      <c r="BY24" s="38">
        <v>1</v>
      </c>
      <c r="BZ24" s="38">
        <v>1</v>
      </c>
      <c r="CA24" s="38">
        <v>1</v>
      </c>
      <c r="CB24" s="38">
        <v>1</v>
      </c>
      <c r="CC24" s="38">
        <v>1</v>
      </c>
      <c r="CD24" s="38">
        <v>1</v>
      </c>
      <c r="CE24" s="38">
        <v>1</v>
      </c>
      <c r="CF24" s="38">
        <v>1</v>
      </c>
      <c r="CG24" s="38">
        <v>1</v>
      </c>
      <c r="CH24" s="38">
        <v>1</v>
      </c>
      <c r="CI24" s="38">
        <v>1</v>
      </c>
      <c r="CJ24" s="38">
        <v>1</v>
      </c>
      <c r="CK24" s="38">
        <v>1</v>
      </c>
      <c r="CL24" s="38">
        <v>1</v>
      </c>
      <c r="CM24" s="38">
        <v>1</v>
      </c>
      <c r="CN24" s="38">
        <v>1</v>
      </c>
      <c r="CO24" s="38">
        <v>1</v>
      </c>
      <c r="CP24" s="38">
        <v>1</v>
      </c>
      <c r="CQ24" s="38">
        <v>1</v>
      </c>
      <c r="CR24" s="38">
        <v>1</v>
      </c>
      <c r="CS24" s="38">
        <v>1</v>
      </c>
      <c r="CT24" s="38">
        <v>1</v>
      </c>
      <c r="CU24" s="38">
        <v>1</v>
      </c>
      <c r="CV24" s="38">
        <v>1</v>
      </c>
      <c r="CW24" s="38">
        <v>1</v>
      </c>
      <c r="CX24" s="38">
        <v>1</v>
      </c>
      <c r="CY24" s="38">
        <v>1</v>
      </c>
      <c r="CZ24" s="38">
        <v>1</v>
      </c>
      <c r="DA24" s="38">
        <v>1</v>
      </c>
      <c r="DB24" s="38">
        <v>1</v>
      </c>
      <c r="DC24" s="38">
        <v>1</v>
      </c>
      <c r="DD24" s="38">
        <v>1</v>
      </c>
      <c r="DE24" s="38">
        <v>1</v>
      </c>
      <c r="DF24" s="38">
        <v>1</v>
      </c>
      <c r="DG24" s="38">
        <v>1</v>
      </c>
      <c r="DH24" s="38">
        <v>1</v>
      </c>
      <c r="DI24" s="38">
        <v>1</v>
      </c>
      <c r="DJ24" s="38">
        <v>1</v>
      </c>
      <c r="DK24" s="38">
        <v>1</v>
      </c>
      <c r="DL24" s="38">
        <v>1</v>
      </c>
      <c r="DM24" s="38">
        <v>1</v>
      </c>
      <c r="DN24" s="38">
        <v>1</v>
      </c>
      <c r="DO24" s="38">
        <v>1</v>
      </c>
      <c r="DP24" s="38">
        <v>1</v>
      </c>
      <c r="DQ24" s="38">
        <v>1</v>
      </c>
      <c r="DR24" s="38">
        <v>1</v>
      </c>
      <c r="DS24" s="38">
        <v>1</v>
      </c>
      <c r="DT24" s="38">
        <v>1</v>
      </c>
      <c r="DU24" s="38">
        <v>1</v>
      </c>
      <c r="DV24" s="38">
        <v>1</v>
      </c>
      <c r="DW24" s="38">
        <v>1</v>
      </c>
      <c r="DX24" s="38">
        <v>1</v>
      </c>
      <c r="DY24" s="38">
        <v>1</v>
      </c>
      <c r="DZ24" s="38">
        <v>1</v>
      </c>
      <c r="EA24" s="38">
        <v>1</v>
      </c>
      <c r="EB24" s="38">
        <v>1</v>
      </c>
      <c r="EC24" s="38">
        <v>1</v>
      </c>
      <c r="ED24" s="38">
        <v>1</v>
      </c>
      <c r="EE24" s="38">
        <v>1</v>
      </c>
      <c r="EF24" s="38">
        <v>1</v>
      </c>
      <c r="EG24" s="38">
        <v>1</v>
      </c>
      <c r="EH24" s="38">
        <v>1</v>
      </c>
      <c r="EI24" s="38">
        <v>1</v>
      </c>
      <c r="EJ24" s="38">
        <v>1</v>
      </c>
      <c r="EK24" s="38">
        <v>1</v>
      </c>
      <c r="EL24" s="38">
        <v>1</v>
      </c>
      <c r="EM24" s="38">
        <v>1</v>
      </c>
      <c r="EN24" s="38">
        <v>1</v>
      </c>
      <c r="EO24" s="38">
        <v>1</v>
      </c>
      <c r="EP24" s="38">
        <v>1</v>
      </c>
      <c r="EQ24" s="38">
        <v>1</v>
      </c>
      <c r="ER24" s="38">
        <v>1</v>
      </c>
      <c r="ES24" s="38">
        <v>1</v>
      </c>
      <c r="ET24" s="38">
        <v>1</v>
      </c>
      <c r="EU24" s="38">
        <v>1</v>
      </c>
      <c r="EV24" s="38">
        <v>1</v>
      </c>
      <c r="EW24" s="38">
        <v>1</v>
      </c>
      <c r="EX24" s="38">
        <v>1</v>
      </c>
      <c r="EY24" s="38">
        <v>1</v>
      </c>
      <c r="EZ24" s="38">
        <v>1</v>
      </c>
      <c r="FA24" s="38">
        <v>1</v>
      </c>
      <c r="FB24" s="38">
        <v>1</v>
      </c>
      <c r="FC24" s="38">
        <v>1</v>
      </c>
      <c r="FD24" s="38">
        <v>1</v>
      </c>
      <c r="FE24" s="38">
        <v>1</v>
      </c>
      <c r="FF24" s="38">
        <v>1</v>
      </c>
      <c r="FG24" s="38">
        <v>1</v>
      </c>
      <c r="FH24" s="38">
        <v>1</v>
      </c>
      <c r="FI24" s="38">
        <v>1</v>
      </c>
      <c r="FJ24" s="38">
        <v>1</v>
      </c>
      <c r="FK24" s="38">
        <v>1</v>
      </c>
      <c r="FL24" s="38">
        <v>1</v>
      </c>
      <c r="FM24" s="38">
        <v>1</v>
      </c>
      <c r="FN24" s="38">
        <v>1</v>
      </c>
      <c r="FO24" s="38">
        <v>1</v>
      </c>
      <c r="FP24" s="38">
        <v>1</v>
      </c>
      <c r="FQ24" s="38">
        <v>1</v>
      </c>
      <c r="FR24" s="38">
        <v>1</v>
      </c>
      <c r="FS24" s="38">
        <v>1</v>
      </c>
      <c r="FT24" s="38">
        <v>1</v>
      </c>
      <c r="FU24" s="38">
        <v>1</v>
      </c>
      <c r="FV24" s="38">
        <v>1</v>
      </c>
      <c r="FW24" s="38">
        <v>1</v>
      </c>
      <c r="FX24" s="38">
        <v>1</v>
      </c>
      <c r="FY24" s="38">
        <v>1</v>
      </c>
      <c r="FZ24" s="38">
        <v>1</v>
      </c>
      <c r="GA24" s="38">
        <v>1</v>
      </c>
      <c r="GB24" s="38">
        <v>1</v>
      </c>
      <c r="GC24" s="38">
        <v>1</v>
      </c>
      <c r="GD24" s="38">
        <v>1</v>
      </c>
      <c r="GE24" s="38">
        <v>1</v>
      </c>
      <c r="GF24" s="38">
        <v>1</v>
      </c>
      <c r="GG24" s="38">
        <v>1</v>
      </c>
      <c r="GH24" s="38">
        <v>1</v>
      </c>
      <c r="GI24" s="38">
        <v>1</v>
      </c>
      <c r="GJ24" s="38">
        <v>1</v>
      </c>
      <c r="GK24" s="38">
        <v>1</v>
      </c>
      <c r="GL24" s="38">
        <v>1</v>
      </c>
      <c r="GM24" s="38">
        <v>1</v>
      </c>
      <c r="GN24" s="38">
        <v>1</v>
      </c>
      <c r="GO24" s="38">
        <v>1</v>
      </c>
      <c r="GP24" s="38">
        <v>1</v>
      </c>
      <c r="GQ24" s="38">
        <v>1</v>
      </c>
      <c r="GR24" s="38">
        <v>1</v>
      </c>
      <c r="GS24" s="38">
        <v>1</v>
      </c>
      <c r="GT24" s="38">
        <v>1</v>
      </c>
      <c r="GU24" s="38">
        <v>1</v>
      </c>
      <c r="GV24" s="38">
        <v>1</v>
      </c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43" t="s">
        <v>632</v>
      </c>
      <c r="IE24" s="74" t="s">
        <v>686</v>
      </c>
      <c r="IF24" s="75" t="s">
        <v>687</v>
      </c>
      <c r="IG24" s="38">
        <v>4</v>
      </c>
      <c r="IH24" s="228"/>
    </row>
    <row r="25" spans="1:242" s="58" customFormat="1">
      <c r="A25" s="47">
        <v>24</v>
      </c>
      <c r="B25" s="47"/>
      <c r="C25" s="47" t="s">
        <v>702</v>
      </c>
      <c r="D25" s="48" t="s">
        <v>703</v>
      </c>
      <c r="E25" s="49">
        <v>45952</v>
      </c>
      <c r="F25" s="47" t="s">
        <v>612</v>
      </c>
      <c r="G25" s="47" t="s">
        <v>704</v>
      </c>
      <c r="H25" s="50" t="s">
        <v>254</v>
      </c>
      <c r="I25" s="51" t="s">
        <v>88</v>
      </c>
      <c r="J25" s="50" t="s">
        <v>705</v>
      </c>
      <c r="K25" s="51" t="s">
        <v>648</v>
      </c>
      <c r="L25" s="51"/>
      <c r="M25" s="53">
        <v>1</v>
      </c>
      <c r="N25" s="52">
        <v>0</v>
      </c>
      <c r="O25" s="52"/>
      <c r="P25" s="54" t="b">
        <v>0</v>
      </c>
      <c r="Q25" s="53">
        <f t="shared" si="0"/>
        <v>7</v>
      </c>
      <c r="R25" s="52">
        <v>1</v>
      </c>
      <c r="S25" s="52">
        <v>1</v>
      </c>
      <c r="T25" s="52">
        <v>1</v>
      </c>
      <c r="U25" s="52">
        <v>1</v>
      </c>
      <c r="V25" s="52">
        <v>1</v>
      </c>
      <c r="W25" s="52">
        <v>1</v>
      </c>
      <c r="X25" s="52">
        <v>1</v>
      </c>
      <c r="Y25" s="52">
        <v>0</v>
      </c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73" t="s">
        <v>117</v>
      </c>
      <c r="IE25" s="56" t="s">
        <v>706</v>
      </c>
      <c r="IF25" s="57" t="s">
        <v>650</v>
      </c>
      <c r="IG25" s="52" t="s">
        <v>117</v>
      </c>
      <c r="IH25" s="52"/>
    </row>
    <row r="26" spans="1:242" s="46" customFormat="1">
      <c r="A26" s="34">
        <v>25</v>
      </c>
      <c r="B26" s="34" t="s">
        <v>707</v>
      </c>
      <c r="C26" s="34" t="s">
        <v>708</v>
      </c>
      <c r="D26" s="35" t="s">
        <v>709</v>
      </c>
      <c r="E26" s="76">
        <v>45960</v>
      </c>
      <c r="F26" s="34" t="s">
        <v>612</v>
      </c>
      <c r="G26" s="34" t="s">
        <v>646</v>
      </c>
      <c r="H26" s="59" t="s">
        <v>298</v>
      </c>
      <c r="I26" s="38" t="s">
        <v>50</v>
      </c>
      <c r="J26" s="60" t="s">
        <v>710</v>
      </c>
      <c r="K26" s="38" t="s">
        <v>632</v>
      </c>
      <c r="L26" s="38" t="s">
        <v>633</v>
      </c>
      <c r="M26" s="40">
        <v>1</v>
      </c>
      <c r="N26" s="38">
        <v>0</v>
      </c>
      <c r="O26" s="41" t="s">
        <v>634</v>
      </c>
      <c r="P26" s="61" t="b">
        <v>1</v>
      </c>
      <c r="Q26" s="40">
        <f>SUM(R26:IC26)</f>
        <v>177</v>
      </c>
      <c r="R26" s="38">
        <v>1</v>
      </c>
      <c r="S26" s="38">
        <v>1</v>
      </c>
      <c r="T26" s="38">
        <v>1</v>
      </c>
      <c r="U26" s="38">
        <v>1</v>
      </c>
      <c r="V26" s="38">
        <v>1</v>
      </c>
      <c r="W26" s="38">
        <v>1</v>
      </c>
      <c r="X26" s="38">
        <v>1</v>
      </c>
      <c r="Y26" s="38">
        <v>1</v>
      </c>
      <c r="Z26" s="38">
        <v>1</v>
      </c>
      <c r="AA26" s="38">
        <v>1</v>
      </c>
      <c r="AB26" s="38">
        <v>1</v>
      </c>
      <c r="AC26" s="38">
        <v>1</v>
      </c>
      <c r="AD26" s="38">
        <v>1</v>
      </c>
      <c r="AE26" s="38">
        <v>1</v>
      </c>
      <c r="AF26" s="38">
        <v>1</v>
      </c>
      <c r="AG26" s="38">
        <v>1</v>
      </c>
      <c r="AH26" s="38">
        <v>1</v>
      </c>
      <c r="AI26" s="38">
        <v>1</v>
      </c>
      <c r="AJ26" s="38">
        <v>1</v>
      </c>
      <c r="AK26" s="38">
        <v>1</v>
      </c>
      <c r="AL26" s="38">
        <v>1</v>
      </c>
      <c r="AM26" s="38">
        <v>1</v>
      </c>
      <c r="AN26" s="38">
        <v>1</v>
      </c>
      <c r="AO26" s="38">
        <v>1</v>
      </c>
      <c r="AP26" s="38">
        <v>1</v>
      </c>
      <c r="AQ26" s="38">
        <v>1</v>
      </c>
      <c r="AR26" s="38">
        <v>1</v>
      </c>
      <c r="AS26" s="38">
        <v>1</v>
      </c>
      <c r="AT26" s="38">
        <v>1</v>
      </c>
      <c r="AU26" s="38">
        <v>1</v>
      </c>
      <c r="AV26" s="38">
        <v>1</v>
      </c>
      <c r="AW26" s="38">
        <v>1</v>
      </c>
      <c r="AX26" s="38">
        <v>1</v>
      </c>
      <c r="AY26" s="38">
        <v>1</v>
      </c>
      <c r="AZ26" s="38">
        <v>1</v>
      </c>
      <c r="BA26" s="38">
        <v>1</v>
      </c>
      <c r="BB26" s="38">
        <v>1</v>
      </c>
      <c r="BC26" s="38">
        <v>1</v>
      </c>
      <c r="BD26" s="38">
        <v>1</v>
      </c>
      <c r="BE26" s="38">
        <v>1</v>
      </c>
      <c r="BF26" s="38">
        <v>1</v>
      </c>
      <c r="BG26" s="38">
        <v>1</v>
      </c>
      <c r="BH26" s="38">
        <v>1</v>
      </c>
      <c r="BI26" s="38">
        <v>1</v>
      </c>
      <c r="BJ26" s="38">
        <v>1</v>
      </c>
      <c r="BK26" s="38">
        <v>1</v>
      </c>
      <c r="BL26" s="38">
        <v>1</v>
      </c>
      <c r="BM26" s="38">
        <v>1</v>
      </c>
      <c r="BN26" s="38">
        <v>1</v>
      </c>
      <c r="BO26" s="38">
        <v>1</v>
      </c>
      <c r="BP26" s="38">
        <v>1</v>
      </c>
      <c r="BQ26" s="38">
        <v>1</v>
      </c>
      <c r="BR26" s="38">
        <v>1</v>
      </c>
      <c r="BS26" s="38">
        <v>1</v>
      </c>
      <c r="BT26" s="38">
        <v>1</v>
      </c>
      <c r="BU26" s="38">
        <v>1</v>
      </c>
      <c r="BV26" s="38">
        <v>1</v>
      </c>
      <c r="BW26" s="38">
        <v>1</v>
      </c>
      <c r="BX26" s="38">
        <v>1</v>
      </c>
      <c r="BY26" s="38">
        <v>1</v>
      </c>
      <c r="BZ26" s="38">
        <v>1</v>
      </c>
      <c r="CA26" s="38">
        <v>1</v>
      </c>
      <c r="CB26" s="38">
        <v>1</v>
      </c>
      <c r="CC26" s="38">
        <v>1</v>
      </c>
      <c r="CD26" s="38">
        <v>1</v>
      </c>
      <c r="CE26" s="38">
        <v>1</v>
      </c>
      <c r="CF26" s="38">
        <v>1</v>
      </c>
      <c r="CG26" s="38">
        <v>1</v>
      </c>
      <c r="CH26" s="38">
        <v>1</v>
      </c>
      <c r="CI26" s="38">
        <v>1</v>
      </c>
      <c r="CJ26" s="38">
        <v>1</v>
      </c>
      <c r="CK26" s="38">
        <v>1</v>
      </c>
      <c r="CL26" s="38">
        <v>1</v>
      </c>
      <c r="CM26" s="38">
        <v>1</v>
      </c>
      <c r="CN26" s="38">
        <v>1</v>
      </c>
      <c r="CO26" s="38">
        <v>1</v>
      </c>
      <c r="CP26" s="38">
        <v>1</v>
      </c>
      <c r="CQ26" s="38">
        <v>1</v>
      </c>
      <c r="CR26" s="38">
        <v>1</v>
      </c>
      <c r="CS26" s="38">
        <v>1</v>
      </c>
      <c r="CT26" s="38">
        <v>1</v>
      </c>
      <c r="CU26" s="38">
        <v>1</v>
      </c>
      <c r="CV26" s="38">
        <v>1</v>
      </c>
      <c r="CW26" s="38">
        <v>1</v>
      </c>
      <c r="CX26" s="38">
        <v>1</v>
      </c>
      <c r="CY26" s="38">
        <v>1</v>
      </c>
      <c r="CZ26" s="38">
        <v>1</v>
      </c>
      <c r="DA26" s="38">
        <v>1</v>
      </c>
      <c r="DB26" s="38">
        <v>1</v>
      </c>
      <c r="DC26" s="38">
        <v>1</v>
      </c>
      <c r="DD26" s="38">
        <v>1</v>
      </c>
      <c r="DE26" s="38">
        <v>1</v>
      </c>
      <c r="DF26" s="38">
        <v>1</v>
      </c>
      <c r="DG26" s="38">
        <v>1</v>
      </c>
      <c r="DH26" s="38">
        <v>1</v>
      </c>
      <c r="DI26" s="38">
        <v>1</v>
      </c>
      <c r="DJ26" s="38">
        <v>1</v>
      </c>
      <c r="DK26" s="38">
        <v>1</v>
      </c>
      <c r="DL26" s="38">
        <v>1</v>
      </c>
      <c r="DM26" s="38">
        <v>1</v>
      </c>
      <c r="DN26" s="38">
        <v>1</v>
      </c>
      <c r="DO26" s="38">
        <v>1</v>
      </c>
      <c r="DP26" s="38">
        <v>1</v>
      </c>
      <c r="DQ26" s="38">
        <v>1</v>
      </c>
      <c r="DR26" s="38">
        <v>1</v>
      </c>
      <c r="DS26" s="38">
        <v>1</v>
      </c>
      <c r="DT26" s="38">
        <v>1</v>
      </c>
      <c r="DU26" s="38">
        <v>1</v>
      </c>
      <c r="DV26" s="38">
        <v>1</v>
      </c>
      <c r="DW26" s="38">
        <v>1</v>
      </c>
      <c r="DX26" s="38">
        <v>1</v>
      </c>
      <c r="DY26" s="38">
        <v>1</v>
      </c>
      <c r="DZ26" s="38">
        <v>1</v>
      </c>
      <c r="EA26" s="38">
        <v>1</v>
      </c>
      <c r="EB26" s="38">
        <v>1</v>
      </c>
      <c r="EC26" s="38">
        <v>1</v>
      </c>
      <c r="ED26" s="38">
        <v>1</v>
      </c>
      <c r="EE26" s="38">
        <v>1</v>
      </c>
      <c r="EF26" s="38">
        <v>1</v>
      </c>
      <c r="EG26" s="38">
        <v>1</v>
      </c>
      <c r="EH26" s="38">
        <v>1</v>
      </c>
      <c r="EI26" s="38">
        <v>1</v>
      </c>
      <c r="EJ26" s="38">
        <v>1</v>
      </c>
      <c r="EK26" s="38">
        <v>1</v>
      </c>
      <c r="EL26" s="38">
        <v>1</v>
      </c>
      <c r="EM26" s="38">
        <v>1</v>
      </c>
      <c r="EN26" s="38">
        <v>1</v>
      </c>
      <c r="EO26" s="38">
        <v>1</v>
      </c>
      <c r="EP26" s="38">
        <v>1</v>
      </c>
      <c r="EQ26" s="38">
        <v>1</v>
      </c>
      <c r="ER26" s="38">
        <v>1</v>
      </c>
      <c r="ES26" s="38">
        <v>1</v>
      </c>
      <c r="ET26" s="38">
        <v>1</v>
      </c>
      <c r="EU26" s="38">
        <v>1</v>
      </c>
      <c r="EV26" s="38">
        <v>1</v>
      </c>
      <c r="EW26" s="38">
        <v>1</v>
      </c>
      <c r="EX26" s="38">
        <v>1</v>
      </c>
      <c r="EY26" s="38">
        <v>1</v>
      </c>
      <c r="EZ26" s="38">
        <v>1</v>
      </c>
      <c r="FA26" s="38">
        <v>1</v>
      </c>
      <c r="FB26" s="38">
        <v>1</v>
      </c>
      <c r="FC26" s="38">
        <v>1</v>
      </c>
      <c r="FD26" s="38">
        <v>1</v>
      </c>
      <c r="FE26" s="38">
        <v>1</v>
      </c>
      <c r="FF26" s="38">
        <v>1</v>
      </c>
      <c r="FG26" s="38">
        <v>1</v>
      </c>
      <c r="FH26" s="38">
        <v>1</v>
      </c>
      <c r="FI26" s="38">
        <v>1</v>
      </c>
      <c r="FJ26" s="38">
        <v>1</v>
      </c>
      <c r="FK26" s="38">
        <v>1</v>
      </c>
      <c r="FL26" s="38">
        <v>1</v>
      </c>
      <c r="FM26" s="38">
        <v>1</v>
      </c>
      <c r="FN26" s="38">
        <v>1</v>
      </c>
      <c r="FO26" s="38">
        <v>1</v>
      </c>
      <c r="FP26" s="38">
        <v>1</v>
      </c>
      <c r="FQ26" s="38">
        <v>1</v>
      </c>
      <c r="FR26" s="38">
        <v>1</v>
      </c>
      <c r="FS26" s="38">
        <v>1</v>
      </c>
      <c r="FT26" s="38">
        <v>1</v>
      </c>
      <c r="FU26" s="38">
        <v>1</v>
      </c>
      <c r="FV26" s="38">
        <v>1</v>
      </c>
      <c r="FW26" s="38">
        <v>1</v>
      </c>
      <c r="FX26" s="38">
        <v>1</v>
      </c>
      <c r="FY26" s="38">
        <v>1</v>
      </c>
      <c r="FZ26" s="38">
        <v>1</v>
      </c>
      <c r="GA26" s="38">
        <v>1</v>
      </c>
      <c r="GB26" s="38">
        <v>1</v>
      </c>
      <c r="GC26" s="38">
        <v>1</v>
      </c>
      <c r="GD26" s="38">
        <v>1</v>
      </c>
      <c r="GE26" s="38">
        <v>1</v>
      </c>
      <c r="GF26" s="38">
        <v>1</v>
      </c>
      <c r="GG26" s="38">
        <v>1</v>
      </c>
      <c r="GH26" s="38">
        <v>1</v>
      </c>
      <c r="GI26" s="38">
        <v>1</v>
      </c>
      <c r="GJ26" s="38">
        <v>1</v>
      </c>
      <c r="GK26" s="38">
        <v>1</v>
      </c>
      <c r="GL26" s="38">
        <v>1</v>
      </c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43" t="s">
        <v>632</v>
      </c>
      <c r="IE26" s="74" t="s">
        <v>686</v>
      </c>
      <c r="IF26" s="75" t="s">
        <v>711</v>
      </c>
      <c r="IG26" s="38">
        <v>5</v>
      </c>
      <c r="IH26" s="38"/>
    </row>
    <row r="27" spans="1:242">
      <c r="A27" s="7">
        <v>26</v>
      </c>
      <c r="B27" s="7" t="s">
        <v>712</v>
      </c>
      <c r="C27" s="7" t="s">
        <v>708</v>
      </c>
      <c r="D27" s="9" t="s">
        <v>713</v>
      </c>
      <c r="E27" s="32">
        <v>45964</v>
      </c>
      <c r="F27" s="7" t="s">
        <v>612</v>
      </c>
      <c r="G27" s="7" t="s">
        <v>646</v>
      </c>
      <c r="H27" s="31" t="s">
        <v>308</v>
      </c>
      <c r="I27" s="4" t="s">
        <v>50</v>
      </c>
      <c r="J27" s="31" t="s">
        <v>714</v>
      </c>
      <c r="K27" s="4" t="s">
        <v>605</v>
      </c>
      <c r="L27" s="4" t="s">
        <v>606</v>
      </c>
      <c r="M27" s="2">
        <v>0</v>
      </c>
      <c r="N27" s="10">
        <v>1</v>
      </c>
      <c r="O27" s="10"/>
      <c r="P27" s="10"/>
      <c r="Q27" s="10">
        <f t="shared" si="0"/>
        <v>6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10">
        <v>1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32">
        <v>45970</v>
      </c>
      <c r="IE27" s="5" t="s">
        <v>715</v>
      </c>
      <c r="IF27" s="2" t="s">
        <v>608</v>
      </c>
      <c r="IG27" s="2" t="s">
        <v>117</v>
      </c>
      <c r="IH27" s="2"/>
    </row>
    <row r="28" spans="1:242" s="58" customFormat="1">
      <c r="A28" s="47">
        <v>27</v>
      </c>
      <c r="B28" s="47"/>
      <c r="C28" s="47" t="s">
        <v>708</v>
      </c>
      <c r="D28" s="48" t="s">
        <v>713</v>
      </c>
      <c r="E28" s="77">
        <v>45964</v>
      </c>
      <c r="F28" s="47" t="s">
        <v>612</v>
      </c>
      <c r="G28" s="47" t="s">
        <v>646</v>
      </c>
      <c r="H28" s="50" t="s">
        <v>308</v>
      </c>
      <c r="I28" s="51" t="s">
        <v>50</v>
      </c>
      <c r="J28" s="50" t="s">
        <v>716</v>
      </c>
      <c r="K28" s="51" t="s">
        <v>648</v>
      </c>
      <c r="L28" s="51"/>
      <c r="M28" s="53">
        <v>1</v>
      </c>
      <c r="N28" s="52">
        <v>0</v>
      </c>
      <c r="O28" s="52"/>
      <c r="P28" s="54" t="b">
        <v>0</v>
      </c>
      <c r="Q28" s="53">
        <f t="shared" si="0"/>
        <v>4</v>
      </c>
      <c r="R28" s="52">
        <v>1</v>
      </c>
      <c r="S28" s="52">
        <v>1</v>
      </c>
      <c r="T28" s="52">
        <v>1</v>
      </c>
      <c r="U28" s="52">
        <v>1</v>
      </c>
      <c r="V28" s="52">
        <v>0</v>
      </c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FY28" s="52"/>
      <c r="FZ28" s="52"/>
      <c r="GA28" s="52"/>
      <c r="GB28" s="52"/>
      <c r="GC28" s="52"/>
      <c r="GD28" s="52"/>
      <c r="GE28" s="52"/>
      <c r="GF28" s="52"/>
      <c r="GG28" s="52"/>
      <c r="GH28" s="52"/>
      <c r="GI28" s="52"/>
      <c r="GJ28" s="52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2"/>
      <c r="GV28" s="52"/>
      <c r="GW28" s="52"/>
      <c r="GX28" s="52"/>
      <c r="GY28" s="52"/>
      <c r="GZ28" s="52"/>
      <c r="HA28" s="52"/>
      <c r="HB28" s="52"/>
      <c r="HC28" s="52"/>
      <c r="HD28" s="52"/>
      <c r="HE28" s="52"/>
      <c r="HF28" s="52"/>
      <c r="HG28" s="52"/>
      <c r="HH28" s="52"/>
      <c r="HI28" s="52"/>
      <c r="HJ28" s="52"/>
      <c r="HK28" s="52"/>
      <c r="HL28" s="52"/>
      <c r="HM28" s="52"/>
      <c r="HN28" s="52"/>
      <c r="HO28" s="52"/>
      <c r="HP28" s="52"/>
      <c r="HQ28" s="52"/>
      <c r="HR28" s="52"/>
      <c r="HS28" s="52"/>
      <c r="HT28" s="52"/>
      <c r="HU28" s="52"/>
      <c r="HV28" s="52"/>
      <c r="HW28" s="52"/>
      <c r="HX28" s="52"/>
      <c r="HY28" s="52"/>
      <c r="HZ28" s="52"/>
      <c r="IA28" s="52"/>
      <c r="IB28" s="52"/>
      <c r="IC28" s="52"/>
      <c r="ID28" s="73" t="s">
        <v>117</v>
      </c>
      <c r="IE28" s="56" t="s">
        <v>717</v>
      </c>
      <c r="IF28" s="57" t="s">
        <v>650</v>
      </c>
      <c r="IG28" s="52">
        <v>6</v>
      </c>
      <c r="IH28" s="229" t="s">
        <v>718</v>
      </c>
    </row>
    <row r="29" spans="1:242" s="58" customFormat="1">
      <c r="A29" s="47">
        <v>28</v>
      </c>
      <c r="B29" s="47"/>
      <c r="C29" s="47" t="s">
        <v>708</v>
      </c>
      <c r="D29" s="48" t="s">
        <v>713</v>
      </c>
      <c r="E29" s="77">
        <v>45964</v>
      </c>
      <c r="F29" s="47" t="s">
        <v>612</v>
      </c>
      <c r="G29" s="47" t="s">
        <v>646</v>
      </c>
      <c r="H29" s="50" t="s">
        <v>308</v>
      </c>
      <c r="I29" s="51" t="s">
        <v>50</v>
      </c>
      <c r="J29" s="78" t="s">
        <v>719</v>
      </c>
      <c r="K29" s="51" t="s">
        <v>648</v>
      </c>
      <c r="L29" s="51"/>
      <c r="M29" s="53">
        <v>1</v>
      </c>
      <c r="N29" s="52">
        <v>0</v>
      </c>
      <c r="O29" s="52"/>
      <c r="P29" s="54" t="b">
        <v>0</v>
      </c>
      <c r="Q29" s="53">
        <f>SUM(R29:DM29)</f>
        <v>13</v>
      </c>
      <c r="R29" s="52">
        <v>1</v>
      </c>
      <c r="S29" s="52">
        <v>1</v>
      </c>
      <c r="T29" s="52">
        <v>1</v>
      </c>
      <c r="U29" s="52">
        <v>1</v>
      </c>
      <c r="V29" s="52">
        <v>1</v>
      </c>
      <c r="W29" s="52">
        <v>1</v>
      </c>
      <c r="X29" s="52">
        <v>1</v>
      </c>
      <c r="Y29" s="52">
        <v>1</v>
      </c>
      <c r="Z29" s="52">
        <v>1</v>
      </c>
      <c r="AA29" s="52">
        <v>1</v>
      </c>
      <c r="AB29" s="52">
        <v>1</v>
      </c>
      <c r="AC29" s="52">
        <v>1</v>
      </c>
      <c r="AD29" s="52">
        <v>1</v>
      </c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52"/>
      <c r="GZ29" s="52"/>
      <c r="HA29" s="52"/>
      <c r="HB29" s="52"/>
      <c r="HC29" s="52"/>
      <c r="HD29" s="52"/>
      <c r="HE29" s="52"/>
      <c r="HF29" s="52"/>
      <c r="HG29" s="52"/>
      <c r="HH29" s="52"/>
      <c r="HI29" s="52"/>
      <c r="HJ29" s="52"/>
      <c r="HK29" s="52"/>
      <c r="HL29" s="52"/>
      <c r="HM29" s="52"/>
      <c r="HN29" s="52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52"/>
      <c r="HZ29" s="52"/>
      <c r="IA29" s="52"/>
      <c r="IB29" s="52"/>
      <c r="IC29" s="52"/>
      <c r="ID29" s="73" t="s">
        <v>632</v>
      </c>
      <c r="IE29" s="56" t="s">
        <v>686</v>
      </c>
      <c r="IF29" s="52" t="s">
        <v>720</v>
      </c>
      <c r="IG29" s="52">
        <v>6</v>
      </c>
      <c r="IH29" s="230"/>
    </row>
    <row r="30" spans="1:242">
      <c r="A30" s="63">
        <v>29</v>
      </c>
      <c r="B30" s="63" t="s">
        <v>721</v>
      </c>
      <c r="C30" s="63" t="s">
        <v>722</v>
      </c>
      <c r="D30" s="64" t="s">
        <v>713</v>
      </c>
      <c r="E30" s="79">
        <v>45964</v>
      </c>
      <c r="F30" s="63" t="s">
        <v>612</v>
      </c>
      <c r="G30" s="63" t="s">
        <v>646</v>
      </c>
      <c r="H30" s="31" t="s">
        <v>308</v>
      </c>
      <c r="I30" s="4" t="s">
        <v>50</v>
      </c>
      <c r="J30" s="66" t="s">
        <v>723</v>
      </c>
      <c r="K30" s="4" t="s">
        <v>605</v>
      </c>
      <c r="L30" s="4" t="s">
        <v>633</v>
      </c>
      <c r="M30" s="10">
        <v>1</v>
      </c>
      <c r="N30" s="2">
        <v>0</v>
      </c>
      <c r="O30" s="67" t="s">
        <v>634</v>
      </c>
      <c r="P30" s="68" t="b">
        <v>0</v>
      </c>
      <c r="Q30" s="10">
        <f t="shared" ref="Q30:Q35" si="1">SUM(R30:GO30)</f>
        <v>162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1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2">
        <v>1</v>
      </c>
      <c r="AZ30" s="2">
        <v>1</v>
      </c>
      <c r="BA30" s="2">
        <v>1</v>
      </c>
      <c r="BB30" s="2">
        <v>1</v>
      </c>
      <c r="BC30" s="2">
        <v>1</v>
      </c>
      <c r="BD30" s="2">
        <v>1</v>
      </c>
      <c r="BE30" s="2">
        <v>1</v>
      </c>
      <c r="BF30" s="2">
        <v>1</v>
      </c>
      <c r="BG30" s="2">
        <v>1</v>
      </c>
      <c r="BH30" s="2">
        <v>1</v>
      </c>
      <c r="BI30" s="2">
        <v>1</v>
      </c>
      <c r="BJ30" s="2">
        <v>1</v>
      </c>
      <c r="BK30" s="2">
        <v>1</v>
      </c>
      <c r="BL30" s="2">
        <v>1</v>
      </c>
      <c r="BM30" s="2">
        <v>1</v>
      </c>
      <c r="BN30" s="2">
        <v>1</v>
      </c>
      <c r="BO30" s="2">
        <v>1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 s="2">
        <v>1</v>
      </c>
      <c r="CC30" s="2">
        <v>1</v>
      </c>
      <c r="CD30" s="2">
        <v>1</v>
      </c>
      <c r="CE30" s="2">
        <v>1</v>
      </c>
      <c r="CF30" s="2">
        <v>1</v>
      </c>
      <c r="CG30" s="2">
        <v>1</v>
      </c>
      <c r="CH30" s="2">
        <v>1</v>
      </c>
      <c r="CI30" s="2">
        <v>1</v>
      </c>
      <c r="CJ30" s="2">
        <v>1</v>
      </c>
      <c r="CK30" s="2">
        <v>1</v>
      </c>
      <c r="CL30" s="2">
        <v>1</v>
      </c>
      <c r="CM30" s="2">
        <v>1</v>
      </c>
      <c r="CN30" s="2">
        <v>1</v>
      </c>
      <c r="CO30" s="2">
        <v>1</v>
      </c>
      <c r="CP30" s="2">
        <v>1</v>
      </c>
      <c r="CQ30" s="2">
        <v>1</v>
      </c>
      <c r="CR30" s="2">
        <v>1</v>
      </c>
      <c r="CS30" s="2">
        <v>1</v>
      </c>
      <c r="CT30" s="2">
        <v>1</v>
      </c>
      <c r="CU30" s="2">
        <v>1</v>
      </c>
      <c r="CV30" s="2">
        <v>1</v>
      </c>
      <c r="CW30" s="2">
        <v>1</v>
      </c>
      <c r="CX30" s="2">
        <v>1</v>
      </c>
      <c r="CY30" s="2">
        <v>1</v>
      </c>
      <c r="CZ30" s="2">
        <v>1</v>
      </c>
      <c r="DA30" s="2">
        <v>1</v>
      </c>
      <c r="DB30" s="2">
        <v>1</v>
      </c>
      <c r="DC30" s="2">
        <v>1</v>
      </c>
      <c r="DD30" s="2">
        <v>1</v>
      </c>
      <c r="DE30" s="2">
        <v>1</v>
      </c>
      <c r="DF30" s="2">
        <v>1</v>
      </c>
      <c r="DG30" s="2">
        <v>1</v>
      </c>
      <c r="DH30" s="2">
        <v>1</v>
      </c>
      <c r="DI30" s="2">
        <v>1</v>
      </c>
      <c r="DJ30" s="2">
        <v>1</v>
      </c>
      <c r="DK30" s="2">
        <v>1</v>
      </c>
      <c r="DL30" s="2">
        <v>1</v>
      </c>
      <c r="DM30" s="2">
        <v>1</v>
      </c>
      <c r="DN30" s="2">
        <v>1</v>
      </c>
      <c r="DO30" s="2">
        <v>1</v>
      </c>
      <c r="DP30" s="2">
        <v>1</v>
      </c>
      <c r="DQ30" s="2">
        <v>1</v>
      </c>
      <c r="DR30" s="2">
        <v>1</v>
      </c>
      <c r="DS30" s="2">
        <v>1</v>
      </c>
      <c r="DT30" s="2">
        <v>1</v>
      </c>
      <c r="DU30" s="2">
        <v>1</v>
      </c>
      <c r="DV30" s="2">
        <v>1</v>
      </c>
      <c r="DW30" s="2">
        <v>1</v>
      </c>
      <c r="DX30" s="2">
        <v>1</v>
      </c>
      <c r="DY30" s="2">
        <v>1</v>
      </c>
      <c r="DZ30" s="2">
        <v>1</v>
      </c>
      <c r="EA30" s="2">
        <v>1</v>
      </c>
      <c r="EB30" s="2">
        <v>1</v>
      </c>
      <c r="EC30" s="2">
        <v>1</v>
      </c>
      <c r="ED30" s="2">
        <v>1</v>
      </c>
      <c r="EE30" s="2">
        <v>1</v>
      </c>
      <c r="EF30" s="2">
        <v>1</v>
      </c>
      <c r="EG30" s="2">
        <v>1</v>
      </c>
      <c r="EH30" s="2">
        <v>1</v>
      </c>
      <c r="EI30" s="2">
        <v>1</v>
      </c>
      <c r="EJ30" s="2">
        <v>1</v>
      </c>
      <c r="EK30" s="2">
        <v>1</v>
      </c>
      <c r="EL30" s="2">
        <v>1</v>
      </c>
      <c r="EM30" s="2">
        <v>1</v>
      </c>
      <c r="EN30" s="2">
        <v>1</v>
      </c>
      <c r="EO30" s="2">
        <v>1</v>
      </c>
      <c r="EP30" s="2">
        <v>1</v>
      </c>
      <c r="EQ30" s="2">
        <v>1</v>
      </c>
      <c r="ER30" s="2">
        <v>1</v>
      </c>
      <c r="ES30" s="2">
        <v>1</v>
      </c>
      <c r="ET30" s="2">
        <v>1</v>
      </c>
      <c r="EU30" s="2">
        <v>1</v>
      </c>
      <c r="EV30" s="2">
        <v>1</v>
      </c>
      <c r="EW30" s="2">
        <v>1</v>
      </c>
      <c r="EX30" s="2">
        <v>1</v>
      </c>
      <c r="EY30" s="2">
        <v>1</v>
      </c>
      <c r="EZ30" s="2">
        <v>1</v>
      </c>
      <c r="FA30" s="2">
        <v>1</v>
      </c>
      <c r="FB30" s="2">
        <v>1</v>
      </c>
      <c r="FC30" s="2">
        <v>1</v>
      </c>
      <c r="FD30" s="2">
        <v>1</v>
      </c>
      <c r="FE30" s="2">
        <v>1</v>
      </c>
      <c r="FF30" s="2">
        <v>1</v>
      </c>
      <c r="FG30" s="2">
        <v>1</v>
      </c>
      <c r="FH30" s="2">
        <v>1</v>
      </c>
      <c r="FI30" s="2">
        <v>1</v>
      </c>
      <c r="FJ30" s="2">
        <v>1</v>
      </c>
      <c r="FK30" s="2">
        <v>1</v>
      </c>
      <c r="FL30" s="2">
        <v>1</v>
      </c>
      <c r="FM30" s="2">
        <v>1</v>
      </c>
      <c r="FN30" s="2">
        <v>1</v>
      </c>
      <c r="FO30" s="2">
        <v>1</v>
      </c>
      <c r="FP30" s="2">
        <v>1</v>
      </c>
      <c r="FQ30" s="2">
        <v>1</v>
      </c>
      <c r="FR30" s="2">
        <v>1</v>
      </c>
      <c r="FS30" s="2">
        <v>1</v>
      </c>
      <c r="FT30" s="2">
        <v>1</v>
      </c>
      <c r="FU30" s="2">
        <v>1</v>
      </c>
      <c r="FV30" s="2">
        <v>1</v>
      </c>
      <c r="FW30" s="2">
        <v>1</v>
      </c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 t="s">
        <v>724</v>
      </c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69" t="s">
        <v>632</v>
      </c>
      <c r="IE30" s="5" t="s">
        <v>686</v>
      </c>
      <c r="IF30" s="2" t="s">
        <v>720</v>
      </c>
      <c r="IG30" s="2">
        <v>6</v>
      </c>
      <c r="IH30" s="230"/>
    </row>
    <row r="31" spans="1:242" s="46" customFormat="1">
      <c r="A31" s="34">
        <v>30</v>
      </c>
      <c r="B31" s="34" t="s">
        <v>725</v>
      </c>
      <c r="C31" s="34" t="s">
        <v>726</v>
      </c>
      <c r="D31" s="35" t="s">
        <v>727</v>
      </c>
      <c r="E31" s="76">
        <v>45968</v>
      </c>
      <c r="F31" s="34" t="s">
        <v>612</v>
      </c>
      <c r="G31" s="34" t="s">
        <v>646</v>
      </c>
      <c r="H31" s="59" t="s">
        <v>319</v>
      </c>
      <c r="I31" s="38" t="s">
        <v>88</v>
      </c>
      <c r="J31" s="60" t="s">
        <v>728</v>
      </c>
      <c r="K31" s="38" t="s">
        <v>632</v>
      </c>
      <c r="L31" s="38" t="s">
        <v>633</v>
      </c>
      <c r="M31" s="40">
        <v>1</v>
      </c>
      <c r="N31" s="38">
        <v>0</v>
      </c>
      <c r="O31" s="41" t="s">
        <v>634</v>
      </c>
      <c r="P31" s="61" t="b">
        <v>1</v>
      </c>
      <c r="Q31" s="40">
        <f>SUM(R31:IC31)</f>
        <v>169</v>
      </c>
      <c r="R31" s="38">
        <v>1</v>
      </c>
      <c r="S31" s="38">
        <v>1</v>
      </c>
      <c r="T31" s="38">
        <v>1</v>
      </c>
      <c r="U31" s="38">
        <v>1</v>
      </c>
      <c r="V31" s="38">
        <v>1</v>
      </c>
      <c r="W31" s="38">
        <v>1</v>
      </c>
      <c r="X31" s="38">
        <v>1</v>
      </c>
      <c r="Y31" s="38">
        <v>1</v>
      </c>
      <c r="Z31" s="38">
        <v>1</v>
      </c>
      <c r="AA31" s="38">
        <v>1</v>
      </c>
      <c r="AB31" s="38">
        <v>1</v>
      </c>
      <c r="AC31" s="38">
        <v>1</v>
      </c>
      <c r="AD31" s="38">
        <v>1</v>
      </c>
      <c r="AE31" s="38">
        <v>1</v>
      </c>
      <c r="AF31" s="38">
        <v>1</v>
      </c>
      <c r="AG31" s="38">
        <v>1</v>
      </c>
      <c r="AH31" s="38">
        <v>1</v>
      </c>
      <c r="AI31" s="38">
        <v>1</v>
      </c>
      <c r="AJ31" s="38">
        <v>1</v>
      </c>
      <c r="AK31" s="38">
        <v>1</v>
      </c>
      <c r="AL31" s="38">
        <v>1</v>
      </c>
      <c r="AM31" s="38">
        <v>1</v>
      </c>
      <c r="AN31" s="38">
        <v>1</v>
      </c>
      <c r="AO31" s="38">
        <v>1</v>
      </c>
      <c r="AP31" s="38">
        <v>1</v>
      </c>
      <c r="AQ31" s="38">
        <v>1</v>
      </c>
      <c r="AR31" s="38">
        <v>1</v>
      </c>
      <c r="AS31" s="38">
        <v>1</v>
      </c>
      <c r="AT31" s="38">
        <v>1</v>
      </c>
      <c r="AU31" s="38">
        <v>1</v>
      </c>
      <c r="AV31" s="38">
        <v>1</v>
      </c>
      <c r="AW31" s="38">
        <v>1</v>
      </c>
      <c r="AX31" s="38">
        <v>1</v>
      </c>
      <c r="AY31" s="38">
        <v>1</v>
      </c>
      <c r="AZ31" s="38">
        <v>1</v>
      </c>
      <c r="BA31" s="38">
        <v>1</v>
      </c>
      <c r="BB31" s="38">
        <v>1</v>
      </c>
      <c r="BC31" s="38">
        <v>1</v>
      </c>
      <c r="BD31" s="38">
        <v>1</v>
      </c>
      <c r="BE31" s="38">
        <v>1</v>
      </c>
      <c r="BF31" s="38">
        <v>1</v>
      </c>
      <c r="BG31" s="38">
        <v>1</v>
      </c>
      <c r="BH31" s="38">
        <v>1</v>
      </c>
      <c r="BI31" s="38">
        <v>1</v>
      </c>
      <c r="BJ31" s="38">
        <v>1</v>
      </c>
      <c r="BK31" s="38">
        <v>1</v>
      </c>
      <c r="BL31" s="38">
        <v>1</v>
      </c>
      <c r="BM31" s="38">
        <v>1</v>
      </c>
      <c r="BN31" s="38">
        <v>1</v>
      </c>
      <c r="BO31" s="38">
        <v>1</v>
      </c>
      <c r="BP31" s="38">
        <v>1</v>
      </c>
      <c r="BQ31" s="38">
        <v>1</v>
      </c>
      <c r="BR31" s="38">
        <v>1</v>
      </c>
      <c r="BS31" s="38">
        <v>1</v>
      </c>
      <c r="BT31" s="38">
        <v>1</v>
      </c>
      <c r="BU31" s="38">
        <v>1</v>
      </c>
      <c r="BV31" s="38">
        <v>1</v>
      </c>
      <c r="BW31" s="38">
        <v>1</v>
      </c>
      <c r="BX31" s="38">
        <v>1</v>
      </c>
      <c r="BY31" s="38">
        <v>1</v>
      </c>
      <c r="BZ31" s="38">
        <v>1</v>
      </c>
      <c r="CA31" s="38">
        <v>1</v>
      </c>
      <c r="CB31" s="38">
        <v>1</v>
      </c>
      <c r="CC31" s="38">
        <v>1</v>
      </c>
      <c r="CD31" s="38">
        <v>1</v>
      </c>
      <c r="CE31" s="38">
        <v>1</v>
      </c>
      <c r="CF31" s="38">
        <v>1</v>
      </c>
      <c r="CG31" s="38">
        <v>1</v>
      </c>
      <c r="CH31" s="38">
        <v>1</v>
      </c>
      <c r="CI31" s="38">
        <v>1</v>
      </c>
      <c r="CJ31" s="38">
        <v>1</v>
      </c>
      <c r="CK31" s="38">
        <v>1</v>
      </c>
      <c r="CL31" s="38">
        <v>1</v>
      </c>
      <c r="CM31" s="38">
        <v>1</v>
      </c>
      <c r="CN31" s="38">
        <v>1</v>
      </c>
      <c r="CO31" s="38">
        <v>1</v>
      </c>
      <c r="CP31" s="38">
        <v>1</v>
      </c>
      <c r="CQ31" s="38">
        <v>1</v>
      </c>
      <c r="CR31" s="38">
        <v>1</v>
      </c>
      <c r="CS31" s="38">
        <v>1</v>
      </c>
      <c r="CT31" s="38">
        <v>1</v>
      </c>
      <c r="CU31" s="38">
        <v>1</v>
      </c>
      <c r="CV31" s="38">
        <v>1</v>
      </c>
      <c r="CW31" s="38">
        <v>1</v>
      </c>
      <c r="CX31" s="38">
        <v>1</v>
      </c>
      <c r="CY31" s="38">
        <v>1</v>
      </c>
      <c r="CZ31" s="38">
        <v>1</v>
      </c>
      <c r="DA31" s="38">
        <v>1</v>
      </c>
      <c r="DB31" s="38">
        <v>1</v>
      </c>
      <c r="DC31" s="38">
        <v>1</v>
      </c>
      <c r="DD31" s="38">
        <v>1</v>
      </c>
      <c r="DE31" s="38">
        <v>1</v>
      </c>
      <c r="DF31" s="38">
        <v>1</v>
      </c>
      <c r="DG31" s="38">
        <v>1</v>
      </c>
      <c r="DH31" s="38">
        <v>1</v>
      </c>
      <c r="DI31" s="38">
        <v>1</v>
      </c>
      <c r="DJ31" s="38">
        <v>1</v>
      </c>
      <c r="DK31" s="38">
        <v>1</v>
      </c>
      <c r="DL31" s="38">
        <v>1</v>
      </c>
      <c r="DM31" s="38">
        <v>1</v>
      </c>
      <c r="DN31" s="38">
        <v>1</v>
      </c>
      <c r="DO31" s="38">
        <v>1</v>
      </c>
      <c r="DP31" s="38">
        <v>1</v>
      </c>
      <c r="DQ31" s="38">
        <v>1</v>
      </c>
      <c r="DR31" s="38">
        <v>1</v>
      </c>
      <c r="DS31" s="38">
        <v>1</v>
      </c>
      <c r="DT31" s="38">
        <v>1</v>
      </c>
      <c r="DU31" s="38">
        <v>1</v>
      </c>
      <c r="DV31" s="38">
        <v>1</v>
      </c>
      <c r="DW31" s="38">
        <v>1</v>
      </c>
      <c r="DX31" s="38">
        <v>1</v>
      </c>
      <c r="DY31" s="38">
        <v>1</v>
      </c>
      <c r="DZ31" s="38">
        <v>1</v>
      </c>
      <c r="EA31" s="38">
        <v>1</v>
      </c>
      <c r="EB31" s="38">
        <v>1</v>
      </c>
      <c r="EC31" s="38">
        <v>1</v>
      </c>
      <c r="ED31" s="38">
        <v>1</v>
      </c>
      <c r="EE31" s="38">
        <v>1</v>
      </c>
      <c r="EF31" s="38">
        <v>1</v>
      </c>
      <c r="EG31" s="38">
        <v>1</v>
      </c>
      <c r="EH31" s="38">
        <v>1</v>
      </c>
      <c r="EI31" s="38">
        <v>1</v>
      </c>
      <c r="EJ31" s="38">
        <v>1</v>
      </c>
      <c r="EK31" s="38">
        <v>1</v>
      </c>
      <c r="EL31" s="38">
        <v>1</v>
      </c>
      <c r="EM31" s="38">
        <v>1</v>
      </c>
      <c r="EN31" s="38">
        <v>1</v>
      </c>
      <c r="EO31" s="38">
        <v>1</v>
      </c>
      <c r="EP31" s="38">
        <v>1</v>
      </c>
      <c r="EQ31" s="38">
        <v>1</v>
      </c>
      <c r="ER31" s="38">
        <v>1</v>
      </c>
      <c r="ES31" s="38">
        <v>1</v>
      </c>
      <c r="ET31" s="38">
        <v>1</v>
      </c>
      <c r="EU31" s="38">
        <v>1</v>
      </c>
      <c r="EV31" s="38">
        <v>1</v>
      </c>
      <c r="EW31" s="38">
        <v>1</v>
      </c>
      <c r="EX31" s="38">
        <v>1</v>
      </c>
      <c r="EY31" s="38">
        <v>1</v>
      </c>
      <c r="EZ31" s="38">
        <v>1</v>
      </c>
      <c r="FA31" s="38">
        <v>1</v>
      </c>
      <c r="FB31" s="38">
        <v>1</v>
      </c>
      <c r="FC31" s="38">
        <v>1</v>
      </c>
      <c r="FD31" s="38">
        <v>1</v>
      </c>
      <c r="FE31" s="38">
        <v>1</v>
      </c>
      <c r="FF31" s="38">
        <v>1</v>
      </c>
      <c r="FG31" s="38">
        <v>1</v>
      </c>
      <c r="FH31" s="38">
        <v>1</v>
      </c>
      <c r="FI31" s="38">
        <v>1</v>
      </c>
      <c r="FJ31" s="38">
        <v>1</v>
      </c>
      <c r="FK31" s="38">
        <v>1</v>
      </c>
      <c r="FL31" s="38">
        <v>1</v>
      </c>
      <c r="FM31" s="38">
        <v>1</v>
      </c>
      <c r="FN31" s="38">
        <v>1</v>
      </c>
      <c r="FO31" s="38">
        <v>1</v>
      </c>
      <c r="FP31" s="38">
        <v>1</v>
      </c>
      <c r="FQ31" s="38">
        <v>1</v>
      </c>
      <c r="FR31" s="38">
        <v>1</v>
      </c>
      <c r="FS31" s="38">
        <v>1</v>
      </c>
      <c r="FT31" s="38">
        <v>1</v>
      </c>
      <c r="FU31" s="38">
        <v>1</v>
      </c>
      <c r="FV31" s="38">
        <v>1</v>
      </c>
      <c r="FW31" s="38">
        <v>1</v>
      </c>
      <c r="FX31" s="38">
        <v>1</v>
      </c>
      <c r="FY31" s="38">
        <v>1</v>
      </c>
      <c r="FZ31" s="38">
        <v>1</v>
      </c>
      <c r="GA31" s="38">
        <v>1</v>
      </c>
      <c r="GB31" s="38">
        <v>1</v>
      </c>
      <c r="GC31" s="38">
        <v>1</v>
      </c>
      <c r="GD31" s="38">
        <v>1</v>
      </c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43" t="s">
        <v>632</v>
      </c>
      <c r="IE31" s="74" t="s">
        <v>686</v>
      </c>
      <c r="IF31" s="75" t="s">
        <v>729</v>
      </c>
      <c r="IG31" s="38">
        <v>7</v>
      </c>
      <c r="IH31" s="38"/>
    </row>
    <row r="32" spans="1:242" s="46" customFormat="1">
      <c r="A32" s="34">
        <v>31</v>
      </c>
      <c r="B32" s="34" t="s">
        <v>730</v>
      </c>
      <c r="C32" s="34" t="s">
        <v>726</v>
      </c>
      <c r="D32" s="35" t="s">
        <v>727</v>
      </c>
      <c r="E32" s="76">
        <v>45968</v>
      </c>
      <c r="F32" s="34" t="s">
        <v>612</v>
      </c>
      <c r="G32" s="34" t="s">
        <v>646</v>
      </c>
      <c r="H32" s="59" t="s">
        <v>319</v>
      </c>
      <c r="I32" s="38" t="s">
        <v>88</v>
      </c>
      <c r="J32" s="60" t="s">
        <v>731</v>
      </c>
      <c r="K32" s="38" t="s">
        <v>632</v>
      </c>
      <c r="L32" s="38" t="s">
        <v>633</v>
      </c>
      <c r="M32" s="40">
        <v>1</v>
      </c>
      <c r="N32" s="38">
        <v>0</v>
      </c>
      <c r="O32" s="41" t="s">
        <v>668</v>
      </c>
      <c r="P32" s="61" t="b">
        <v>1</v>
      </c>
      <c r="Q32" s="40">
        <f>SUM(R32:IC32)</f>
        <v>169</v>
      </c>
      <c r="R32" s="38">
        <v>1</v>
      </c>
      <c r="S32" s="38">
        <v>1</v>
      </c>
      <c r="T32" s="38">
        <v>1</v>
      </c>
      <c r="U32" s="38">
        <v>1</v>
      </c>
      <c r="V32" s="38">
        <v>1</v>
      </c>
      <c r="W32" s="38">
        <v>1</v>
      </c>
      <c r="X32" s="38">
        <v>1</v>
      </c>
      <c r="Y32" s="38">
        <v>1</v>
      </c>
      <c r="Z32" s="38">
        <v>1</v>
      </c>
      <c r="AA32" s="38">
        <v>1</v>
      </c>
      <c r="AB32" s="38">
        <v>1</v>
      </c>
      <c r="AC32" s="38">
        <v>1</v>
      </c>
      <c r="AD32" s="38">
        <v>1</v>
      </c>
      <c r="AE32" s="38">
        <v>1</v>
      </c>
      <c r="AF32" s="38">
        <v>1</v>
      </c>
      <c r="AG32" s="38">
        <v>1</v>
      </c>
      <c r="AH32" s="38">
        <v>1</v>
      </c>
      <c r="AI32" s="38">
        <v>1</v>
      </c>
      <c r="AJ32" s="38">
        <v>1</v>
      </c>
      <c r="AK32" s="38">
        <v>1</v>
      </c>
      <c r="AL32" s="38">
        <v>1</v>
      </c>
      <c r="AM32" s="38">
        <v>1</v>
      </c>
      <c r="AN32" s="38">
        <v>1</v>
      </c>
      <c r="AO32" s="38">
        <v>1</v>
      </c>
      <c r="AP32" s="38">
        <v>1</v>
      </c>
      <c r="AQ32" s="38">
        <v>1</v>
      </c>
      <c r="AR32" s="38">
        <v>1</v>
      </c>
      <c r="AS32" s="38">
        <v>1</v>
      </c>
      <c r="AT32" s="38">
        <v>1</v>
      </c>
      <c r="AU32" s="38">
        <v>1</v>
      </c>
      <c r="AV32" s="38">
        <v>1</v>
      </c>
      <c r="AW32" s="38">
        <v>1</v>
      </c>
      <c r="AX32" s="38">
        <v>1</v>
      </c>
      <c r="AY32" s="38">
        <v>1</v>
      </c>
      <c r="AZ32" s="38">
        <v>1</v>
      </c>
      <c r="BA32" s="38">
        <v>1</v>
      </c>
      <c r="BB32" s="38">
        <v>1</v>
      </c>
      <c r="BC32" s="38">
        <v>1</v>
      </c>
      <c r="BD32" s="38">
        <v>1</v>
      </c>
      <c r="BE32" s="38">
        <v>1</v>
      </c>
      <c r="BF32" s="38">
        <v>1</v>
      </c>
      <c r="BG32" s="38">
        <v>1</v>
      </c>
      <c r="BH32" s="38">
        <v>1</v>
      </c>
      <c r="BI32" s="38">
        <v>1</v>
      </c>
      <c r="BJ32" s="38">
        <v>1</v>
      </c>
      <c r="BK32" s="38">
        <v>1</v>
      </c>
      <c r="BL32" s="38">
        <v>1</v>
      </c>
      <c r="BM32" s="38">
        <v>1</v>
      </c>
      <c r="BN32" s="38">
        <v>1</v>
      </c>
      <c r="BO32" s="38">
        <v>1</v>
      </c>
      <c r="BP32" s="38">
        <v>1</v>
      </c>
      <c r="BQ32" s="38">
        <v>1</v>
      </c>
      <c r="BR32" s="38">
        <v>1</v>
      </c>
      <c r="BS32" s="38">
        <v>1</v>
      </c>
      <c r="BT32" s="38">
        <v>1</v>
      </c>
      <c r="BU32" s="38">
        <v>1</v>
      </c>
      <c r="BV32" s="38">
        <v>1</v>
      </c>
      <c r="BW32" s="38">
        <v>1</v>
      </c>
      <c r="BX32" s="38">
        <v>1</v>
      </c>
      <c r="BY32" s="38">
        <v>1</v>
      </c>
      <c r="BZ32" s="38">
        <v>1</v>
      </c>
      <c r="CA32" s="38">
        <v>1</v>
      </c>
      <c r="CB32" s="38">
        <v>1</v>
      </c>
      <c r="CC32" s="38">
        <v>1</v>
      </c>
      <c r="CD32" s="38">
        <v>1</v>
      </c>
      <c r="CE32" s="38">
        <v>1</v>
      </c>
      <c r="CF32" s="38">
        <v>1</v>
      </c>
      <c r="CG32" s="38">
        <v>1</v>
      </c>
      <c r="CH32" s="38">
        <v>1</v>
      </c>
      <c r="CI32" s="38">
        <v>1</v>
      </c>
      <c r="CJ32" s="38">
        <v>1</v>
      </c>
      <c r="CK32" s="38">
        <v>1</v>
      </c>
      <c r="CL32" s="38">
        <v>1</v>
      </c>
      <c r="CM32" s="38">
        <v>1</v>
      </c>
      <c r="CN32" s="38">
        <v>1</v>
      </c>
      <c r="CO32" s="38">
        <v>1</v>
      </c>
      <c r="CP32" s="38">
        <v>1</v>
      </c>
      <c r="CQ32" s="38">
        <v>1</v>
      </c>
      <c r="CR32" s="38">
        <v>1</v>
      </c>
      <c r="CS32" s="38">
        <v>1</v>
      </c>
      <c r="CT32" s="38">
        <v>1</v>
      </c>
      <c r="CU32" s="38">
        <v>1</v>
      </c>
      <c r="CV32" s="38">
        <v>1</v>
      </c>
      <c r="CW32" s="38">
        <v>1</v>
      </c>
      <c r="CX32" s="38">
        <v>1</v>
      </c>
      <c r="CY32" s="38">
        <v>1</v>
      </c>
      <c r="CZ32" s="38">
        <v>1</v>
      </c>
      <c r="DA32" s="38">
        <v>1</v>
      </c>
      <c r="DB32" s="38">
        <v>1</v>
      </c>
      <c r="DC32" s="38">
        <v>1</v>
      </c>
      <c r="DD32" s="38">
        <v>1</v>
      </c>
      <c r="DE32" s="38">
        <v>1</v>
      </c>
      <c r="DF32" s="38">
        <v>1</v>
      </c>
      <c r="DG32" s="38">
        <v>1</v>
      </c>
      <c r="DH32" s="38">
        <v>1</v>
      </c>
      <c r="DI32" s="38">
        <v>1</v>
      </c>
      <c r="DJ32" s="38">
        <v>1</v>
      </c>
      <c r="DK32" s="38">
        <v>1</v>
      </c>
      <c r="DL32" s="38">
        <v>1</v>
      </c>
      <c r="DM32" s="38">
        <v>1</v>
      </c>
      <c r="DN32" s="38">
        <v>1</v>
      </c>
      <c r="DO32" s="38">
        <v>1</v>
      </c>
      <c r="DP32" s="38">
        <v>1</v>
      </c>
      <c r="DQ32" s="38">
        <v>1</v>
      </c>
      <c r="DR32" s="38">
        <v>1</v>
      </c>
      <c r="DS32" s="38">
        <v>1</v>
      </c>
      <c r="DT32" s="38">
        <v>1</v>
      </c>
      <c r="DU32" s="38">
        <v>1</v>
      </c>
      <c r="DV32" s="38">
        <v>1</v>
      </c>
      <c r="DW32" s="38">
        <v>1</v>
      </c>
      <c r="DX32" s="38">
        <v>1</v>
      </c>
      <c r="DY32" s="38">
        <v>1</v>
      </c>
      <c r="DZ32" s="38">
        <v>1</v>
      </c>
      <c r="EA32" s="38">
        <v>1</v>
      </c>
      <c r="EB32" s="38">
        <v>1</v>
      </c>
      <c r="EC32" s="38">
        <v>1</v>
      </c>
      <c r="ED32" s="38">
        <v>1</v>
      </c>
      <c r="EE32" s="38">
        <v>1</v>
      </c>
      <c r="EF32" s="38">
        <v>1</v>
      </c>
      <c r="EG32" s="38">
        <v>1</v>
      </c>
      <c r="EH32" s="38">
        <v>1</v>
      </c>
      <c r="EI32" s="38">
        <v>1</v>
      </c>
      <c r="EJ32" s="38">
        <v>1</v>
      </c>
      <c r="EK32" s="38">
        <v>1</v>
      </c>
      <c r="EL32" s="38">
        <v>1</v>
      </c>
      <c r="EM32" s="38">
        <v>1</v>
      </c>
      <c r="EN32" s="38">
        <v>1</v>
      </c>
      <c r="EO32" s="38">
        <v>1</v>
      </c>
      <c r="EP32" s="38">
        <v>1</v>
      </c>
      <c r="EQ32" s="38">
        <v>1</v>
      </c>
      <c r="ER32" s="38">
        <v>1</v>
      </c>
      <c r="ES32" s="38">
        <v>1</v>
      </c>
      <c r="ET32" s="38">
        <v>1</v>
      </c>
      <c r="EU32" s="38">
        <v>1</v>
      </c>
      <c r="EV32" s="38">
        <v>1</v>
      </c>
      <c r="EW32" s="38">
        <v>1</v>
      </c>
      <c r="EX32" s="38">
        <v>1</v>
      </c>
      <c r="EY32" s="38">
        <v>1</v>
      </c>
      <c r="EZ32" s="38">
        <v>1</v>
      </c>
      <c r="FA32" s="38">
        <v>1</v>
      </c>
      <c r="FB32" s="38">
        <v>1</v>
      </c>
      <c r="FC32" s="38">
        <v>1</v>
      </c>
      <c r="FD32" s="38">
        <v>1</v>
      </c>
      <c r="FE32" s="38">
        <v>1</v>
      </c>
      <c r="FF32" s="38">
        <v>1</v>
      </c>
      <c r="FG32" s="38">
        <v>1</v>
      </c>
      <c r="FH32" s="38">
        <v>1</v>
      </c>
      <c r="FI32" s="38">
        <v>1</v>
      </c>
      <c r="FJ32" s="38">
        <v>1</v>
      </c>
      <c r="FK32" s="38">
        <v>1</v>
      </c>
      <c r="FL32" s="38">
        <v>1</v>
      </c>
      <c r="FM32" s="38">
        <v>1</v>
      </c>
      <c r="FN32" s="38">
        <v>1</v>
      </c>
      <c r="FO32" s="38">
        <v>1</v>
      </c>
      <c r="FP32" s="38">
        <v>1</v>
      </c>
      <c r="FQ32" s="38">
        <v>1</v>
      </c>
      <c r="FR32" s="38">
        <v>1</v>
      </c>
      <c r="FS32" s="38">
        <v>1</v>
      </c>
      <c r="FT32" s="38">
        <v>1</v>
      </c>
      <c r="FU32" s="38">
        <v>1</v>
      </c>
      <c r="FV32" s="38">
        <v>1</v>
      </c>
      <c r="FW32" s="38">
        <v>1</v>
      </c>
      <c r="FX32" s="38">
        <v>1</v>
      </c>
      <c r="FY32" s="38">
        <v>1</v>
      </c>
      <c r="FZ32" s="38">
        <v>1</v>
      </c>
      <c r="GA32" s="38">
        <v>1</v>
      </c>
      <c r="GB32" s="38">
        <v>1</v>
      </c>
      <c r="GC32" s="38">
        <v>1</v>
      </c>
      <c r="GD32" s="38">
        <v>1</v>
      </c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43" t="s">
        <v>632</v>
      </c>
      <c r="IE32" s="74" t="s">
        <v>686</v>
      </c>
      <c r="IF32" s="75" t="s">
        <v>729</v>
      </c>
      <c r="IG32" s="38">
        <v>7</v>
      </c>
      <c r="IH32" s="38"/>
    </row>
    <row r="33" spans="1:242" s="46" customFormat="1">
      <c r="A33" s="34">
        <v>32</v>
      </c>
      <c r="B33" s="34" t="s">
        <v>732</v>
      </c>
      <c r="C33" s="34" t="s">
        <v>733</v>
      </c>
      <c r="D33" s="35" t="s">
        <v>734</v>
      </c>
      <c r="E33" s="76">
        <v>45981</v>
      </c>
      <c r="F33" s="34" t="s">
        <v>612</v>
      </c>
      <c r="G33" s="34" t="s">
        <v>704</v>
      </c>
      <c r="H33" s="37" t="s">
        <v>332</v>
      </c>
      <c r="I33" s="38" t="s">
        <v>86</v>
      </c>
      <c r="J33" s="60" t="s">
        <v>735</v>
      </c>
      <c r="K33" s="38" t="s">
        <v>632</v>
      </c>
      <c r="L33" s="38" t="s">
        <v>633</v>
      </c>
      <c r="M33" s="40">
        <v>1</v>
      </c>
      <c r="N33" s="38">
        <v>0</v>
      </c>
      <c r="O33" s="41" t="s">
        <v>634</v>
      </c>
      <c r="P33" s="61" t="b">
        <v>1</v>
      </c>
      <c r="Q33" s="40">
        <f t="shared" si="1"/>
        <v>156</v>
      </c>
      <c r="R33" s="38">
        <v>1</v>
      </c>
      <c r="S33" s="38">
        <v>1</v>
      </c>
      <c r="T33" s="38">
        <v>1</v>
      </c>
      <c r="U33" s="38">
        <v>1</v>
      </c>
      <c r="V33" s="38">
        <v>1</v>
      </c>
      <c r="W33" s="38">
        <v>1</v>
      </c>
      <c r="X33" s="38">
        <v>1</v>
      </c>
      <c r="Y33" s="38">
        <v>1</v>
      </c>
      <c r="Z33" s="38">
        <v>1</v>
      </c>
      <c r="AA33" s="38">
        <v>1</v>
      </c>
      <c r="AB33" s="38">
        <v>1</v>
      </c>
      <c r="AC33" s="38">
        <v>1</v>
      </c>
      <c r="AD33" s="38">
        <v>1</v>
      </c>
      <c r="AE33" s="38">
        <v>1</v>
      </c>
      <c r="AF33" s="38">
        <v>1</v>
      </c>
      <c r="AG33" s="38">
        <v>1</v>
      </c>
      <c r="AH33" s="38">
        <v>1</v>
      </c>
      <c r="AI33" s="38">
        <v>1</v>
      </c>
      <c r="AJ33" s="38">
        <v>1</v>
      </c>
      <c r="AK33" s="38">
        <v>1</v>
      </c>
      <c r="AL33" s="38">
        <v>1</v>
      </c>
      <c r="AM33" s="38">
        <v>1</v>
      </c>
      <c r="AN33" s="38">
        <v>1</v>
      </c>
      <c r="AO33" s="38">
        <v>1</v>
      </c>
      <c r="AP33" s="38">
        <v>1</v>
      </c>
      <c r="AQ33" s="38">
        <v>1</v>
      </c>
      <c r="AR33" s="38">
        <v>1</v>
      </c>
      <c r="AS33" s="38">
        <v>1</v>
      </c>
      <c r="AT33" s="38">
        <v>1</v>
      </c>
      <c r="AU33" s="38">
        <v>1</v>
      </c>
      <c r="AV33" s="38">
        <v>1</v>
      </c>
      <c r="AW33" s="38">
        <v>1</v>
      </c>
      <c r="AX33" s="38">
        <v>1</v>
      </c>
      <c r="AY33" s="38">
        <v>1</v>
      </c>
      <c r="AZ33" s="38">
        <v>1</v>
      </c>
      <c r="BA33" s="38">
        <v>1</v>
      </c>
      <c r="BB33" s="38">
        <v>1</v>
      </c>
      <c r="BC33" s="38">
        <v>1</v>
      </c>
      <c r="BD33" s="38">
        <v>1</v>
      </c>
      <c r="BE33" s="38">
        <v>1</v>
      </c>
      <c r="BF33" s="38">
        <v>1</v>
      </c>
      <c r="BG33" s="38">
        <v>1</v>
      </c>
      <c r="BH33" s="38">
        <v>1</v>
      </c>
      <c r="BI33" s="38">
        <v>1</v>
      </c>
      <c r="BJ33" s="38">
        <v>1</v>
      </c>
      <c r="BK33" s="38">
        <v>1</v>
      </c>
      <c r="BL33" s="38">
        <v>1</v>
      </c>
      <c r="BM33" s="38">
        <v>1</v>
      </c>
      <c r="BN33" s="38">
        <v>1</v>
      </c>
      <c r="BO33" s="38">
        <v>1</v>
      </c>
      <c r="BP33" s="38">
        <v>1</v>
      </c>
      <c r="BQ33" s="38">
        <v>1</v>
      </c>
      <c r="BR33" s="38">
        <v>1</v>
      </c>
      <c r="BS33" s="38">
        <v>1</v>
      </c>
      <c r="BT33" s="38">
        <v>1</v>
      </c>
      <c r="BU33" s="38">
        <v>1</v>
      </c>
      <c r="BV33" s="38">
        <v>1</v>
      </c>
      <c r="BW33" s="38">
        <v>1</v>
      </c>
      <c r="BX33" s="38">
        <v>1</v>
      </c>
      <c r="BY33" s="38">
        <v>1</v>
      </c>
      <c r="BZ33" s="38">
        <v>1</v>
      </c>
      <c r="CA33" s="38">
        <v>1</v>
      </c>
      <c r="CB33" s="38">
        <v>1</v>
      </c>
      <c r="CC33" s="38">
        <v>1</v>
      </c>
      <c r="CD33" s="38">
        <v>1</v>
      </c>
      <c r="CE33" s="38">
        <v>1</v>
      </c>
      <c r="CF33" s="38">
        <v>1</v>
      </c>
      <c r="CG33" s="38">
        <v>1</v>
      </c>
      <c r="CH33" s="38">
        <v>1</v>
      </c>
      <c r="CI33" s="38">
        <v>1</v>
      </c>
      <c r="CJ33" s="38">
        <v>1</v>
      </c>
      <c r="CK33" s="38">
        <v>1</v>
      </c>
      <c r="CL33" s="38">
        <v>1</v>
      </c>
      <c r="CM33" s="38">
        <v>1</v>
      </c>
      <c r="CN33" s="38">
        <v>1</v>
      </c>
      <c r="CO33" s="38">
        <v>1</v>
      </c>
      <c r="CP33" s="38">
        <v>1</v>
      </c>
      <c r="CQ33" s="38">
        <v>1</v>
      </c>
      <c r="CR33" s="38">
        <v>1</v>
      </c>
      <c r="CS33" s="38">
        <v>1</v>
      </c>
      <c r="CT33" s="38">
        <v>1</v>
      </c>
      <c r="CU33" s="38">
        <v>1</v>
      </c>
      <c r="CV33" s="38">
        <v>1</v>
      </c>
      <c r="CW33" s="38">
        <v>1</v>
      </c>
      <c r="CX33" s="38">
        <v>1</v>
      </c>
      <c r="CY33" s="38">
        <v>1</v>
      </c>
      <c r="CZ33" s="38">
        <v>1</v>
      </c>
      <c r="DA33" s="38">
        <v>1</v>
      </c>
      <c r="DB33" s="38">
        <v>1</v>
      </c>
      <c r="DC33" s="38">
        <v>1</v>
      </c>
      <c r="DD33" s="38">
        <v>1</v>
      </c>
      <c r="DE33" s="38">
        <v>1</v>
      </c>
      <c r="DF33" s="38">
        <v>1</v>
      </c>
      <c r="DG33" s="38">
        <v>1</v>
      </c>
      <c r="DH33" s="38">
        <v>1</v>
      </c>
      <c r="DI33" s="38">
        <v>1</v>
      </c>
      <c r="DJ33" s="38">
        <v>1</v>
      </c>
      <c r="DK33" s="38">
        <v>1</v>
      </c>
      <c r="DL33" s="38">
        <v>1</v>
      </c>
      <c r="DM33" s="38">
        <v>1</v>
      </c>
      <c r="DN33" s="38">
        <v>1</v>
      </c>
      <c r="DO33" s="38">
        <v>1</v>
      </c>
      <c r="DP33" s="38">
        <v>1</v>
      </c>
      <c r="DQ33" s="38">
        <v>1</v>
      </c>
      <c r="DR33" s="38">
        <v>1</v>
      </c>
      <c r="DS33" s="38">
        <v>1</v>
      </c>
      <c r="DT33" s="38">
        <v>1</v>
      </c>
      <c r="DU33" s="38">
        <v>1</v>
      </c>
      <c r="DV33" s="38">
        <v>1</v>
      </c>
      <c r="DW33" s="38">
        <v>1</v>
      </c>
      <c r="DX33" s="38">
        <v>1</v>
      </c>
      <c r="DY33" s="38">
        <v>1</v>
      </c>
      <c r="DZ33" s="38">
        <v>1</v>
      </c>
      <c r="EA33" s="38">
        <v>1</v>
      </c>
      <c r="EB33" s="38">
        <v>1</v>
      </c>
      <c r="EC33" s="38">
        <v>1</v>
      </c>
      <c r="ED33" s="38">
        <v>1</v>
      </c>
      <c r="EE33" s="38">
        <v>1</v>
      </c>
      <c r="EF33" s="38">
        <v>1</v>
      </c>
      <c r="EG33" s="38">
        <v>1</v>
      </c>
      <c r="EH33" s="38">
        <v>1</v>
      </c>
      <c r="EI33" s="38">
        <v>1</v>
      </c>
      <c r="EJ33" s="38">
        <v>1</v>
      </c>
      <c r="EK33" s="38">
        <v>1</v>
      </c>
      <c r="EL33" s="38">
        <v>1</v>
      </c>
      <c r="EM33" s="38">
        <v>1</v>
      </c>
      <c r="EN33" s="38">
        <v>1</v>
      </c>
      <c r="EO33" s="38">
        <v>1</v>
      </c>
      <c r="EP33" s="38">
        <v>1</v>
      </c>
      <c r="EQ33" s="38">
        <v>1</v>
      </c>
      <c r="ER33" s="38">
        <v>1</v>
      </c>
      <c r="ES33" s="38">
        <v>1</v>
      </c>
      <c r="ET33" s="38">
        <v>1</v>
      </c>
      <c r="EU33" s="38">
        <v>1</v>
      </c>
      <c r="EV33" s="38">
        <v>1</v>
      </c>
      <c r="EW33" s="38">
        <v>1</v>
      </c>
      <c r="EX33" s="38">
        <v>1</v>
      </c>
      <c r="EY33" s="38">
        <v>1</v>
      </c>
      <c r="EZ33" s="38">
        <v>1</v>
      </c>
      <c r="FA33" s="38">
        <v>1</v>
      </c>
      <c r="FB33" s="38">
        <v>1</v>
      </c>
      <c r="FC33" s="38">
        <v>1</v>
      </c>
      <c r="FD33" s="38">
        <v>1</v>
      </c>
      <c r="FE33" s="38">
        <v>1</v>
      </c>
      <c r="FF33" s="38">
        <v>1</v>
      </c>
      <c r="FG33" s="38">
        <v>1</v>
      </c>
      <c r="FH33" s="38">
        <v>1</v>
      </c>
      <c r="FI33" s="38">
        <v>1</v>
      </c>
      <c r="FJ33" s="38">
        <v>1</v>
      </c>
      <c r="FK33" s="38">
        <v>1</v>
      </c>
      <c r="FL33" s="38">
        <v>1</v>
      </c>
      <c r="FM33" s="38">
        <v>1</v>
      </c>
      <c r="FN33" s="38">
        <v>1</v>
      </c>
      <c r="FO33" s="38">
        <v>1</v>
      </c>
      <c r="FP33" s="38">
        <v>1</v>
      </c>
      <c r="FQ33" s="38">
        <v>1</v>
      </c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43"/>
      <c r="IE33" s="74"/>
      <c r="IF33" s="75"/>
      <c r="IG33" s="38"/>
      <c r="IH33" s="38"/>
    </row>
    <row r="34" spans="1:242" s="46" customFormat="1" ht="15" customHeight="1">
      <c r="A34" s="34">
        <v>33</v>
      </c>
      <c r="B34" s="34" t="s">
        <v>736</v>
      </c>
      <c r="C34" s="34" t="s">
        <v>737</v>
      </c>
      <c r="D34" s="35" t="s">
        <v>738</v>
      </c>
      <c r="E34" s="76">
        <v>45986</v>
      </c>
      <c r="F34" s="34" t="s">
        <v>739</v>
      </c>
      <c r="G34" s="34" t="s">
        <v>740</v>
      </c>
      <c r="H34" s="37" t="s">
        <v>339</v>
      </c>
      <c r="I34" s="38" t="s">
        <v>86</v>
      </c>
      <c r="J34" s="60" t="s">
        <v>741</v>
      </c>
      <c r="K34" s="38" t="s">
        <v>632</v>
      </c>
      <c r="L34" s="38" t="s">
        <v>742</v>
      </c>
      <c r="M34" s="38">
        <v>0</v>
      </c>
      <c r="N34" s="38">
        <v>1</v>
      </c>
      <c r="O34" s="41" t="s">
        <v>634</v>
      </c>
      <c r="P34" s="61" t="b">
        <v>1</v>
      </c>
      <c r="Q34" s="80">
        <f t="shared" si="1"/>
        <v>151</v>
      </c>
      <c r="R34" s="38">
        <v>1</v>
      </c>
      <c r="S34" s="38">
        <v>1</v>
      </c>
      <c r="T34" s="38">
        <v>1</v>
      </c>
      <c r="U34" s="38">
        <v>1</v>
      </c>
      <c r="V34" s="38">
        <v>1</v>
      </c>
      <c r="W34" s="38">
        <v>1</v>
      </c>
      <c r="X34" s="38">
        <v>1</v>
      </c>
      <c r="Y34" s="38">
        <v>1</v>
      </c>
      <c r="Z34" s="38">
        <v>1</v>
      </c>
      <c r="AA34" s="38">
        <v>1</v>
      </c>
      <c r="AB34" s="38">
        <v>1</v>
      </c>
      <c r="AC34" s="38">
        <v>1</v>
      </c>
      <c r="AD34" s="38">
        <v>1</v>
      </c>
      <c r="AE34" s="38">
        <v>1</v>
      </c>
      <c r="AF34" s="38">
        <v>1</v>
      </c>
      <c r="AG34" s="38">
        <v>1</v>
      </c>
      <c r="AH34" s="38">
        <v>1</v>
      </c>
      <c r="AI34" s="38">
        <v>1</v>
      </c>
      <c r="AJ34" s="38">
        <v>1</v>
      </c>
      <c r="AK34" s="38">
        <v>1</v>
      </c>
      <c r="AL34" s="38">
        <v>1</v>
      </c>
      <c r="AM34" s="38">
        <v>1</v>
      </c>
      <c r="AN34" s="38">
        <v>1</v>
      </c>
      <c r="AO34" s="38">
        <v>1</v>
      </c>
      <c r="AP34" s="38">
        <v>1</v>
      </c>
      <c r="AQ34" s="38">
        <v>1</v>
      </c>
      <c r="AR34" s="38">
        <v>1</v>
      </c>
      <c r="AS34" s="38">
        <v>1</v>
      </c>
      <c r="AT34" s="38">
        <v>1</v>
      </c>
      <c r="AU34" s="38">
        <v>1</v>
      </c>
      <c r="AV34" s="38">
        <v>1</v>
      </c>
      <c r="AW34" s="38">
        <v>1</v>
      </c>
      <c r="AX34" s="38">
        <v>1</v>
      </c>
      <c r="AY34" s="38">
        <v>1</v>
      </c>
      <c r="AZ34" s="38">
        <v>1</v>
      </c>
      <c r="BA34" s="38">
        <v>1</v>
      </c>
      <c r="BB34" s="38">
        <v>1</v>
      </c>
      <c r="BC34" s="38">
        <v>1</v>
      </c>
      <c r="BD34" s="38">
        <v>1</v>
      </c>
      <c r="BE34" s="38">
        <v>1</v>
      </c>
      <c r="BF34" s="38">
        <v>1</v>
      </c>
      <c r="BG34" s="38">
        <v>1</v>
      </c>
      <c r="BH34" s="38">
        <v>1</v>
      </c>
      <c r="BI34" s="38">
        <v>1</v>
      </c>
      <c r="BJ34" s="38">
        <v>1</v>
      </c>
      <c r="BK34" s="38">
        <v>1</v>
      </c>
      <c r="BL34" s="38">
        <v>1</v>
      </c>
      <c r="BM34" s="38">
        <v>1</v>
      </c>
      <c r="BN34" s="38">
        <v>1</v>
      </c>
      <c r="BO34" s="38">
        <v>1</v>
      </c>
      <c r="BP34" s="38">
        <v>1</v>
      </c>
      <c r="BQ34" s="38">
        <v>1</v>
      </c>
      <c r="BR34" s="38">
        <v>1</v>
      </c>
      <c r="BS34" s="38">
        <v>1</v>
      </c>
      <c r="BT34" s="38">
        <v>1</v>
      </c>
      <c r="BU34" s="38">
        <v>1</v>
      </c>
      <c r="BV34" s="38">
        <v>1</v>
      </c>
      <c r="BW34" s="38">
        <v>1</v>
      </c>
      <c r="BX34" s="38">
        <v>1</v>
      </c>
      <c r="BY34" s="38">
        <v>1</v>
      </c>
      <c r="BZ34" s="38">
        <v>1</v>
      </c>
      <c r="CA34" s="38">
        <v>1</v>
      </c>
      <c r="CB34" s="38">
        <v>1</v>
      </c>
      <c r="CC34" s="38">
        <v>1</v>
      </c>
      <c r="CD34" s="38">
        <v>1</v>
      </c>
      <c r="CE34" s="38">
        <v>1</v>
      </c>
      <c r="CF34" s="38">
        <v>1</v>
      </c>
      <c r="CG34" s="38">
        <v>1</v>
      </c>
      <c r="CH34" s="38">
        <v>1</v>
      </c>
      <c r="CI34" s="38">
        <v>1</v>
      </c>
      <c r="CJ34" s="38">
        <v>1</v>
      </c>
      <c r="CK34" s="38">
        <v>1</v>
      </c>
      <c r="CL34" s="38">
        <v>1</v>
      </c>
      <c r="CM34" s="38">
        <v>1</v>
      </c>
      <c r="CN34" s="38">
        <v>1</v>
      </c>
      <c r="CO34" s="38">
        <v>1</v>
      </c>
      <c r="CP34" s="38">
        <v>1</v>
      </c>
      <c r="CQ34" s="38">
        <v>1</v>
      </c>
      <c r="CR34" s="38">
        <v>1</v>
      </c>
      <c r="CS34" s="38">
        <v>1</v>
      </c>
      <c r="CT34" s="38">
        <v>1</v>
      </c>
      <c r="CU34" s="38">
        <v>1</v>
      </c>
      <c r="CV34" s="38">
        <v>1</v>
      </c>
      <c r="CW34" s="38">
        <v>1</v>
      </c>
      <c r="CX34" s="38">
        <v>1</v>
      </c>
      <c r="CY34" s="38">
        <v>1</v>
      </c>
      <c r="CZ34" s="38">
        <v>1</v>
      </c>
      <c r="DA34" s="38">
        <v>1</v>
      </c>
      <c r="DB34" s="38">
        <v>1</v>
      </c>
      <c r="DC34" s="38">
        <v>1</v>
      </c>
      <c r="DD34" s="38">
        <v>1</v>
      </c>
      <c r="DE34" s="38">
        <v>1</v>
      </c>
      <c r="DF34" s="38">
        <v>1</v>
      </c>
      <c r="DG34" s="38">
        <v>1</v>
      </c>
      <c r="DH34" s="38">
        <v>1</v>
      </c>
      <c r="DI34" s="38">
        <v>1</v>
      </c>
      <c r="DJ34" s="38">
        <v>1</v>
      </c>
      <c r="DK34" s="38">
        <v>1</v>
      </c>
      <c r="DL34" s="38">
        <v>1</v>
      </c>
      <c r="DM34" s="38">
        <v>1</v>
      </c>
      <c r="DN34" s="38">
        <v>1</v>
      </c>
      <c r="DO34" s="38">
        <v>1</v>
      </c>
      <c r="DP34" s="38">
        <v>1</v>
      </c>
      <c r="DQ34" s="38">
        <v>1</v>
      </c>
      <c r="DR34" s="38">
        <v>1</v>
      </c>
      <c r="DS34" s="38">
        <v>1</v>
      </c>
      <c r="DT34" s="38">
        <v>1</v>
      </c>
      <c r="DU34" s="38">
        <v>1</v>
      </c>
      <c r="DV34" s="38">
        <v>1</v>
      </c>
      <c r="DW34" s="38">
        <v>1</v>
      </c>
      <c r="DX34" s="38">
        <v>1</v>
      </c>
      <c r="DY34" s="38">
        <v>1</v>
      </c>
      <c r="DZ34" s="38">
        <v>1</v>
      </c>
      <c r="EA34" s="38">
        <v>1</v>
      </c>
      <c r="EB34" s="38">
        <v>1</v>
      </c>
      <c r="EC34" s="38">
        <v>1</v>
      </c>
      <c r="ED34" s="38">
        <v>1</v>
      </c>
      <c r="EE34" s="38">
        <v>1</v>
      </c>
      <c r="EF34" s="38">
        <v>1</v>
      </c>
      <c r="EG34" s="38">
        <v>1</v>
      </c>
      <c r="EH34" s="38">
        <v>1</v>
      </c>
      <c r="EI34" s="38">
        <v>1</v>
      </c>
      <c r="EJ34" s="38">
        <v>1</v>
      </c>
      <c r="EK34" s="38">
        <v>1</v>
      </c>
      <c r="EL34" s="38">
        <v>1</v>
      </c>
      <c r="EM34" s="38">
        <v>1</v>
      </c>
      <c r="EN34" s="38">
        <v>1</v>
      </c>
      <c r="EO34" s="38">
        <v>1</v>
      </c>
      <c r="EP34" s="38">
        <v>1</v>
      </c>
      <c r="EQ34" s="38">
        <v>1</v>
      </c>
      <c r="ER34" s="38">
        <v>1</v>
      </c>
      <c r="ES34" s="38">
        <v>1</v>
      </c>
      <c r="ET34" s="38">
        <v>1</v>
      </c>
      <c r="EU34" s="38">
        <v>1</v>
      </c>
      <c r="EV34" s="38">
        <v>1</v>
      </c>
      <c r="EW34" s="38">
        <v>1</v>
      </c>
      <c r="EX34" s="38">
        <v>1</v>
      </c>
      <c r="EY34" s="38">
        <v>1</v>
      </c>
      <c r="EZ34" s="38">
        <v>1</v>
      </c>
      <c r="FA34" s="38">
        <v>1</v>
      </c>
      <c r="FB34" s="38">
        <v>1</v>
      </c>
      <c r="FC34" s="38">
        <v>1</v>
      </c>
      <c r="FD34" s="38">
        <v>1</v>
      </c>
      <c r="FE34" s="38">
        <v>1</v>
      </c>
      <c r="FF34" s="38">
        <v>1</v>
      </c>
      <c r="FG34" s="38">
        <v>1</v>
      </c>
      <c r="FH34" s="38">
        <v>1</v>
      </c>
      <c r="FI34" s="38">
        <v>1</v>
      </c>
      <c r="FJ34" s="38">
        <v>1</v>
      </c>
      <c r="FK34" s="38">
        <v>1</v>
      </c>
      <c r="FL34" s="38">
        <v>1</v>
      </c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</row>
    <row r="35" spans="1:242" s="46" customFormat="1" ht="15" customHeight="1">
      <c r="A35" s="34">
        <v>34</v>
      </c>
      <c r="B35" s="34" t="s">
        <v>743</v>
      </c>
      <c r="C35" s="34" t="s">
        <v>737</v>
      </c>
      <c r="D35" s="35" t="s">
        <v>738</v>
      </c>
      <c r="E35" s="36">
        <v>45986</v>
      </c>
      <c r="F35" s="34" t="s">
        <v>739</v>
      </c>
      <c r="G35" s="34" t="s">
        <v>740</v>
      </c>
      <c r="H35" s="37" t="s">
        <v>339</v>
      </c>
      <c r="I35" s="38" t="s">
        <v>86</v>
      </c>
      <c r="J35" s="60" t="s">
        <v>744</v>
      </c>
      <c r="K35" s="38" t="s">
        <v>632</v>
      </c>
      <c r="L35" s="38" t="s">
        <v>633</v>
      </c>
      <c r="M35" s="38">
        <v>1</v>
      </c>
      <c r="N35" s="38">
        <v>0</v>
      </c>
      <c r="O35" s="41" t="s">
        <v>634</v>
      </c>
      <c r="P35" s="61" t="b">
        <v>1</v>
      </c>
      <c r="Q35" s="40">
        <f t="shared" si="1"/>
        <v>151</v>
      </c>
      <c r="R35" s="38">
        <v>1</v>
      </c>
      <c r="S35" s="38">
        <v>1</v>
      </c>
      <c r="T35" s="38">
        <v>1</v>
      </c>
      <c r="U35" s="38">
        <v>1</v>
      </c>
      <c r="V35" s="38">
        <v>1</v>
      </c>
      <c r="W35" s="38">
        <v>1</v>
      </c>
      <c r="X35" s="38">
        <v>1</v>
      </c>
      <c r="Y35" s="38">
        <v>1</v>
      </c>
      <c r="Z35" s="38">
        <v>1</v>
      </c>
      <c r="AA35" s="38">
        <v>1</v>
      </c>
      <c r="AB35" s="38">
        <v>1</v>
      </c>
      <c r="AC35" s="38">
        <v>1</v>
      </c>
      <c r="AD35" s="38">
        <v>1</v>
      </c>
      <c r="AE35" s="38">
        <v>1</v>
      </c>
      <c r="AF35" s="38">
        <v>1</v>
      </c>
      <c r="AG35" s="38">
        <v>1</v>
      </c>
      <c r="AH35" s="38">
        <v>1</v>
      </c>
      <c r="AI35" s="38">
        <v>1</v>
      </c>
      <c r="AJ35" s="38">
        <v>1</v>
      </c>
      <c r="AK35" s="38">
        <v>1</v>
      </c>
      <c r="AL35" s="38">
        <v>1</v>
      </c>
      <c r="AM35" s="38">
        <v>1</v>
      </c>
      <c r="AN35" s="38">
        <v>1</v>
      </c>
      <c r="AO35" s="38">
        <v>1</v>
      </c>
      <c r="AP35" s="38">
        <v>1</v>
      </c>
      <c r="AQ35" s="38">
        <v>1</v>
      </c>
      <c r="AR35" s="38">
        <v>1</v>
      </c>
      <c r="AS35" s="38">
        <v>1</v>
      </c>
      <c r="AT35" s="38">
        <v>1</v>
      </c>
      <c r="AU35" s="38">
        <v>1</v>
      </c>
      <c r="AV35" s="38">
        <v>1</v>
      </c>
      <c r="AW35" s="38">
        <v>1</v>
      </c>
      <c r="AX35" s="38">
        <v>1</v>
      </c>
      <c r="AY35" s="38">
        <v>1</v>
      </c>
      <c r="AZ35" s="38">
        <v>1</v>
      </c>
      <c r="BA35" s="38">
        <v>1</v>
      </c>
      <c r="BB35" s="38">
        <v>1</v>
      </c>
      <c r="BC35" s="38">
        <v>1</v>
      </c>
      <c r="BD35" s="38">
        <v>1</v>
      </c>
      <c r="BE35" s="38">
        <v>1</v>
      </c>
      <c r="BF35" s="38">
        <v>1</v>
      </c>
      <c r="BG35" s="38">
        <v>1</v>
      </c>
      <c r="BH35" s="38">
        <v>1</v>
      </c>
      <c r="BI35" s="38">
        <v>1</v>
      </c>
      <c r="BJ35" s="38">
        <v>1</v>
      </c>
      <c r="BK35" s="38">
        <v>1</v>
      </c>
      <c r="BL35" s="38">
        <v>1</v>
      </c>
      <c r="BM35" s="38">
        <v>1</v>
      </c>
      <c r="BN35" s="38">
        <v>1</v>
      </c>
      <c r="BO35" s="38">
        <v>1</v>
      </c>
      <c r="BP35" s="38">
        <v>1</v>
      </c>
      <c r="BQ35" s="38">
        <v>1</v>
      </c>
      <c r="BR35" s="38">
        <v>1</v>
      </c>
      <c r="BS35" s="38">
        <v>1</v>
      </c>
      <c r="BT35" s="38">
        <v>1</v>
      </c>
      <c r="BU35" s="38">
        <v>1</v>
      </c>
      <c r="BV35" s="38">
        <v>1</v>
      </c>
      <c r="BW35" s="38">
        <v>1</v>
      </c>
      <c r="BX35" s="38">
        <v>1</v>
      </c>
      <c r="BY35" s="38">
        <v>1</v>
      </c>
      <c r="BZ35" s="38">
        <v>1</v>
      </c>
      <c r="CA35" s="38">
        <v>1</v>
      </c>
      <c r="CB35" s="38">
        <v>1</v>
      </c>
      <c r="CC35" s="38">
        <v>1</v>
      </c>
      <c r="CD35" s="38">
        <v>1</v>
      </c>
      <c r="CE35" s="38">
        <v>1</v>
      </c>
      <c r="CF35" s="38">
        <v>1</v>
      </c>
      <c r="CG35" s="38">
        <v>1</v>
      </c>
      <c r="CH35" s="38">
        <v>1</v>
      </c>
      <c r="CI35" s="38">
        <v>1</v>
      </c>
      <c r="CJ35" s="38">
        <v>1</v>
      </c>
      <c r="CK35" s="38">
        <v>1</v>
      </c>
      <c r="CL35" s="38">
        <v>1</v>
      </c>
      <c r="CM35" s="38">
        <v>1</v>
      </c>
      <c r="CN35" s="38">
        <v>1</v>
      </c>
      <c r="CO35" s="38">
        <v>1</v>
      </c>
      <c r="CP35" s="38">
        <v>1</v>
      </c>
      <c r="CQ35" s="38">
        <v>1</v>
      </c>
      <c r="CR35" s="38">
        <v>1</v>
      </c>
      <c r="CS35" s="38">
        <v>1</v>
      </c>
      <c r="CT35" s="38">
        <v>1</v>
      </c>
      <c r="CU35" s="38">
        <v>1</v>
      </c>
      <c r="CV35" s="38">
        <v>1</v>
      </c>
      <c r="CW35" s="38">
        <v>1</v>
      </c>
      <c r="CX35" s="38">
        <v>1</v>
      </c>
      <c r="CY35" s="38">
        <v>1</v>
      </c>
      <c r="CZ35" s="38">
        <v>1</v>
      </c>
      <c r="DA35" s="38">
        <v>1</v>
      </c>
      <c r="DB35" s="38">
        <v>1</v>
      </c>
      <c r="DC35" s="38">
        <v>1</v>
      </c>
      <c r="DD35" s="38">
        <v>1</v>
      </c>
      <c r="DE35" s="38">
        <v>1</v>
      </c>
      <c r="DF35" s="38">
        <v>1</v>
      </c>
      <c r="DG35" s="38">
        <v>1</v>
      </c>
      <c r="DH35" s="38">
        <v>1</v>
      </c>
      <c r="DI35" s="38">
        <v>1</v>
      </c>
      <c r="DJ35" s="38">
        <v>1</v>
      </c>
      <c r="DK35" s="38">
        <v>1</v>
      </c>
      <c r="DL35" s="38">
        <v>1</v>
      </c>
      <c r="DM35" s="38">
        <v>1</v>
      </c>
      <c r="DN35" s="38">
        <v>1</v>
      </c>
      <c r="DO35" s="38">
        <v>1</v>
      </c>
      <c r="DP35" s="38">
        <v>1</v>
      </c>
      <c r="DQ35" s="38">
        <v>1</v>
      </c>
      <c r="DR35" s="38">
        <v>1</v>
      </c>
      <c r="DS35" s="38">
        <v>1</v>
      </c>
      <c r="DT35" s="38">
        <v>1</v>
      </c>
      <c r="DU35" s="38">
        <v>1</v>
      </c>
      <c r="DV35" s="38">
        <v>1</v>
      </c>
      <c r="DW35" s="38">
        <v>1</v>
      </c>
      <c r="DX35" s="38">
        <v>1</v>
      </c>
      <c r="DY35" s="38">
        <v>1</v>
      </c>
      <c r="DZ35" s="38">
        <v>1</v>
      </c>
      <c r="EA35" s="38">
        <v>1</v>
      </c>
      <c r="EB35" s="38">
        <v>1</v>
      </c>
      <c r="EC35" s="38">
        <v>1</v>
      </c>
      <c r="ED35" s="38">
        <v>1</v>
      </c>
      <c r="EE35" s="38">
        <v>1</v>
      </c>
      <c r="EF35" s="38">
        <v>1</v>
      </c>
      <c r="EG35" s="38">
        <v>1</v>
      </c>
      <c r="EH35" s="38">
        <v>1</v>
      </c>
      <c r="EI35" s="38">
        <v>1</v>
      </c>
      <c r="EJ35" s="38">
        <v>1</v>
      </c>
      <c r="EK35" s="38">
        <v>1</v>
      </c>
      <c r="EL35" s="38">
        <v>1</v>
      </c>
      <c r="EM35" s="38">
        <v>1</v>
      </c>
      <c r="EN35" s="38">
        <v>1</v>
      </c>
      <c r="EO35" s="38">
        <v>1</v>
      </c>
      <c r="EP35" s="38">
        <v>1</v>
      </c>
      <c r="EQ35" s="38">
        <v>1</v>
      </c>
      <c r="ER35" s="38">
        <v>1</v>
      </c>
      <c r="ES35" s="38">
        <v>1</v>
      </c>
      <c r="ET35" s="38">
        <v>1</v>
      </c>
      <c r="EU35" s="38">
        <v>1</v>
      </c>
      <c r="EV35" s="38">
        <v>1</v>
      </c>
      <c r="EW35" s="38">
        <v>1</v>
      </c>
      <c r="EX35" s="38">
        <v>1</v>
      </c>
      <c r="EY35" s="38">
        <v>1</v>
      </c>
      <c r="EZ35" s="38">
        <v>1</v>
      </c>
      <c r="FA35" s="38">
        <v>1</v>
      </c>
      <c r="FB35" s="38">
        <v>1</v>
      </c>
      <c r="FC35" s="38">
        <v>1</v>
      </c>
      <c r="FD35" s="38">
        <v>1</v>
      </c>
      <c r="FE35" s="38">
        <v>1</v>
      </c>
      <c r="FF35" s="38">
        <v>1</v>
      </c>
      <c r="FG35" s="38">
        <v>1</v>
      </c>
      <c r="FH35" s="38">
        <v>1</v>
      </c>
      <c r="FI35" s="38">
        <v>1</v>
      </c>
      <c r="FJ35" s="38">
        <v>1</v>
      </c>
      <c r="FK35" s="38">
        <v>1</v>
      </c>
      <c r="FL35" s="38">
        <v>1</v>
      </c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</row>
    <row r="36" spans="1:242" s="88" customFormat="1" ht="15" customHeight="1">
      <c r="A36" s="81"/>
      <c r="B36" s="81"/>
      <c r="C36" s="81"/>
      <c r="D36" s="82"/>
      <c r="E36" s="49">
        <v>45986</v>
      </c>
      <c r="F36" s="47"/>
      <c r="G36" s="47"/>
      <c r="H36" s="83" t="s">
        <v>339</v>
      </c>
      <c r="I36" s="84" t="s">
        <v>86</v>
      </c>
      <c r="J36" s="78" t="s">
        <v>745</v>
      </c>
      <c r="K36" s="51" t="s">
        <v>648</v>
      </c>
      <c r="L36" s="51">
        <v>0</v>
      </c>
      <c r="M36" s="51">
        <v>1</v>
      </c>
      <c r="N36" s="85"/>
      <c r="O36" s="86"/>
      <c r="P36" s="84">
        <v>4</v>
      </c>
      <c r="Q36" s="51">
        <v>1</v>
      </c>
      <c r="R36" s="51">
        <v>1</v>
      </c>
      <c r="S36" s="51">
        <v>1</v>
      </c>
      <c r="T36" s="51">
        <v>1</v>
      </c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  <c r="DK36" s="87"/>
      <c r="DL36" s="87"/>
      <c r="DM36" s="87"/>
      <c r="DN36" s="87"/>
      <c r="DO36" s="87"/>
      <c r="DP36" s="87"/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/>
      <c r="EQ36" s="87"/>
      <c r="ER36" s="87"/>
      <c r="ES36" s="87"/>
      <c r="ET36" s="87"/>
      <c r="EU36" s="87"/>
      <c r="EV36" s="87"/>
      <c r="EW36" s="87"/>
      <c r="EX36" s="87"/>
      <c r="EY36" s="87"/>
      <c r="EZ36" s="87"/>
      <c r="FA36" s="87"/>
      <c r="FB36" s="87"/>
      <c r="FC36" s="87"/>
      <c r="FD36" s="87"/>
      <c r="FE36" s="87"/>
      <c r="FF36" s="87"/>
      <c r="FG36" s="87"/>
      <c r="FH36" s="87"/>
      <c r="FI36" s="87"/>
      <c r="FJ36" s="87"/>
      <c r="FK36" s="87"/>
      <c r="FL36" s="87"/>
      <c r="FM36" s="87"/>
      <c r="FN36" s="87"/>
      <c r="FO36" s="87"/>
      <c r="FP36" s="87"/>
      <c r="FQ36" s="87"/>
      <c r="FR36" s="87"/>
      <c r="FS36" s="87"/>
      <c r="FT36" s="87"/>
      <c r="FU36" s="87"/>
      <c r="FV36" s="87"/>
      <c r="FW36" s="87"/>
      <c r="FX36" s="87"/>
      <c r="FY36" s="87"/>
      <c r="FZ36" s="87"/>
      <c r="GA36" s="87"/>
      <c r="GB36" s="87"/>
      <c r="GC36" s="87"/>
      <c r="GD36" s="87"/>
      <c r="GE36" s="87"/>
      <c r="GF36" s="87"/>
      <c r="GG36" s="87"/>
      <c r="GH36" s="87"/>
      <c r="GI36" s="87"/>
      <c r="GJ36" s="87"/>
      <c r="GK36" s="87"/>
      <c r="GL36" s="87"/>
      <c r="GM36" s="87"/>
      <c r="GN36" s="87"/>
      <c r="GO36" s="87"/>
      <c r="GP36" s="87"/>
      <c r="GQ36" s="87"/>
      <c r="GR36" s="87"/>
      <c r="GS36" s="87"/>
      <c r="GT36" s="87"/>
      <c r="GU36" s="87"/>
      <c r="GV36" s="87"/>
      <c r="GW36" s="87"/>
      <c r="GX36" s="87"/>
      <c r="GY36" s="87"/>
      <c r="GZ36" s="87"/>
      <c r="HA36" s="87"/>
      <c r="HB36" s="87"/>
      <c r="HC36" s="87"/>
      <c r="HD36" s="87"/>
      <c r="HE36" s="87"/>
      <c r="HF36" s="87"/>
      <c r="HG36" s="87"/>
      <c r="HH36" s="87"/>
      <c r="HI36" s="87"/>
      <c r="HJ36" s="87"/>
      <c r="HK36" s="87"/>
      <c r="HL36" s="87"/>
      <c r="HM36" s="87"/>
      <c r="HN36" s="87"/>
      <c r="HO36" s="87"/>
      <c r="HP36" s="87"/>
      <c r="HQ36" s="87"/>
      <c r="HR36" s="87"/>
      <c r="HS36" s="87"/>
      <c r="HT36" s="87"/>
      <c r="HU36" s="87"/>
      <c r="HV36" s="87"/>
      <c r="HW36" s="87"/>
      <c r="HX36" s="87"/>
      <c r="HY36" s="87"/>
      <c r="HZ36" s="87"/>
      <c r="IA36" s="87"/>
      <c r="IB36" s="87"/>
      <c r="IC36" s="87"/>
    </row>
    <row r="37" spans="1:242" s="46" customFormat="1" ht="15" customHeight="1">
      <c r="A37" s="34">
        <v>35</v>
      </c>
      <c r="B37" s="34" t="s">
        <v>746</v>
      </c>
      <c r="C37" s="34" t="s">
        <v>737</v>
      </c>
      <c r="D37" s="35" t="s">
        <v>738</v>
      </c>
      <c r="E37" s="36">
        <v>45986</v>
      </c>
      <c r="F37" s="34" t="s">
        <v>739</v>
      </c>
      <c r="G37" s="34" t="s">
        <v>740</v>
      </c>
      <c r="H37" s="37" t="s">
        <v>339</v>
      </c>
      <c r="I37" s="38" t="s">
        <v>86</v>
      </c>
      <c r="J37" s="60" t="s">
        <v>747</v>
      </c>
      <c r="K37" s="38" t="s">
        <v>632</v>
      </c>
      <c r="L37" s="38" t="s">
        <v>633</v>
      </c>
      <c r="M37" s="38">
        <v>1</v>
      </c>
      <c r="N37" s="38">
        <v>0</v>
      </c>
      <c r="O37" s="41" t="s">
        <v>634</v>
      </c>
      <c r="P37" s="61" t="b">
        <v>1</v>
      </c>
      <c r="Q37" s="40">
        <f>SUM(R37:GO37)</f>
        <v>151</v>
      </c>
      <c r="R37" s="38">
        <v>1</v>
      </c>
      <c r="S37" s="38">
        <v>1</v>
      </c>
      <c r="T37" s="38">
        <v>1</v>
      </c>
      <c r="U37" s="38">
        <v>1</v>
      </c>
      <c r="V37" s="38">
        <v>1</v>
      </c>
      <c r="W37" s="38">
        <v>1</v>
      </c>
      <c r="X37" s="38">
        <v>1</v>
      </c>
      <c r="Y37" s="38">
        <v>1</v>
      </c>
      <c r="Z37" s="38">
        <v>1</v>
      </c>
      <c r="AA37" s="38">
        <v>1</v>
      </c>
      <c r="AB37" s="38">
        <v>1</v>
      </c>
      <c r="AC37" s="38">
        <v>1</v>
      </c>
      <c r="AD37" s="38">
        <v>1</v>
      </c>
      <c r="AE37" s="38">
        <v>1</v>
      </c>
      <c r="AF37" s="38">
        <v>1</v>
      </c>
      <c r="AG37" s="38">
        <v>1</v>
      </c>
      <c r="AH37" s="38">
        <v>1</v>
      </c>
      <c r="AI37" s="38">
        <v>1</v>
      </c>
      <c r="AJ37" s="38">
        <v>1</v>
      </c>
      <c r="AK37" s="38">
        <v>1</v>
      </c>
      <c r="AL37" s="38">
        <v>1</v>
      </c>
      <c r="AM37" s="38">
        <v>1</v>
      </c>
      <c r="AN37" s="38">
        <v>1</v>
      </c>
      <c r="AO37" s="38">
        <v>1</v>
      </c>
      <c r="AP37" s="38">
        <v>1</v>
      </c>
      <c r="AQ37" s="38">
        <v>1</v>
      </c>
      <c r="AR37" s="38">
        <v>1</v>
      </c>
      <c r="AS37" s="38">
        <v>1</v>
      </c>
      <c r="AT37" s="38">
        <v>1</v>
      </c>
      <c r="AU37" s="38">
        <v>1</v>
      </c>
      <c r="AV37" s="38">
        <v>1</v>
      </c>
      <c r="AW37" s="38">
        <v>1</v>
      </c>
      <c r="AX37" s="38">
        <v>1</v>
      </c>
      <c r="AY37" s="38">
        <v>1</v>
      </c>
      <c r="AZ37" s="38">
        <v>1</v>
      </c>
      <c r="BA37" s="38">
        <v>1</v>
      </c>
      <c r="BB37" s="38">
        <v>1</v>
      </c>
      <c r="BC37" s="38">
        <v>1</v>
      </c>
      <c r="BD37" s="38">
        <v>1</v>
      </c>
      <c r="BE37" s="38">
        <v>1</v>
      </c>
      <c r="BF37" s="38">
        <v>1</v>
      </c>
      <c r="BG37" s="38">
        <v>1</v>
      </c>
      <c r="BH37" s="38">
        <v>1</v>
      </c>
      <c r="BI37" s="38">
        <v>1</v>
      </c>
      <c r="BJ37" s="38">
        <v>1</v>
      </c>
      <c r="BK37" s="38">
        <v>1</v>
      </c>
      <c r="BL37" s="38">
        <v>1</v>
      </c>
      <c r="BM37" s="38">
        <v>1</v>
      </c>
      <c r="BN37" s="38">
        <v>1</v>
      </c>
      <c r="BO37" s="38">
        <v>1</v>
      </c>
      <c r="BP37" s="38">
        <v>1</v>
      </c>
      <c r="BQ37" s="38">
        <v>1</v>
      </c>
      <c r="BR37" s="38">
        <v>1</v>
      </c>
      <c r="BS37" s="38">
        <v>1</v>
      </c>
      <c r="BT37" s="38">
        <v>1</v>
      </c>
      <c r="BU37" s="38">
        <v>1</v>
      </c>
      <c r="BV37" s="38">
        <v>1</v>
      </c>
      <c r="BW37" s="38">
        <v>1</v>
      </c>
      <c r="BX37" s="38">
        <v>1</v>
      </c>
      <c r="BY37" s="38">
        <v>1</v>
      </c>
      <c r="BZ37" s="38">
        <v>1</v>
      </c>
      <c r="CA37" s="38">
        <v>1</v>
      </c>
      <c r="CB37" s="38">
        <v>1</v>
      </c>
      <c r="CC37" s="38">
        <v>1</v>
      </c>
      <c r="CD37" s="38">
        <v>1</v>
      </c>
      <c r="CE37" s="38">
        <v>1</v>
      </c>
      <c r="CF37" s="38">
        <v>1</v>
      </c>
      <c r="CG37" s="38">
        <v>1</v>
      </c>
      <c r="CH37" s="38">
        <v>1</v>
      </c>
      <c r="CI37" s="38">
        <v>1</v>
      </c>
      <c r="CJ37" s="38">
        <v>1</v>
      </c>
      <c r="CK37" s="38">
        <v>1</v>
      </c>
      <c r="CL37" s="38">
        <v>1</v>
      </c>
      <c r="CM37" s="38">
        <v>1</v>
      </c>
      <c r="CN37" s="38">
        <v>1</v>
      </c>
      <c r="CO37" s="38">
        <v>1</v>
      </c>
      <c r="CP37" s="38">
        <v>1</v>
      </c>
      <c r="CQ37" s="38">
        <v>1</v>
      </c>
      <c r="CR37" s="38">
        <v>1</v>
      </c>
      <c r="CS37" s="38">
        <v>1</v>
      </c>
      <c r="CT37" s="38">
        <v>1</v>
      </c>
      <c r="CU37" s="38">
        <v>1</v>
      </c>
      <c r="CV37" s="38">
        <v>1</v>
      </c>
      <c r="CW37" s="38">
        <v>1</v>
      </c>
      <c r="CX37" s="38">
        <v>1</v>
      </c>
      <c r="CY37" s="38">
        <v>1</v>
      </c>
      <c r="CZ37" s="38">
        <v>1</v>
      </c>
      <c r="DA37" s="38">
        <v>1</v>
      </c>
      <c r="DB37" s="38">
        <v>1</v>
      </c>
      <c r="DC37" s="38">
        <v>1</v>
      </c>
      <c r="DD37" s="38">
        <v>1</v>
      </c>
      <c r="DE37" s="38">
        <v>1</v>
      </c>
      <c r="DF37" s="38">
        <v>1</v>
      </c>
      <c r="DG37" s="38">
        <v>1</v>
      </c>
      <c r="DH37" s="38">
        <v>1</v>
      </c>
      <c r="DI37" s="38">
        <v>1</v>
      </c>
      <c r="DJ37" s="38">
        <v>1</v>
      </c>
      <c r="DK37" s="38">
        <v>1</v>
      </c>
      <c r="DL37" s="38">
        <v>1</v>
      </c>
      <c r="DM37" s="38">
        <v>1</v>
      </c>
      <c r="DN37" s="38">
        <v>1</v>
      </c>
      <c r="DO37" s="38">
        <v>1</v>
      </c>
      <c r="DP37" s="38">
        <v>1</v>
      </c>
      <c r="DQ37" s="38">
        <v>1</v>
      </c>
      <c r="DR37" s="38">
        <v>1</v>
      </c>
      <c r="DS37" s="38">
        <v>1</v>
      </c>
      <c r="DT37" s="38">
        <v>1</v>
      </c>
      <c r="DU37" s="38">
        <v>1</v>
      </c>
      <c r="DV37" s="38">
        <v>1</v>
      </c>
      <c r="DW37" s="38">
        <v>1</v>
      </c>
      <c r="DX37" s="38">
        <v>1</v>
      </c>
      <c r="DY37" s="38">
        <v>1</v>
      </c>
      <c r="DZ37" s="38">
        <v>1</v>
      </c>
      <c r="EA37" s="38">
        <v>1</v>
      </c>
      <c r="EB37" s="38">
        <v>1</v>
      </c>
      <c r="EC37" s="38">
        <v>1</v>
      </c>
      <c r="ED37" s="38">
        <v>1</v>
      </c>
      <c r="EE37" s="38">
        <v>1</v>
      </c>
      <c r="EF37" s="38">
        <v>1</v>
      </c>
      <c r="EG37" s="38">
        <v>1</v>
      </c>
      <c r="EH37" s="38">
        <v>1</v>
      </c>
      <c r="EI37" s="38">
        <v>1</v>
      </c>
      <c r="EJ37" s="38">
        <v>1</v>
      </c>
      <c r="EK37" s="38">
        <v>1</v>
      </c>
      <c r="EL37" s="38">
        <v>1</v>
      </c>
      <c r="EM37" s="38">
        <v>1</v>
      </c>
      <c r="EN37" s="38">
        <v>1</v>
      </c>
      <c r="EO37" s="38">
        <v>1</v>
      </c>
      <c r="EP37" s="38">
        <v>1</v>
      </c>
      <c r="EQ37" s="38">
        <v>1</v>
      </c>
      <c r="ER37" s="38">
        <v>1</v>
      </c>
      <c r="ES37" s="38">
        <v>1</v>
      </c>
      <c r="ET37" s="38">
        <v>1</v>
      </c>
      <c r="EU37" s="38">
        <v>1</v>
      </c>
      <c r="EV37" s="38">
        <v>1</v>
      </c>
      <c r="EW37" s="38">
        <v>1</v>
      </c>
      <c r="EX37" s="38">
        <v>1</v>
      </c>
      <c r="EY37" s="38">
        <v>1</v>
      </c>
      <c r="EZ37" s="38">
        <v>1</v>
      </c>
      <c r="FA37" s="38">
        <v>1</v>
      </c>
      <c r="FB37" s="38">
        <v>1</v>
      </c>
      <c r="FC37" s="38">
        <v>1</v>
      </c>
      <c r="FD37" s="38">
        <v>1</v>
      </c>
      <c r="FE37" s="38">
        <v>1</v>
      </c>
      <c r="FF37" s="38">
        <v>1</v>
      </c>
      <c r="FG37" s="38">
        <v>1</v>
      </c>
      <c r="FH37" s="38">
        <v>1</v>
      </c>
      <c r="FI37" s="38">
        <v>1</v>
      </c>
      <c r="FJ37" s="38">
        <v>1</v>
      </c>
      <c r="FK37" s="38">
        <v>1</v>
      </c>
      <c r="FL37" s="38">
        <v>1</v>
      </c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</row>
    <row r="38" spans="1:242" s="88" customFormat="1" ht="15" customHeight="1">
      <c r="A38" s="81"/>
      <c r="B38" s="81"/>
      <c r="C38" s="81"/>
      <c r="D38" s="82"/>
      <c r="E38" s="49">
        <v>45986</v>
      </c>
      <c r="F38" s="47"/>
      <c r="G38" s="47"/>
      <c r="H38" s="83" t="s">
        <v>339</v>
      </c>
      <c r="I38" s="84" t="s">
        <v>86</v>
      </c>
      <c r="J38" s="78" t="s">
        <v>748</v>
      </c>
      <c r="K38" s="51" t="s">
        <v>648</v>
      </c>
      <c r="L38" s="51">
        <v>0</v>
      </c>
      <c r="M38" s="51">
        <v>1</v>
      </c>
      <c r="N38" s="85"/>
      <c r="O38" s="86" t="b">
        <v>0</v>
      </c>
      <c r="P38" s="84">
        <v>3</v>
      </c>
      <c r="Q38" s="51">
        <v>1</v>
      </c>
      <c r="R38" s="51">
        <v>1</v>
      </c>
      <c r="S38" s="51">
        <v>1</v>
      </c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/>
      <c r="EQ38" s="87"/>
      <c r="ER38" s="87"/>
      <c r="ES38" s="87"/>
      <c r="ET38" s="87"/>
      <c r="EU38" s="87"/>
      <c r="EV38" s="87"/>
      <c r="EW38" s="87"/>
      <c r="EX38" s="87"/>
      <c r="EY38" s="87"/>
      <c r="EZ38" s="87"/>
      <c r="FA38" s="87"/>
      <c r="FB38" s="87"/>
      <c r="FC38" s="87"/>
      <c r="FD38" s="87"/>
      <c r="FE38" s="87"/>
      <c r="FF38" s="87"/>
      <c r="FG38" s="87"/>
      <c r="FH38" s="87"/>
      <c r="FI38" s="87"/>
      <c r="FJ38" s="87"/>
      <c r="FK38" s="87"/>
      <c r="FL38" s="87"/>
      <c r="FM38" s="87"/>
      <c r="FN38" s="87"/>
      <c r="FO38" s="87"/>
      <c r="FP38" s="87"/>
      <c r="FQ38" s="87"/>
      <c r="FR38" s="87"/>
      <c r="FS38" s="87"/>
      <c r="FT38" s="87"/>
      <c r="FU38" s="87"/>
      <c r="FV38" s="87"/>
      <c r="FW38" s="87"/>
      <c r="FX38" s="87"/>
      <c r="FY38" s="87"/>
      <c r="FZ38" s="87"/>
      <c r="GA38" s="87"/>
      <c r="GB38" s="87"/>
      <c r="GC38" s="87"/>
      <c r="GD38" s="87"/>
      <c r="GE38" s="87"/>
      <c r="GF38" s="87"/>
      <c r="GG38" s="87"/>
      <c r="GH38" s="87"/>
      <c r="GI38" s="87"/>
      <c r="GJ38" s="87"/>
      <c r="GK38" s="87"/>
      <c r="GL38" s="87"/>
      <c r="GM38" s="87"/>
      <c r="GN38" s="87"/>
      <c r="GO38" s="87"/>
      <c r="GP38" s="87"/>
      <c r="GQ38" s="87"/>
      <c r="GR38" s="87"/>
      <c r="GS38" s="87"/>
      <c r="GT38" s="87"/>
      <c r="GU38" s="87"/>
      <c r="GV38" s="87"/>
      <c r="GW38" s="87"/>
      <c r="GX38" s="87"/>
      <c r="GY38" s="87"/>
      <c r="GZ38" s="87"/>
      <c r="HA38" s="87"/>
      <c r="HB38" s="87"/>
      <c r="HC38" s="87"/>
      <c r="HD38" s="87"/>
      <c r="HE38" s="87"/>
      <c r="HF38" s="87"/>
      <c r="HG38" s="87"/>
      <c r="HH38" s="87"/>
      <c r="HI38" s="87"/>
      <c r="HJ38" s="87"/>
      <c r="HK38" s="87"/>
      <c r="HL38" s="87"/>
      <c r="HM38" s="87"/>
      <c r="HN38" s="87"/>
      <c r="HO38" s="87"/>
      <c r="HP38" s="87"/>
      <c r="HQ38" s="87"/>
      <c r="HR38" s="87"/>
      <c r="HS38" s="87"/>
      <c r="HT38" s="87"/>
      <c r="HU38" s="87"/>
      <c r="HV38" s="87"/>
      <c r="HW38" s="87"/>
      <c r="HX38" s="87"/>
      <c r="HY38" s="87"/>
      <c r="HZ38" s="87"/>
      <c r="IA38" s="87"/>
      <c r="IB38" s="87"/>
      <c r="IC38" s="87"/>
    </row>
    <row r="39" spans="1:242" s="88" customFormat="1" ht="15" customHeight="1">
      <c r="A39" s="81"/>
      <c r="B39" s="81"/>
      <c r="C39" s="81"/>
      <c r="D39" s="82"/>
      <c r="E39" s="49">
        <v>45986</v>
      </c>
      <c r="F39" s="47"/>
      <c r="G39" s="47"/>
      <c r="H39" s="83" t="s">
        <v>339</v>
      </c>
      <c r="I39" s="84" t="s">
        <v>86</v>
      </c>
      <c r="J39" s="78" t="s">
        <v>749</v>
      </c>
      <c r="K39" s="51" t="s">
        <v>648</v>
      </c>
      <c r="L39" s="51">
        <v>0</v>
      </c>
      <c r="M39" s="51">
        <v>1</v>
      </c>
      <c r="N39" s="85"/>
      <c r="O39" s="86" t="b">
        <v>0</v>
      </c>
      <c r="P39" s="84">
        <v>3</v>
      </c>
      <c r="Q39" s="51">
        <v>1</v>
      </c>
      <c r="R39" s="51">
        <v>1</v>
      </c>
      <c r="S39" s="51">
        <v>1</v>
      </c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/>
      <c r="EQ39" s="87"/>
      <c r="ER39" s="87"/>
      <c r="ES39" s="87"/>
      <c r="ET39" s="87"/>
      <c r="EU39" s="87"/>
      <c r="EV39" s="87"/>
      <c r="EW39" s="87"/>
      <c r="EX39" s="87"/>
      <c r="EY39" s="87"/>
      <c r="EZ39" s="87"/>
      <c r="FA39" s="87"/>
      <c r="FB39" s="87"/>
      <c r="FC39" s="87"/>
      <c r="FD39" s="87"/>
      <c r="FE39" s="87"/>
      <c r="FF39" s="87"/>
      <c r="FG39" s="87"/>
      <c r="FH39" s="87"/>
      <c r="FI39" s="87"/>
      <c r="FJ39" s="87"/>
      <c r="FK39" s="87"/>
      <c r="FL39" s="87"/>
      <c r="FM39" s="87"/>
      <c r="FN39" s="87"/>
      <c r="FO39" s="87"/>
      <c r="FP39" s="87"/>
      <c r="FQ39" s="87"/>
      <c r="FR39" s="87"/>
      <c r="FS39" s="87"/>
      <c r="FT39" s="87"/>
      <c r="FU39" s="87"/>
      <c r="FV39" s="87"/>
      <c r="FW39" s="87"/>
      <c r="FX39" s="87"/>
      <c r="FY39" s="87"/>
      <c r="FZ39" s="87"/>
      <c r="GA39" s="87"/>
      <c r="GB39" s="87"/>
      <c r="GC39" s="87"/>
      <c r="GD39" s="87"/>
      <c r="GE39" s="87"/>
      <c r="GF39" s="87"/>
      <c r="GG39" s="87"/>
      <c r="GH39" s="87"/>
      <c r="GI39" s="87"/>
      <c r="GJ39" s="87"/>
      <c r="GK39" s="87"/>
      <c r="GL39" s="87"/>
      <c r="GM39" s="87"/>
      <c r="GN39" s="87"/>
      <c r="GO39" s="87"/>
      <c r="GP39" s="87"/>
      <c r="GQ39" s="87"/>
      <c r="GR39" s="87"/>
      <c r="GS39" s="87"/>
      <c r="GT39" s="87"/>
      <c r="GU39" s="87"/>
      <c r="GV39" s="87"/>
      <c r="GW39" s="87"/>
      <c r="GX39" s="87"/>
      <c r="GY39" s="87"/>
      <c r="GZ39" s="87"/>
      <c r="HA39" s="87"/>
      <c r="HB39" s="87"/>
      <c r="HC39" s="87"/>
      <c r="HD39" s="87"/>
      <c r="HE39" s="87"/>
      <c r="HF39" s="87"/>
      <c r="HG39" s="87"/>
      <c r="HH39" s="87"/>
      <c r="HI39" s="87"/>
      <c r="HJ39" s="87"/>
      <c r="HK39" s="87"/>
      <c r="HL39" s="87"/>
      <c r="HM39" s="87"/>
      <c r="HN39" s="87"/>
      <c r="HO39" s="87"/>
      <c r="HP39" s="87"/>
      <c r="HQ39" s="87"/>
      <c r="HR39" s="87"/>
      <c r="HS39" s="87"/>
      <c r="HT39" s="87"/>
      <c r="HU39" s="87"/>
      <c r="HV39" s="87"/>
      <c r="HW39" s="87"/>
      <c r="HX39" s="87"/>
      <c r="HY39" s="87"/>
      <c r="HZ39" s="87"/>
      <c r="IA39" s="87"/>
      <c r="IB39" s="87"/>
      <c r="IC39" s="87"/>
    </row>
    <row r="40" spans="1:242" s="58" customFormat="1" ht="15" customHeight="1">
      <c r="A40" s="47">
        <v>36</v>
      </c>
      <c r="B40" s="47"/>
      <c r="C40" s="47" t="s">
        <v>750</v>
      </c>
      <c r="D40" s="48" t="s">
        <v>751</v>
      </c>
      <c r="E40" s="77">
        <v>45988</v>
      </c>
      <c r="F40" s="47" t="s">
        <v>612</v>
      </c>
      <c r="G40" s="47" t="s">
        <v>752</v>
      </c>
      <c r="H40" s="72" t="s">
        <v>347</v>
      </c>
      <c r="I40" s="51" t="s">
        <v>86</v>
      </c>
      <c r="J40" s="78" t="s">
        <v>753</v>
      </c>
      <c r="K40" s="51" t="s">
        <v>648</v>
      </c>
      <c r="L40" s="51"/>
      <c r="M40" s="52">
        <v>1</v>
      </c>
      <c r="N40" s="52">
        <v>0</v>
      </c>
      <c r="O40" s="52"/>
      <c r="P40" s="54" t="b">
        <v>0</v>
      </c>
      <c r="Q40" s="53">
        <f>SUM(R40:DM40)</f>
        <v>11</v>
      </c>
      <c r="R40" s="52">
        <v>1</v>
      </c>
      <c r="S40" s="52">
        <v>1</v>
      </c>
      <c r="T40" s="52">
        <v>1</v>
      </c>
      <c r="U40" s="52">
        <v>1</v>
      </c>
      <c r="V40" s="52">
        <v>1</v>
      </c>
      <c r="W40" s="52">
        <v>1</v>
      </c>
      <c r="X40" s="52">
        <v>1</v>
      </c>
      <c r="Y40" s="52">
        <v>1</v>
      </c>
      <c r="Z40" s="52">
        <v>1</v>
      </c>
      <c r="AA40" s="52">
        <v>1</v>
      </c>
      <c r="AB40" s="52">
        <v>1</v>
      </c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</row>
    <row r="41" spans="1:242" s="58" customFormat="1" ht="15" customHeight="1">
      <c r="A41" s="47">
        <v>37</v>
      </c>
      <c r="B41" s="47"/>
      <c r="C41" s="47" t="s">
        <v>750</v>
      </c>
      <c r="D41" s="48" t="s">
        <v>751</v>
      </c>
      <c r="E41" s="77">
        <v>45988</v>
      </c>
      <c r="F41" s="47" t="s">
        <v>612</v>
      </c>
      <c r="G41" s="47" t="s">
        <v>752</v>
      </c>
      <c r="H41" s="72" t="s">
        <v>347</v>
      </c>
      <c r="I41" s="51" t="s">
        <v>86</v>
      </c>
      <c r="J41" s="78" t="s">
        <v>754</v>
      </c>
      <c r="K41" s="51" t="s">
        <v>648</v>
      </c>
      <c r="L41" s="51"/>
      <c r="M41" s="52">
        <v>1</v>
      </c>
      <c r="N41" s="52">
        <v>0</v>
      </c>
      <c r="O41" s="52"/>
      <c r="P41" s="54" t="b">
        <v>0</v>
      </c>
      <c r="Q41" s="53">
        <f>SUM(R41:DM41)</f>
        <v>47</v>
      </c>
      <c r="R41" s="52">
        <v>1</v>
      </c>
      <c r="S41" s="52">
        <v>1</v>
      </c>
      <c r="T41" s="52">
        <v>1</v>
      </c>
      <c r="U41" s="52">
        <v>1</v>
      </c>
      <c r="V41" s="52">
        <v>1</v>
      </c>
      <c r="W41" s="52">
        <v>1</v>
      </c>
      <c r="X41" s="52">
        <v>1</v>
      </c>
      <c r="Y41" s="52">
        <v>1</v>
      </c>
      <c r="Z41" s="52">
        <v>1</v>
      </c>
      <c r="AA41" s="52">
        <v>1</v>
      </c>
      <c r="AB41" s="52">
        <v>1</v>
      </c>
      <c r="AC41" s="52">
        <v>1</v>
      </c>
      <c r="AD41" s="52">
        <v>1</v>
      </c>
      <c r="AE41" s="52">
        <v>1</v>
      </c>
      <c r="AF41" s="52">
        <v>1</v>
      </c>
      <c r="AG41" s="52">
        <v>1</v>
      </c>
      <c r="AH41" s="52">
        <v>1</v>
      </c>
      <c r="AI41" s="52">
        <v>1</v>
      </c>
      <c r="AJ41" s="52">
        <v>1</v>
      </c>
      <c r="AK41" s="52">
        <v>1</v>
      </c>
      <c r="AL41" s="52">
        <v>1</v>
      </c>
      <c r="AM41" s="52">
        <v>1</v>
      </c>
      <c r="AN41" s="52">
        <v>1</v>
      </c>
      <c r="AO41" s="52">
        <v>1</v>
      </c>
      <c r="AP41" s="52">
        <v>1</v>
      </c>
      <c r="AQ41" s="52">
        <v>1</v>
      </c>
      <c r="AR41" s="52">
        <v>1</v>
      </c>
      <c r="AS41" s="52">
        <v>1</v>
      </c>
      <c r="AT41" s="52">
        <v>1</v>
      </c>
      <c r="AU41" s="52">
        <v>1</v>
      </c>
      <c r="AV41" s="52">
        <v>1</v>
      </c>
      <c r="AW41" s="52">
        <v>1</v>
      </c>
      <c r="AX41" s="52">
        <v>1</v>
      </c>
      <c r="AY41" s="52">
        <v>1</v>
      </c>
      <c r="AZ41" s="52">
        <v>1</v>
      </c>
      <c r="BA41" s="52">
        <v>1</v>
      </c>
      <c r="BB41" s="52">
        <v>1</v>
      </c>
      <c r="BC41" s="52">
        <v>1</v>
      </c>
      <c r="BD41" s="52">
        <v>1</v>
      </c>
      <c r="BE41" s="52">
        <v>1</v>
      </c>
      <c r="BF41" s="52">
        <v>1</v>
      </c>
      <c r="BG41" s="52">
        <v>1</v>
      </c>
      <c r="BH41" s="52">
        <v>1</v>
      </c>
      <c r="BI41" s="52">
        <v>1</v>
      </c>
      <c r="BJ41" s="52">
        <v>1</v>
      </c>
      <c r="BK41" s="52">
        <v>1</v>
      </c>
      <c r="BL41" s="52">
        <v>1</v>
      </c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</row>
    <row r="42" spans="1:242" s="58" customFormat="1" ht="15" customHeight="1">
      <c r="A42" s="47"/>
      <c r="B42" s="47"/>
      <c r="C42" s="47"/>
      <c r="D42" s="48"/>
      <c r="E42" s="77">
        <v>45988</v>
      </c>
      <c r="F42" s="47"/>
      <c r="G42" s="47"/>
      <c r="H42" s="83" t="s">
        <v>347</v>
      </c>
      <c r="I42" s="84" t="s">
        <v>86</v>
      </c>
      <c r="J42" s="78" t="s">
        <v>755</v>
      </c>
      <c r="K42" s="51" t="s">
        <v>648</v>
      </c>
      <c r="L42" s="51">
        <v>0</v>
      </c>
      <c r="M42" s="51">
        <v>1</v>
      </c>
      <c r="N42" s="51"/>
      <c r="O42" s="86" t="b">
        <v>0</v>
      </c>
      <c r="P42" s="84">
        <v>2</v>
      </c>
      <c r="Q42" s="51">
        <v>1</v>
      </c>
      <c r="R42" s="51">
        <v>1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52"/>
      <c r="GZ42" s="52"/>
      <c r="HA42" s="52"/>
      <c r="HB42" s="52"/>
      <c r="HC42" s="52"/>
      <c r="HD42" s="52"/>
      <c r="HE42" s="52"/>
      <c r="HF42" s="52"/>
      <c r="HG42" s="52"/>
      <c r="HH42" s="52"/>
      <c r="HI42" s="52"/>
      <c r="HJ42" s="52"/>
      <c r="HK42" s="52"/>
      <c r="HL42" s="52"/>
      <c r="HM42" s="52"/>
      <c r="HN42" s="52"/>
      <c r="HO42" s="52"/>
      <c r="HP42" s="52"/>
      <c r="HQ42" s="52"/>
      <c r="HR42" s="52"/>
      <c r="HS42" s="52"/>
      <c r="HT42" s="52"/>
      <c r="HU42" s="52"/>
      <c r="HV42" s="52"/>
      <c r="HW42" s="52"/>
      <c r="HX42" s="52"/>
      <c r="HY42" s="52"/>
      <c r="HZ42" s="52"/>
      <c r="IA42" s="52"/>
      <c r="IB42" s="52"/>
      <c r="IC42" s="52"/>
    </row>
    <row r="43" spans="1:242" s="58" customFormat="1" ht="15" customHeight="1">
      <c r="A43" s="47"/>
      <c r="B43" s="47"/>
      <c r="C43" s="47"/>
      <c r="D43" s="48"/>
      <c r="E43" s="77">
        <v>45988</v>
      </c>
      <c r="F43" s="47"/>
      <c r="G43" s="47"/>
      <c r="H43" s="83" t="s">
        <v>347</v>
      </c>
      <c r="I43" s="84" t="s">
        <v>86</v>
      </c>
      <c r="J43" s="78" t="s">
        <v>756</v>
      </c>
      <c r="K43" s="51" t="s">
        <v>648</v>
      </c>
      <c r="L43" s="51">
        <v>0</v>
      </c>
      <c r="M43" s="51">
        <v>1</v>
      </c>
      <c r="N43" s="51"/>
      <c r="O43" s="86" t="b">
        <v>0</v>
      </c>
      <c r="P43" s="84">
        <v>2</v>
      </c>
      <c r="Q43" s="51">
        <v>1</v>
      </c>
      <c r="R43" s="51">
        <v>1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52"/>
      <c r="GZ43" s="52"/>
      <c r="HA43" s="52"/>
      <c r="HB43" s="52"/>
      <c r="HC43" s="52"/>
      <c r="HD43" s="52"/>
      <c r="HE43" s="52"/>
      <c r="HF43" s="52"/>
      <c r="HG43" s="52"/>
      <c r="HH43" s="52"/>
      <c r="HI43" s="52"/>
      <c r="HJ43" s="52"/>
      <c r="HK43" s="52"/>
      <c r="HL43" s="52"/>
      <c r="HM43" s="52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2"/>
      <c r="HY43" s="52"/>
      <c r="HZ43" s="52"/>
      <c r="IA43" s="52"/>
      <c r="IB43" s="52"/>
      <c r="IC43" s="52"/>
    </row>
    <row r="44" spans="1:242" s="58" customFormat="1" ht="15" customHeight="1">
      <c r="A44" s="47"/>
      <c r="B44" s="47"/>
      <c r="C44" s="47"/>
      <c r="D44" s="48"/>
      <c r="E44" s="77">
        <v>45988</v>
      </c>
      <c r="F44" s="47"/>
      <c r="G44" s="47"/>
      <c r="H44" s="83" t="s">
        <v>347</v>
      </c>
      <c r="I44" s="84" t="s">
        <v>86</v>
      </c>
      <c r="J44" s="78" t="s">
        <v>757</v>
      </c>
      <c r="K44" s="51" t="s">
        <v>648</v>
      </c>
      <c r="L44" s="51">
        <v>0</v>
      </c>
      <c r="M44" s="51">
        <v>1</v>
      </c>
      <c r="N44" s="51"/>
      <c r="O44" s="86" t="b">
        <v>0</v>
      </c>
      <c r="P44" s="84">
        <v>2</v>
      </c>
      <c r="Q44" s="51">
        <v>1</v>
      </c>
      <c r="R44" s="51">
        <v>1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52"/>
      <c r="GZ44" s="52"/>
      <c r="HA44" s="52"/>
      <c r="HB44" s="52"/>
      <c r="HC44" s="52"/>
      <c r="HD44" s="52"/>
      <c r="HE44" s="52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</row>
    <row r="45" spans="1:242" s="58" customFormat="1" ht="15" customHeight="1">
      <c r="A45" s="47"/>
      <c r="B45" s="47"/>
      <c r="C45" s="47"/>
      <c r="D45" s="48"/>
      <c r="E45" s="77">
        <v>45988</v>
      </c>
      <c r="F45" s="47"/>
      <c r="G45" s="47"/>
      <c r="H45" s="83" t="s">
        <v>347</v>
      </c>
      <c r="I45" s="84" t="s">
        <v>86</v>
      </c>
      <c r="J45" s="78" t="s">
        <v>758</v>
      </c>
      <c r="K45" s="51" t="s">
        <v>648</v>
      </c>
      <c r="L45" s="51">
        <v>0</v>
      </c>
      <c r="M45" s="51">
        <v>1</v>
      </c>
      <c r="N45" s="51"/>
      <c r="O45" s="86" t="b">
        <v>0</v>
      </c>
      <c r="P45" s="84">
        <v>2</v>
      </c>
      <c r="Q45" s="51">
        <v>1</v>
      </c>
      <c r="R45" s="51">
        <v>1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52"/>
      <c r="GZ45" s="52"/>
      <c r="HA45" s="52"/>
      <c r="HB45" s="52"/>
      <c r="HC45" s="52"/>
      <c r="HD45" s="52"/>
      <c r="HE45" s="52"/>
      <c r="HF45" s="52"/>
      <c r="HG45" s="52"/>
      <c r="HH45" s="52"/>
      <c r="HI45" s="52"/>
      <c r="HJ45" s="52"/>
      <c r="HK45" s="52"/>
      <c r="HL45" s="52"/>
      <c r="HM45" s="52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2"/>
      <c r="HY45" s="52"/>
      <c r="HZ45" s="52"/>
      <c r="IA45" s="52"/>
      <c r="IB45" s="52"/>
      <c r="IC45" s="52"/>
    </row>
    <row r="46" spans="1:242" s="46" customFormat="1" ht="15" customHeight="1">
      <c r="A46" s="34">
        <v>38</v>
      </c>
      <c r="B46" s="34" t="s">
        <v>759</v>
      </c>
      <c r="C46" s="34" t="s">
        <v>750</v>
      </c>
      <c r="D46" s="35" t="s">
        <v>751</v>
      </c>
      <c r="E46" s="76">
        <v>45988</v>
      </c>
      <c r="F46" s="34" t="s">
        <v>612</v>
      </c>
      <c r="G46" s="34" t="s">
        <v>752</v>
      </c>
      <c r="H46" s="37" t="s">
        <v>347</v>
      </c>
      <c r="I46" s="38" t="s">
        <v>86</v>
      </c>
      <c r="J46" s="60" t="s">
        <v>760</v>
      </c>
      <c r="K46" s="38" t="s">
        <v>632</v>
      </c>
      <c r="L46" s="38" t="s">
        <v>633</v>
      </c>
      <c r="M46" s="38">
        <v>1</v>
      </c>
      <c r="N46" s="38">
        <v>0</v>
      </c>
      <c r="O46" s="41" t="s">
        <v>668</v>
      </c>
      <c r="P46" s="61" t="b">
        <v>1</v>
      </c>
      <c r="Q46" s="40">
        <f>SUM(R46:GO46)</f>
        <v>149</v>
      </c>
      <c r="R46" s="38">
        <v>1</v>
      </c>
      <c r="S46" s="38">
        <v>1</v>
      </c>
      <c r="T46" s="38">
        <v>1</v>
      </c>
      <c r="U46" s="38">
        <v>1</v>
      </c>
      <c r="V46" s="38">
        <v>1</v>
      </c>
      <c r="W46" s="38">
        <v>1</v>
      </c>
      <c r="X46" s="38">
        <v>1</v>
      </c>
      <c r="Y46" s="38">
        <v>1</v>
      </c>
      <c r="Z46" s="38">
        <v>1</v>
      </c>
      <c r="AA46" s="38">
        <v>1</v>
      </c>
      <c r="AB46" s="38">
        <v>1</v>
      </c>
      <c r="AC46" s="38">
        <v>1</v>
      </c>
      <c r="AD46" s="38">
        <v>1</v>
      </c>
      <c r="AE46" s="38">
        <v>1</v>
      </c>
      <c r="AF46" s="38">
        <v>1</v>
      </c>
      <c r="AG46" s="38">
        <v>1</v>
      </c>
      <c r="AH46" s="38">
        <v>1</v>
      </c>
      <c r="AI46" s="38">
        <v>1</v>
      </c>
      <c r="AJ46" s="38">
        <v>1</v>
      </c>
      <c r="AK46" s="38">
        <v>1</v>
      </c>
      <c r="AL46" s="38">
        <v>1</v>
      </c>
      <c r="AM46" s="38">
        <v>1</v>
      </c>
      <c r="AN46" s="38">
        <v>1</v>
      </c>
      <c r="AO46" s="38">
        <v>1</v>
      </c>
      <c r="AP46" s="38">
        <v>1</v>
      </c>
      <c r="AQ46" s="38">
        <v>1</v>
      </c>
      <c r="AR46" s="38">
        <v>1</v>
      </c>
      <c r="AS46" s="38">
        <v>1</v>
      </c>
      <c r="AT46" s="38">
        <v>1</v>
      </c>
      <c r="AU46" s="38">
        <v>1</v>
      </c>
      <c r="AV46" s="38">
        <v>1</v>
      </c>
      <c r="AW46" s="38">
        <v>1</v>
      </c>
      <c r="AX46" s="38">
        <v>1</v>
      </c>
      <c r="AY46" s="38">
        <v>1</v>
      </c>
      <c r="AZ46" s="38">
        <v>1</v>
      </c>
      <c r="BA46" s="38">
        <v>1</v>
      </c>
      <c r="BB46" s="38">
        <v>1</v>
      </c>
      <c r="BC46" s="38">
        <v>1</v>
      </c>
      <c r="BD46" s="38">
        <v>1</v>
      </c>
      <c r="BE46" s="38">
        <v>1</v>
      </c>
      <c r="BF46" s="38">
        <v>1</v>
      </c>
      <c r="BG46" s="38">
        <v>1</v>
      </c>
      <c r="BH46" s="38">
        <v>1</v>
      </c>
      <c r="BI46" s="38">
        <v>1</v>
      </c>
      <c r="BJ46" s="38">
        <v>1</v>
      </c>
      <c r="BK46" s="38">
        <v>1</v>
      </c>
      <c r="BL46" s="38">
        <v>1</v>
      </c>
      <c r="BM46" s="38">
        <v>1</v>
      </c>
      <c r="BN46" s="38">
        <v>1</v>
      </c>
      <c r="BO46" s="38">
        <v>1</v>
      </c>
      <c r="BP46" s="38">
        <v>1</v>
      </c>
      <c r="BQ46" s="38">
        <v>1</v>
      </c>
      <c r="BR46" s="38">
        <v>1</v>
      </c>
      <c r="BS46" s="38">
        <v>1</v>
      </c>
      <c r="BT46" s="38">
        <v>1</v>
      </c>
      <c r="BU46" s="38">
        <v>1</v>
      </c>
      <c r="BV46" s="38">
        <v>1</v>
      </c>
      <c r="BW46" s="38">
        <v>1</v>
      </c>
      <c r="BX46" s="38">
        <v>1</v>
      </c>
      <c r="BY46" s="38">
        <v>1</v>
      </c>
      <c r="BZ46" s="38">
        <v>1</v>
      </c>
      <c r="CA46" s="38">
        <v>1</v>
      </c>
      <c r="CB46" s="38">
        <v>1</v>
      </c>
      <c r="CC46" s="38">
        <v>1</v>
      </c>
      <c r="CD46" s="38">
        <v>1</v>
      </c>
      <c r="CE46" s="38">
        <v>1</v>
      </c>
      <c r="CF46" s="38">
        <v>1</v>
      </c>
      <c r="CG46" s="38">
        <v>1</v>
      </c>
      <c r="CH46" s="38">
        <v>1</v>
      </c>
      <c r="CI46" s="38">
        <v>1</v>
      </c>
      <c r="CJ46" s="38">
        <v>1</v>
      </c>
      <c r="CK46" s="38">
        <v>1</v>
      </c>
      <c r="CL46" s="38">
        <v>1</v>
      </c>
      <c r="CM46" s="38">
        <v>1</v>
      </c>
      <c r="CN46" s="38">
        <v>1</v>
      </c>
      <c r="CO46" s="38">
        <v>1</v>
      </c>
      <c r="CP46" s="38">
        <v>1</v>
      </c>
      <c r="CQ46" s="38">
        <v>1</v>
      </c>
      <c r="CR46" s="38">
        <v>1</v>
      </c>
      <c r="CS46" s="38">
        <v>1</v>
      </c>
      <c r="CT46" s="38">
        <v>1</v>
      </c>
      <c r="CU46" s="38">
        <v>1</v>
      </c>
      <c r="CV46" s="38">
        <v>1</v>
      </c>
      <c r="CW46" s="38">
        <v>1</v>
      </c>
      <c r="CX46" s="38">
        <v>1</v>
      </c>
      <c r="CY46" s="38">
        <v>1</v>
      </c>
      <c r="CZ46" s="38">
        <v>1</v>
      </c>
      <c r="DA46" s="38">
        <v>1</v>
      </c>
      <c r="DB46" s="38">
        <v>1</v>
      </c>
      <c r="DC46" s="38">
        <v>1</v>
      </c>
      <c r="DD46" s="38">
        <v>1</v>
      </c>
      <c r="DE46" s="38">
        <v>1</v>
      </c>
      <c r="DF46" s="38">
        <v>1</v>
      </c>
      <c r="DG46" s="38">
        <v>1</v>
      </c>
      <c r="DH46" s="38">
        <v>1</v>
      </c>
      <c r="DI46" s="38">
        <v>1</v>
      </c>
      <c r="DJ46" s="38">
        <v>1</v>
      </c>
      <c r="DK46" s="38">
        <v>1</v>
      </c>
      <c r="DL46" s="38">
        <v>1</v>
      </c>
      <c r="DM46" s="38">
        <v>1</v>
      </c>
      <c r="DN46" s="38">
        <v>1</v>
      </c>
      <c r="DO46" s="38">
        <v>1</v>
      </c>
      <c r="DP46" s="38">
        <v>1</v>
      </c>
      <c r="DQ46" s="38">
        <v>1</v>
      </c>
      <c r="DR46" s="38">
        <v>1</v>
      </c>
      <c r="DS46" s="38">
        <v>1</v>
      </c>
      <c r="DT46" s="38">
        <v>1</v>
      </c>
      <c r="DU46" s="38">
        <v>1</v>
      </c>
      <c r="DV46" s="38">
        <v>1</v>
      </c>
      <c r="DW46" s="38">
        <v>1</v>
      </c>
      <c r="DX46" s="38">
        <v>1</v>
      </c>
      <c r="DY46" s="38">
        <v>1</v>
      </c>
      <c r="DZ46" s="38">
        <v>1</v>
      </c>
      <c r="EA46" s="38">
        <v>1</v>
      </c>
      <c r="EB46" s="38">
        <v>1</v>
      </c>
      <c r="EC46" s="38">
        <v>1</v>
      </c>
      <c r="ED46" s="38">
        <v>1</v>
      </c>
      <c r="EE46" s="38">
        <v>1</v>
      </c>
      <c r="EF46" s="38">
        <v>1</v>
      </c>
      <c r="EG46" s="38">
        <v>1</v>
      </c>
      <c r="EH46" s="38">
        <v>1</v>
      </c>
      <c r="EI46" s="38">
        <v>1</v>
      </c>
      <c r="EJ46" s="38">
        <v>1</v>
      </c>
      <c r="EK46" s="38">
        <v>1</v>
      </c>
      <c r="EL46" s="38">
        <v>1</v>
      </c>
      <c r="EM46" s="38">
        <v>1</v>
      </c>
      <c r="EN46" s="38">
        <v>1</v>
      </c>
      <c r="EO46" s="38">
        <v>1</v>
      </c>
      <c r="EP46" s="38">
        <v>1</v>
      </c>
      <c r="EQ46" s="38">
        <v>1</v>
      </c>
      <c r="ER46" s="38">
        <v>1</v>
      </c>
      <c r="ES46" s="38">
        <v>1</v>
      </c>
      <c r="ET46" s="38">
        <v>1</v>
      </c>
      <c r="EU46" s="38">
        <v>1</v>
      </c>
      <c r="EV46" s="38">
        <v>1</v>
      </c>
      <c r="EW46" s="38">
        <v>1</v>
      </c>
      <c r="EX46" s="38">
        <v>1</v>
      </c>
      <c r="EY46" s="38">
        <v>1</v>
      </c>
      <c r="EZ46" s="38">
        <v>1</v>
      </c>
      <c r="FA46" s="38">
        <v>1</v>
      </c>
      <c r="FB46" s="38">
        <v>1</v>
      </c>
      <c r="FC46" s="38">
        <v>1</v>
      </c>
      <c r="FD46" s="38">
        <v>1</v>
      </c>
      <c r="FE46" s="38">
        <v>1</v>
      </c>
      <c r="FF46" s="38">
        <v>1</v>
      </c>
      <c r="FG46" s="38">
        <v>1</v>
      </c>
      <c r="FH46" s="38">
        <v>1</v>
      </c>
      <c r="FI46" s="38">
        <v>1</v>
      </c>
      <c r="FJ46" s="38">
        <v>1</v>
      </c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</row>
    <row r="47" spans="1:242" s="100" customFormat="1" ht="15" customHeight="1">
      <c r="A47" s="89"/>
      <c r="B47" s="89"/>
      <c r="C47" s="89"/>
      <c r="D47" s="90"/>
      <c r="E47" s="91">
        <v>45988</v>
      </c>
      <c r="F47" s="92"/>
      <c r="G47" s="92"/>
      <c r="H47" s="93" t="s">
        <v>347</v>
      </c>
      <c r="I47" s="94" t="s">
        <v>86</v>
      </c>
      <c r="J47" s="95" t="s">
        <v>761</v>
      </c>
      <c r="K47" s="96" t="s">
        <v>648</v>
      </c>
      <c r="L47" s="96">
        <v>0</v>
      </c>
      <c r="M47" s="96">
        <v>1</v>
      </c>
      <c r="N47" s="97"/>
      <c r="O47" s="97"/>
      <c r="P47" s="98">
        <v>2</v>
      </c>
      <c r="Q47" s="92">
        <v>1</v>
      </c>
      <c r="R47" s="96">
        <v>1</v>
      </c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99"/>
      <c r="CF47" s="99"/>
      <c r="CG47" s="99"/>
      <c r="CH47" s="99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99"/>
      <c r="DA47" s="99"/>
      <c r="DB47" s="99"/>
      <c r="DC47" s="99"/>
      <c r="DD47" s="99"/>
      <c r="DE47" s="99"/>
      <c r="DF47" s="99"/>
      <c r="DG47" s="99"/>
      <c r="DH47" s="99"/>
      <c r="DI47" s="99"/>
      <c r="DJ47" s="99"/>
      <c r="DK47" s="99"/>
      <c r="DL47" s="99"/>
      <c r="DM47" s="99"/>
      <c r="DN47" s="99"/>
      <c r="DO47" s="99"/>
      <c r="DP47" s="99"/>
      <c r="DQ47" s="99"/>
      <c r="DR47" s="99"/>
      <c r="DS47" s="99"/>
      <c r="DT47" s="99"/>
      <c r="DU47" s="99"/>
      <c r="DV47" s="99"/>
      <c r="DW47" s="99"/>
      <c r="DX47" s="99"/>
      <c r="DY47" s="99"/>
      <c r="DZ47" s="99"/>
      <c r="EA47" s="99"/>
      <c r="EB47" s="99"/>
      <c r="EC47" s="99"/>
      <c r="ED47" s="99"/>
      <c r="EE47" s="99"/>
      <c r="EF47" s="99"/>
      <c r="EG47" s="99"/>
      <c r="EH47" s="99"/>
      <c r="EI47" s="99"/>
      <c r="EJ47" s="99"/>
      <c r="EK47" s="99"/>
      <c r="EL47" s="99"/>
      <c r="EM47" s="99"/>
      <c r="EN47" s="99"/>
      <c r="EO47" s="99"/>
      <c r="EP47" s="99"/>
      <c r="EQ47" s="99"/>
      <c r="ER47" s="99"/>
      <c r="ES47" s="99"/>
      <c r="ET47" s="99"/>
      <c r="EU47" s="99"/>
      <c r="EV47" s="99"/>
      <c r="EW47" s="99"/>
      <c r="EX47" s="99"/>
      <c r="EY47" s="99"/>
      <c r="EZ47" s="99"/>
      <c r="FA47" s="99"/>
      <c r="FB47" s="99"/>
      <c r="FC47" s="99"/>
      <c r="FD47" s="99"/>
      <c r="FE47" s="99"/>
      <c r="FF47" s="99"/>
      <c r="FG47" s="99"/>
      <c r="FH47" s="99"/>
      <c r="FI47" s="99"/>
      <c r="FJ47" s="99"/>
      <c r="FK47" s="99"/>
      <c r="FL47" s="99"/>
      <c r="FM47" s="99"/>
      <c r="FN47" s="99"/>
      <c r="FO47" s="99"/>
      <c r="FP47" s="99"/>
      <c r="FQ47" s="99"/>
      <c r="FR47" s="99"/>
      <c r="FS47" s="99"/>
      <c r="FT47" s="99"/>
      <c r="FU47" s="99"/>
      <c r="FV47" s="99"/>
      <c r="FW47" s="99"/>
      <c r="FX47" s="99"/>
      <c r="FY47" s="99"/>
      <c r="FZ47" s="99"/>
      <c r="GA47" s="99"/>
      <c r="GB47" s="99"/>
      <c r="GC47" s="99"/>
      <c r="GD47" s="99"/>
      <c r="GE47" s="99"/>
      <c r="GF47" s="99"/>
      <c r="GG47" s="99"/>
      <c r="GH47" s="99"/>
      <c r="GI47" s="99"/>
      <c r="GJ47" s="99"/>
      <c r="GK47" s="99"/>
      <c r="GL47" s="99"/>
      <c r="GM47" s="99"/>
      <c r="GN47" s="99"/>
      <c r="GO47" s="99"/>
      <c r="GP47" s="99"/>
      <c r="GQ47" s="99"/>
      <c r="GR47" s="99"/>
      <c r="GS47" s="99"/>
      <c r="GT47" s="99"/>
      <c r="GU47" s="99"/>
      <c r="GV47" s="99"/>
      <c r="GW47" s="99"/>
      <c r="GX47" s="99"/>
      <c r="GY47" s="99"/>
      <c r="GZ47" s="99"/>
      <c r="HA47" s="99"/>
      <c r="HB47" s="99"/>
      <c r="HC47" s="99"/>
      <c r="HD47" s="99"/>
      <c r="HE47" s="99"/>
      <c r="HF47" s="99"/>
      <c r="HG47" s="99"/>
      <c r="HH47" s="99"/>
      <c r="HI47" s="99"/>
      <c r="HJ47" s="99"/>
      <c r="HK47" s="99"/>
      <c r="HL47" s="99"/>
      <c r="HM47" s="99"/>
      <c r="HN47" s="99"/>
      <c r="HO47" s="99"/>
      <c r="HP47" s="99"/>
      <c r="HQ47" s="99"/>
      <c r="HR47" s="99"/>
      <c r="HS47" s="99"/>
      <c r="HT47" s="99"/>
      <c r="HU47" s="99"/>
      <c r="HV47" s="99"/>
      <c r="HW47" s="99"/>
      <c r="HX47" s="99"/>
      <c r="HY47" s="99"/>
      <c r="HZ47" s="99"/>
      <c r="IA47" s="99"/>
      <c r="IB47" s="99"/>
      <c r="IC47" s="99"/>
    </row>
    <row r="48" spans="1:242" ht="15" customHeight="1">
      <c r="I48" s="101"/>
      <c r="J48" s="102" t="s">
        <v>762</v>
      </c>
    </row>
    <row r="49" spans="10:15" ht="15" customHeight="1">
      <c r="O49" s="103"/>
    </row>
    <row r="53" spans="10:15" ht="15" customHeight="1">
      <c r="J53" t="s">
        <v>724</v>
      </c>
    </row>
  </sheetData>
  <autoFilter ref="G1:Q48" xr:uid="{B346FF6F-6E1B-2144-820A-1E49DE29AECD}"/>
  <mergeCells count="2">
    <mergeCell ref="IH19:IH24"/>
    <mergeCell ref="IH28:IH30"/>
  </mergeCells>
  <hyperlinks>
    <hyperlink ref="J7" r:id="rId1" xr:uid="{47189BD5-27E5-4A9C-916B-7C16BD8C2ECD}"/>
    <hyperlink ref="J12" r:id="rId2" xr:uid="{E6356984-F532-4264-A8A4-608EDE7328FB}"/>
    <hyperlink ref="J15" r:id="rId3" xr:uid="{2739BEF8-C9A3-4436-BB7B-DC306113C468}"/>
    <hyperlink ref="J20" r:id="rId4" xr:uid="{0D3C9BE7-0C2B-47B2-AE88-F0A3AF7D1BCC}"/>
    <hyperlink ref="J21" r:id="rId5" xr:uid="{0D040037-D03E-4D28-84BE-B89ECEBE3FA0}"/>
    <hyperlink ref="J22" r:id="rId6" xr:uid="{6E465F08-566C-4FAC-84E3-7592ABF767B0}"/>
    <hyperlink ref="J24" r:id="rId7" xr:uid="{31949DDF-2924-43E9-8DE3-EB252184A02E}"/>
    <hyperlink ref="J26" r:id="rId8" xr:uid="{EB0B298E-3FF8-4D28-9F61-AB50E247406F}"/>
    <hyperlink ref="J29" r:id="rId9" xr:uid="{5CB60558-954F-479E-A1C3-A24A6208DEEB}"/>
    <hyperlink ref="J30" r:id="rId10" xr:uid="{3DC49594-24A9-475D-A301-852C97B0B6AF}"/>
    <hyperlink ref="J31" r:id="rId11" xr:uid="{0BD890CE-637E-4F79-9C96-1D40D313CB98}"/>
    <hyperlink ref="J32" r:id="rId12" xr:uid="{D366C11B-1B74-4E64-A35C-33814E94561A}"/>
  </hyperlinks>
  <pageMargins left="0.7" right="0.7" top="0.75" bottom="0.75" header="0.3" footer="0.3"/>
  <pageSetup paperSize="9" scale="55" fitToWidth="0" orientation="landscape" horizontalDpi="0" verticalDpi="0" r:id="rId13"/>
  <legacy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DF94-4723-4C63-A0EB-29F49C8A9DCA}">
  <sheetPr>
    <tabColor rgb="FF00B050"/>
  </sheetPr>
  <dimension ref="A1:AA27"/>
  <sheetViews>
    <sheetView topLeftCell="O1" workbookViewId="0">
      <selection activeCell="Y1" sqref="Y1:Z1"/>
    </sheetView>
    <sheetView workbookViewId="1">
      <selection sqref="A1:C1"/>
    </sheetView>
    <sheetView workbookViewId="2"/>
  </sheetViews>
  <sheetFormatPr defaultRowHeight="15"/>
  <cols>
    <col min="27" max="27" width="13.140625" customWidth="1"/>
    <col min="30" max="30" width="10.28515625" customWidth="1"/>
    <col min="31" max="31" width="13.85546875" customWidth="1"/>
  </cols>
  <sheetData>
    <row r="1" spans="1:27">
      <c r="A1" s="155" t="s">
        <v>28</v>
      </c>
      <c r="B1" s="155" t="s">
        <v>763</v>
      </c>
      <c r="C1" s="155" t="s">
        <v>769</v>
      </c>
      <c r="D1" s="155" t="s">
        <v>1211</v>
      </c>
      <c r="E1" s="155" t="s">
        <v>1212</v>
      </c>
      <c r="F1" s="155" t="s">
        <v>1213</v>
      </c>
      <c r="G1" s="155" t="s">
        <v>1214</v>
      </c>
      <c r="H1" s="155" t="s">
        <v>1215</v>
      </c>
      <c r="I1" s="155" t="s">
        <v>1216</v>
      </c>
      <c r="J1" s="155" t="s">
        <v>1217</v>
      </c>
      <c r="K1" s="155" t="s">
        <v>1218</v>
      </c>
      <c r="L1" s="155" t="s">
        <v>1219</v>
      </c>
      <c r="M1" s="155" t="s">
        <v>1220</v>
      </c>
      <c r="N1" s="155" t="s">
        <v>1221</v>
      </c>
      <c r="O1" s="155" t="s">
        <v>1222</v>
      </c>
      <c r="P1" s="155" t="s">
        <v>1223</v>
      </c>
      <c r="Q1" s="155" t="s">
        <v>1224</v>
      </c>
      <c r="R1" s="155" t="s">
        <v>1225</v>
      </c>
      <c r="S1" s="155" t="s">
        <v>1226</v>
      </c>
      <c r="T1" s="155" t="s">
        <v>1227</v>
      </c>
      <c r="U1" s="155" t="s">
        <v>1249</v>
      </c>
      <c r="V1" s="155" t="s">
        <v>1229</v>
      </c>
      <c r="W1" s="155" t="s">
        <v>1230</v>
      </c>
      <c r="X1" s="155" t="s">
        <v>1231</v>
      </c>
      <c r="Y1" s="155" t="s">
        <v>1232</v>
      </c>
      <c r="Z1" s="155" t="s">
        <v>1233</v>
      </c>
      <c r="AA1" s="155"/>
    </row>
    <row r="2" spans="1:27">
      <c r="A2" t="s">
        <v>88</v>
      </c>
      <c r="B2">
        <v>1</v>
      </c>
      <c r="C2" t="s">
        <v>771</v>
      </c>
      <c r="D2">
        <v>71</v>
      </c>
      <c r="E2">
        <v>39</v>
      </c>
      <c r="F2">
        <v>39</v>
      </c>
      <c r="G2">
        <v>36</v>
      </c>
      <c r="H2">
        <v>34</v>
      </c>
      <c r="I2">
        <v>32</v>
      </c>
      <c r="J2">
        <v>31</v>
      </c>
      <c r="K2">
        <v>31</v>
      </c>
      <c r="L2">
        <v>31</v>
      </c>
      <c r="M2">
        <v>29</v>
      </c>
      <c r="N2">
        <v>26</v>
      </c>
      <c r="O2">
        <v>26</v>
      </c>
      <c r="P2">
        <v>24</v>
      </c>
      <c r="Q2">
        <v>22</v>
      </c>
      <c r="R2">
        <v>18</v>
      </c>
      <c r="S2">
        <v>8</v>
      </c>
      <c r="T2">
        <v>6</v>
      </c>
      <c r="U2">
        <v>6</v>
      </c>
      <c r="V2">
        <v>5</v>
      </c>
      <c r="W2">
        <v>4</v>
      </c>
      <c r="X2">
        <v>0</v>
      </c>
      <c r="Y2">
        <v>0</v>
      </c>
      <c r="Z2">
        <v>0</v>
      </c>
      <c r="AA2" s="155"/>
    </row>
    <row r="3" spans="1:27">
      <c r="A3" t="s">
        <v>88</v>
      </c>
      <c r="B3">
        <v>2</v>
      </c>
      <c r="C3" t="s">
        <v>772</v>
      </c>
      <c r="D3">
        <v>41</v>
      </c>
      <c r="E3">
        <v>25</v>
      </c>
      <c r="F3">
        <v>20</v>
      </c>
      <c r="G3">
        <v>20</v>
      </c>
      <c r="H3">
        <v>20</v>
      </c>
      <c r="I3">
        <v>20</v>
      </c>
      <c r="J3">
        <v>20</v>
      </c>
      <c r="K3">
        <v>18</v>
      </c>
      <c r="L3">
        <v>18</v>
      </c>
      <c r="M3">
        <v>16</v>
      </c>
      <c r="N3">
        <v>16</v>
      </c>
      <c r="O3">
        <v>15</v>
      </c>
      <c r="P3">
        <v>10</v>
      </c>
      <c r="Q3">
        <v>9</v>
      </c>
      <c r="R3">
        <v>5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 s="155"/>
    </row>
    <row r="4" spans="1:27">
      <c r="A4" t="s">
        <v>88</v>
      </c>
      <c r="B4">
        <v>3</v>
      </c>
      <c r="C4" t="s">
        <v>773</v>
      </c>
      <c r="D4">
        <v>60</v>
      </c>
      <c r="E4">
        <v>38</v>
      </c>
      <c r="F4">
        <v>29</v>
      </c>
      <c r="G4">
        <v>28</v>
      </c>
      <c r="H4">
        <v>27</v>
      </c>
      <c r="I4">
        <v>26</v>
      </c>
      <c r="J4">
        <v>26</v>
      </c>
      <c r="K4">
        <v>26</v>
      </c>
      <c r="L4">
        <v>26</v>
      </c>
      <c r="M4">
        <v>25</v>
      </c>
      <c r="N4">
        <v>23</v>
      </c>
      <c r="O4">
        <v>18</v>
      </c>
      <c r="P4">
        <v>14</v>
      </c>
      <c r="Q4">
        <v>13</v>
      </c>
      <c r="R4">
        <v>10</v>
      </c>
      <c r="S4">
        <v>8</v>
      </c>
      <c r="T4">
        <v>6</v>
      </c>
      <c r="U4">
        <v>6</v>
      </c>
      <c r="V4">
        <v>5</v>
      </c>
      <c r="W4">
        <v>3</v>
      </c>
      <c r="X4">
        <v>3</v>
      </c>
      <c r="Y4">
        <v>3</v>
      </c>
      <c r="Z4">
        <v>3</v>
      </c>
      <c r="AA4" s="155"/>
    </row>
    <row r="5" spans="1:27">
      <c r="A5" t="s">
        <v>88</v>
      </c>
      <c r="B5">
        <v>4</v>
      </c>
      <c r="C5" t="s">
        <v>774</v>
      </c>
      <c r="D5">
        <v>52</v>
      </c>
      <c r="E5">
        <v>32</v>
      </c>
      <c r="F5">
        <v>32</v>
      </c>
      <c r="G5">
        <v>29</v>
      </c>
      <c r="H5">
        <v>22</v>
      </c>
      <c r="I5">
        <v>22</v>
      </c>
      <c r="J5">
        <v>22</v>
      </c>
      <c r="K5">
        <v>22</v>
      </c>
      <c r="L5">
        <v>22</v>
      </c>
      <c r="M5">
        <v>22</v>
      </c>
      <c r="N5">
        <v>22</v>
      </c>
      <c r="O5">
        <v>21</v>
      </c>
      <c r="P5">
        <v>18</v>
      </c>
      <c r="Q5">
        <v>14</v>
      </c>
      <c r="R5">
        <v>11</v>
      </c>
      <c r="S5">
        <v>10</v>
      </c>
      <c r="T5">
        <v>7</v>
      </c>
      <c r="U5">
        <v>5</v>
      </c>
      <c r="V5">
        <v>5</v>
      </c>
      <c r="W5">
        <v>3</v>
      </c>
      <c r="X5">
        <v>3</v>
      </c>
      <c r="Y5">
        <v>2</v>
      </c>
      <c r="Z5">
        <v>2</v>
      </c>
      <c r="AA5" s="155"/>
    </row>
    <row r="6" spans="1:27">
      <c r="A6" t="s">
        <v>88</v>
      </c>
      <c r="B6">
        <v>5</v>
      </c>
      <c r="C6" t="s">
        <v>775</v>
      </c>
      <c r="D6">
        <v>46</v>
      </c>
      <c r="E6">
        <v>5</v>
      </c>
      <c r="F6">
        <v>5</v>
      </c>
      <c r="G6">
        <v>4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2</v>
      </c>
      <c r="S6">
        <v>2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 s="155"/>
    </row>
    <row r="7" spans="1:27">
      <c r="A7" t="s">
        <v>88</v>
      </c>
      <c r="B7">
        <v>6</v>
      </c>
      <c r="C7" t="s">
        <v>776</v>
      </c>
      <c r="D7">
        <v>61</v>
      </c>
      <c r="E7">
        <v>33</v>
      </c>
      <c r="F7">
        <v>31</v>
      </c>
      <c r="G7">
        <v>29</v>
      </c>
      <c r="H7">
        <v>26</v>
      </c>
      <c r="I7">
        <v>26</v>
      </c>
      <c r="J7">
        <v>26</v>
      </c>
      <c r="K7">
        <v>26</v>
      </c>
      <c r="L7">
        <v>25</v>
      </c>
      <c r="M7">
        <v>25</v>
      </c>
      <c r="N7">
        <v>23</v>
      </c>
      <c r="O7">
        <v>20</v>
      </c>
      <c r="P7">
        <v>20</v>
      </c>
      <c r="Q7">
        <v>16</v>
      </c>
      <c r="R7">
        <v>10</v>
      </c>
      <c r="S7">
        <v>7</v>
      </c>
      <c r="T7">
        <v>4</v>
      </c>
      <c r="U7">
        <v>4</v>
      </c>
      <c r="V7">
        <v>4</v>
      </c>
      <c r="W7">
        <v>2</v>
      </c>
      <c r="X7">
        <v>1</v>
      </c>
      <c r="Y7">
        <v>0</v>
      </c>
      <c r="Z7">
        <v>0</v>
      </c>
      <c r="AA7" s="155"/>
    </row>
    <row r="8" spans="1:27">
      <c r="A8" t="s">
        <v>88</v>
      </c>
      <c r="B8">
        <v>7</v>
      </c>
      <c r="C8" t="s">
        <v>777</v>
      </c>
      <c r="D8">
        <v>62</v>
      </c>
      <c r="E8">
        <v>18</v>
      </c>
      <c r="F8">
        <v>18</v>
      </c>
      <c r="G8">
        <v>18</v>
      </c>
      <c r="H8">
        <v>18</v>
      </c>
      <c r="I8">
        <v>17</v>
      </c>
      <c r="J8">
        <v>17</v>
      </c>
      <c r="K8">
        <v>17</v>
      </c>
      <c r="L8">
        <v>17</v>
      </c>
      <c r="M8">
        <v>17</v>
      </c>
      <c r="N8">
        <v>17</v>
      </c>
      <c r="O8">
        <v>17</v>
      </c>
      <c r="P8">
        <v>15</v>
      </c>
      <c r="Q8">
        <v>11</v>
      </c>
      <c r="R8">
        <v>7</v>
      </c>
      <c r="S8">
        <v>3</v>
      </c>
      <c r="T8">
        <v>2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 s="155"/>
    </row>
    <row r="9" spans="1:27">
      <c r="A9" t="s">
        <v>88</v>
      </c>
      <c r="B9">
        <v>8</v>
      </c>
      <c r="C9" t="s">
        <v>778</v>
      </c>
      <c r="D9">
        <v>45</v>
      </c>
      <c r="E9">
        <v>18</v>
      </c>
      <c r="F9">
        <v>17</v>
      </c>
      <c r="G9">
        <v>13</v>
      </c>
      <c r="H9">
        <v>7</v>
      </c>
      <c r="I9">
        <v>7</v>
      </c>
      <c r="J9">
        <v>7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 s="155"/>
    </row>
    <row r="10" spans="1:27">
      <c r="A10" t="s">
        <v>88</v>
      </c>
      <c r="B10">
        <v>9</v>
      </c>
      <c r="C10" t="s">
        <v>779</v>
      </c>
      <c r="D10">
        <v>44</v>
      </c>
      <c r="E10">
        <v>22</v>
      </c>
      <c r="F10">
        <v>22</v>
      </c>
      <c r="G10">
        <v>22</v>
      </c>
      <c r="H10">
        <v>22</v>
      </c>
      <c r="I10">
        <v>21</v>
      </c>
      <c r="J10">
        <v>21</v>
      </c>
      <c r="K10">
        <v>21</v>
      </c>
      <c r="L10">
        <v>21</v>
      </c>
      <c r="M10">
        <v>21</v>
      </c>
      <c r="N10">
        <v>21</v>
      </c>
      <c r="O10">
        <v>21</v>
      </c>
      <c r="P10">
        <v>21</v>
      </c>
      <c r="Q10">
        <v>20</v>
      </c>
      <c r="R10">
        <v>15</v>
      </c>
      <c r="S10">
        <v>12</v>
      </c>
      <c r="T10">
        <v>8</v>
      </c>
      <c r="U10">
        <v>8</v>
      </c>
      <c r="V10">
        <v>6</v>
      </c>
      <c r="W10">
        <v>3</v>
      </c>
      <c r="X10">
        <v>3</v>
      </c>
      <c r="Y10">
        <v>2</v>
      </c>
      <c r="Z10">
        <v>2</v>
      </c>
      <c r="AA10" s="155"/>
    </row>
    <row r="11" spans="1:27">
      <c r="A11" t="s">
        <v>86</v>
      </c>
      <c r="B11">
        <v>1</v>
      </c>
      <c r="C11" t="s">
        <v>780</v>
      </c>
      <c r="D11">
        <v>23</v>
      </c>
      <c r="E11">
        <v>14</v>
      </c>
      <c r="F11">
        <v>13</v>
      </c>
      <c r="G11">
        <v>13</v>
      </c>
      <c r="H11">
        <v>13</v>
      </c>
      <c r="I11">
        <v>12</v>
      </c>
      <c r="J11">
        <v>12</v>
      </c>
      <c r="K11">
        <v>9</v>
      </c>
      <c r="L11">
        <v>8</v>
      </c>
      <c r="M11">
        <v>8</v>
      </c>
      <c r="N11">
        <v>8</v>
      </c>
      <c r="O11">
        <v>8</v>
      </c>
      <c r="P11">
        <v>6</v>
      </c>
      <c r="Q11">
        <v>3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 s="155"/>
    </row>
    <row r="12" spans="1:27">
      <c r="A12" t="s">
        <v>86</v>
      </c>
      <c r="B12">
        <v>2</v>
      </c>
      <c r="C12" t="s">
        <v>781</v>
      </c>
      <c r="D12">
        <v>47</v>
      </c>
      <c r="E12">
        <v>39</v>
      </c>
      <c r="F12">
        <v>35</v>
      </c>
      <c r="G12">
        <v>35</v>
      </c>
      <c r="H12">
        <v>30</v>
      </c>
      <c r="I12">
        <v>30</v>
      </c>
      <c r="J12">
        <v>30</v>
      </c>
      <c r="K12">
        <v>30</v>
      </c>
      <c r="L12">
        <v>30</v>
      </c>
      <c r="M12">
        <v>30</v>
      </c>
      <c r="N12">
        <v>28</v>
      </c>
      <c r="O12">
        <v>25</v>
      </c>
      <c r="P12">
        <v>21</v>
      </c>
      <c r="Q12">
        <v>15</v>
      </c>
      <c r="R12">
        <v>7</v>
      </c>
      <c r="S12">
        <v>7</v>
      </c>
      <c r="T12">
        <v>6</v>
      </c>
      <c r="U12">
        <v>6</v>
      </c>
      <c r="V12">
        <v>5</v>
      </c>
      <c r="W12">
        <v>4</v>
      </c>
      <c r="X12">
        <v>2</v>
      </c>
      <c r="Y12">
        <v>2</v>
      </c>
      <c r="Z12">
        <v>2</v>
      </c>
      <c r="AA12" s="155"/>
    </row>
    <row r="13" spans="1:27">
      <c r="A13" t="s">
        <v>86</v>
      </c>
      <c r="B13">
        <v>3</v>
      </c>
      <c r="C13" t="s">
        <v>782</v>
      </c>
      <c r="D13">
        <v>50</v>
      </c>
      <c r="E13">
        <v>35</v>
      </c>
      <c r="F13">
        <v>31</v>
      </c>
      <c r="G13">
        <v>31</v>
      </c>
      <c r="H13">
        <v>31</v>
      </c>
      <c r="I13">
        <v>29</v>
      </c>
      <c r="J13">
        <v>27</v>
      </c>
      <c r="K13">
        <v>25</v>
      </c>
      <c r="L13">
        <v>24</v>
      </c>
      <c r="M13">
        <v>22</v>
      </c>
      <c r="N13">
        <v>21</v>
      </c>
      <c r="O13">
        <v>19</v>
      </c>
      <c r="P13">
        <v>15</v>
      </c>
      <c r="Q13">
        <v>14</v>
      </c>
      <c r="R13">
        <v>11</v>
      </c>
      <c r="S13">
        <v>10</v>
      </c>
      <c r="T13">
        <v>9</v>
      </c>
      <c r="U13">
        <v>7</v>
      </c>
      <c r="V13">
        <v>6</v>
      </c>
      <c r="W13">
        <v>4</v>
      </c>
      <c r="X13">
        <v>1</v>
      </c>
      <c r="Y13">
        <v>1</v>
      </c>
      <c r="Z13">
        <v>1</v>
      </c>
      <c r="AA13" s="155"/>
    </row>
    <row r="14" spans="1:27">
      <c r="A14" t="s">
        <v>86</v>
      </c>
      <c r="B14">
        <v>4</v>
      </c>
      <c r="C14" t="s">
        <v>783</v>
      </c>
      <c r="D14">
        <v>59</v>
      </c>
      <c r="E14">
        <v>19</v>
      </c>
      <c r="F14">
        <v>17</v>
      </c>
      <c r="G14">
        <v>16</v>
      </c>
      <c r="H14">
        <v>16</v>
      </c>
      <c r="I14">
        <v>16</v>
      </c>
      <c r="J14">
        <v>16</v>
      </c>
      <c r="K14">
        <v>16</v>
      </c>
      <c r="L14">
        <v>16</v>
      </c>
      <c r="M14">
        <v>16</v>
      </c>
      <c r="N14">
        <v>16</v>
      </c>
      <c r="O14">
        <v>16</v>
      </c>
      <c r="P14">
        <v>16</v>
      </c>
      <c r="Q14">
        <v>15</v>
      </c>
      <c r="R14">
        <v>11</v>
      </c>
      <c r="S14">
        <v>6</v>
      </c>
      <c r="T14">
        <v>4</v>
      </c>
      <c r="U14">
        <v>3</v>
      </c>
      <c r="V14">
        <v>3</v>
      </c>
      <c r="W14">
        <v>3</v>
      </c>
      <c r="X14">
        <v>1</v>
      </c>
      <c r="Y14">
        <v>1</v>
      </c>
      <c r="Z14">
        <v>1</v>
      </c>
      <c r="AA14" s="155"/>
    </row>
    <row r="15" spans="1:27">
      <c r="A15" t="s">
        <v>86</v>
      </c>
      <c r="B15">
        <v>5</v>
      </c>
      <c r="C15" t="s">
        <v>784</v>
      </c>
      <c r="D15">
        <v>30</v>
      </c>
      <c r="E15">
        <v>13</v>
      </c>
      <c r="F15">
        <v>12</v>
      </c>
      <c r="G15">
        <v>6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3</v>
      </c>
      <c r="R15">
        <v>2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 s="155"/>
    </row>
    <row r="16" spans="1:27">
      <c r="A16" t="s">
        <v>86</v>
      </c>
      <c r="B16">
        <v>6</v>
      </c>
      <c r="C16" t="s">
        <v>785</v>
      </c>
      <c r="D16">
        <v>87</v>
      </c>
      <c r="E16">
        <v>25</v>
      </c>
      <c r="F16">
        <v>25</v>
      </c>
      <c r="G16">
        <v>25</v>
      </c>
      <c r="H16">
        <v>25</v>
      </c>
      <c r="I16">
        <v>25</v>
      </c>
      <c r="J16">
        <v>25</v>
      </c>
      <c r="K16">
        <v>25</v>
      </c>
      <c r="L16">
        <v>25</v>
      </c>
      <c r="M16">
        <v>25</v>
      </c>
      <c r="N16">
        <v>25</v>
      </c>
      <c r="O16">
        <v>25</v>
      </c>
      <c r="P16">
        <v>24</v>
      </c>
      <c r="Q16">
        <v>22</v>
      </c>
      <c r="R16">
        <v>16</v>
      </c>
      <c r="S16">
        <v>13</v>
      </c>
      <c r="T16">
        <v>12</v>
      </c>
      <c r="U16">
        <v>11</v>
      </c>
      <c r="V16">
        <v>9</v>
      </c>
      <c r="W16">
        <v>8</v>
      </c>
      <c r="X16">
        <v>7</v>
      </c>
      <c r="Y16">
        <v>6</v>
      </c>
      <c r="Z16">
        <v>6</v>
      </c>
      <c r="AA16" s="155"/>
    </row>
    <row r="17" spans="1:27">
      <c r="A17" t="s">
        <v>86</v>
      </c>
      <c r="B17">
        <v>7</v>
      </c>
      <c r="C17" t="s">
        <v>786</v>
      </c>
      <c r="D17">
        <v>39</v>
      </c>
      <c r="E17">
        <v>15</v>
      </c>
      <c r="F17">
        <v>13</v>
      </c>
      <c r="G17">
        <v>13</v>
      </c>
      <c r="H17">
        <v>13</v>
      </c>
      <c r="I17">
        <v>13</v>
      </c>
      <c r="J17">
        <v>13</v>
      </c>
      <c r="K17">
        <v>13</v>
      </c>
      <c r="L17">
        <v>13</v>
      </c>
      <c r="M17">
        <v>13</v>
      </c>
      <c r="N17">
        <v>13</v>
      </c>
      <c r="O17">
        <v>13</v>
      </c>
      <c r="P17">
        <v>13</v>
      </c>
      <c r="Q17">
        <v>10</v>
      </c>
      <c r="R17">
        <v>9</v>
      </c>
      <c r="S17">
        <v>7</v>
      </c>
      <c r="T17">
        <v>4</v>
      </c>
      <c r="U17">
        <v>4</v>
      </c>
      <c r="V17">
        <v>4</v>
      </c>
      <c r="W17">
        <v>4</v>
      </c>
      <c r="X17">
        <v>3</v>
      </c>
      <c r="Y17">
        <v>0</v>
      </c>
      <c r="Z17">
        <v>0</v>
      </c>
      <c r="AA17" s="155"/>
    </row>
    <row r="18" spans="1:27">
      <c r="A18" t="s">
        <v>86</v>
      </c>
      <c r="B18">
        <v>8</v>
      </c>
      <c r="C18" t="s">
        <v>787</v>
      </c>
      <c r="D18">
        <v>44</v>
      </c>
      <c r="E18">
        <v>11</v>
      </c>
      <c r="F18">
        <v>11</v>
      </c>
      <c r="G18">
        <v>11</v>
      </c>
      <c r="H18">
        <v>11</v>
      </c>
      <c r="I18">
        <v>11</v>
      </c>
      <c r="J18">
        <v>11</v>
      </c>
      <c r="K18">
        <v>11</v>
      </c>
      <c r="L18">
        <v>11</v>
      </c>
      <c r="M18">
        <v>11</v>
      </c>
      <c r="N18">
        <v>11</v>
      </c>
      <c r="O18">
        <v>11</v>
      </c>
      <c r="P18">
        <v>9</v>
      </c>
      <c r="Q18">
        <v>7</v>
      </c>
      <c r="R18">
        <v>4</v>
      </c>
      <c r="S18">
        <v>3</v>
      </c>
      <c r="T18">
        <v>3</v>
      </c>
      <c r="U18">
        <v>3</v>
      </c>
      <c r="V18">
        <v>3</v>
      </c>
      <c r="W18">
        <v>3</v>
      </c>
      <c r="X18">
        <v>3</v>
      </c>
      <c r="Y18">
        <v>1</v>
      </c>
      <c r="Z18">
        <v>1</v>
      </c>
      <c r="AA18" s="155"/>
    </row>
    <row r="19" spans="1:27">
      <c r="A19" t="s">
        <v>86</v>
      </c>
      <c r="B19">
        <v>9</v>
      </c>
      <c r="C19" t="s">
        <v>788</v>
      </c>
      <c r="D19">
        <v>48</v>
      </c>
      <c r="E19">
        <v>26</v>
      </c>
      <c r="F19">
        <v>26</v>
      </c>
      <c r="G19">
        <v>24</v>
      </c>
      <c r="H19">
        <v>24</v>
      </c>
      <c r="I19">
        <v>24</v>
      </c>
      <c r="J19">
        <v>23</v>
      </c>
      <c r="K19">
        <v>23</v>
      </c>
      <c r="L19">
        <v>23</v>
      </c>
      <c r="M19">
        <v>23</v>
      </c>
      <c r="N19">
        <v>23</v>
      </c>
      <c r="O19">
        <v>22</v>
      </c>
      <c r="P19">
        <v>22</v>
      </c>
      <c r="Q19">
        <v>20</v>
      </c>
      <c r="R19">
        <v>14</v>
      </c>
      <c r="S19">
        <v>14</v>
      </c>
      <c r="T19">
        <v>14</v>
      </c>
      <c r="U19">
        <v>12</v>
      </c>
      <c r="V19">
        <v>10</v>
      </c>
      <c r="W19">
        <v>10</v>
      </c>
      <c r="X19">
        <v>6</v>
      </c>
      <c r="Y19">
        <v>6</v>
      </c>
      <c r="Z19">
        <v>6</v>
      </c>
      <c r="AA19" s="155"/>
    </row>
    <row r="20" spans="1:27">
      <c r="A20" t="s">
        <v>86</v>
      </c>
      <c r="B20">
        <v>10</v>
      </c>
      <c r="C20" t="s">
        <v>789</v>
      </c>
      <c r="D20">
        <v>74</v>
      </c>
      <c r="E20">
        <v>37</v>
      </c>
      <c r="F20">
        <v>37</v>
      </c>
      <c r="G20">
        <v>36</v>
      </c>
      <c r="H20">
        <v>34</v>
      </c>
      <c r="I20">
        <v>32</v>
      </c>
      <c r="J20">
        <v>29</v>
      </c>
      <c r="K20">
        <v>24</v>
      </c>
      <c r="L20">
        <v>23</v>
      </c>
      <c r="M20">
        <v>20</v>
      </c>
      <c r="N20">
        <v>19</v>
      </c>
      <c r="O20">
        <v>19</v>
      </c>
      <c r="P20">
        <v>19</v>
      </c>
      <c r="Q20">
        <v>18</v>
      </c>
      <c r="R20">
        <v>18</v>
      </c>
      <c r="S20">
        <v>17</v>
      </c>
      <c r="T20">
        <v>14</v>
      </c>
      <c r="U20">
        <v>14</v>
      </c>
      <c r="V20">
        <v>14</v>
      </c>
      <c r="W20">
        <v>13</v>
      </c>
      <c r="X20">
        <v>9</v>
      </c>
      <c r="Y20">
        <v>8</v>
      </c>
      <c r="Z20">
        <v>8</v>
      </c>
      <c r="AA20" s="155"/>
    </row>
    <row r="21" spans="1:27">
      <c r="A21" t="s">
        <v>50</v>
      </c>
      <c r="B21">
        <v>1</v>
      </c>
      <c r="C21" t="s">
        <v>791</v>
      </c>
      <c r="D21">
        <v>27</v>
      </c>
      <c r="E21">
        <v>16</v>
      </c>
      <c r="F21">
        <v>14</v>
      </c>
      <c r="G21">
        <v>13</v>
      </c>
      <c r="H21">
        <v>11</v>
      </c>
      <c r="I21">
        <v>8</v>
      </c>
      <c r="J21">
        <v>8</v>
      </c>
      <c r="K21">
        <v>8</v>
      </c>
      <c r="L21">
        <v>8</v>
      </c>
      <c r="M21">
        <v>8</v>
      </c>
      <c r="N21">
        <v>8</v>
      </c>
      <c r="O21">
        <v>5</v>
      </c>
      <c r="P21">
        <v>3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155"/>
    </row>
    <row r="22" spans="1:27">
      <c r="A22" t="s">
        <v>50</v>
      </c>
      <c r="B22">
        <v>2</v>
      </c>
      <c r="C22" t="s">
        <v>792</v>
      </c>
      <c r="D22">
        <v>56</v>
      </c>
      <c r="E22">
        <v>28</v>
      </c>
      <c r="F22">
        <v>28</v>
      </c>
      <c r="G22">
        <v>22</v>
      </c>
      <c r="H22">
        <v>21</v>
      </c>
      <c r="I22">
        <v>21</v>
      </c>
      <c r="J22">
        <v>21</v>
      </c>
      <c r="K22">
        <v>21</v>
      </c>
      <c r="L22">
        <v>21</v>
      </c>
      <c r="M22">
        <v>21</v>
      </c>
      <c r="N22">
        <v>21</v>
      </c>
      <c r="O22">
        <v>21</v>
      </c>
      <c r="P22">
        <v>21</v>
      </c>
      <c r="Q22">
        <v>19</v>
      </c>
      <c r="R22">
        <v>11</v>
      </c>
      <c r="S22">
        <v>4</v>
      </c>
      <c r="T22">
        <v>4</v>
      </c>
      <c r="U22">
        <v>3</v>
      </c>
      <c r="V22">
        <v>3</v>
      </c>
      <c r="W22">
        <v>1</v>
      </c>
      <c r="X22">
        <v>1</v>
      </c>
      <c r="Y22">
        <v>1</v>
      </c>
      <c r="Z22">
        <v>1</v>
      </c>
      <c r="AA22" s="155"/>
    </row>
    <row r="23" spans="1:27">
      <c r="A23" t="s">
        <v>50</v>
      </c>
      <c r="B23">
        <v>3</v>
      </c>
      <c r="C23" t="s">
        <v>793</v>
      </c>
      <c r="D23">
        <v>85</v>
      </c>
      <c r="E23">
        <v>37</v>
      </c>
      <c r="F23">
        <v>35</v>
      </c>
      <c r="G23">
        <v>34</v>
      </c>
      <c r="H23">
        <v>32</v>
      </c>
      <c r="I23">
        <v>32</v>
      </c>
      <c r="J23">
        <v>32</v>
      </c>
      <c r="K23">
        <v>31</v>
      </c>
      <c r="L23">
        <v>31</v>
      </c>
      <c r="M23">
        <v>30</v>
      </c>
      <c r="N23">
        <v>30</v>
      </c>
      <c r="O23">
        <v>27</v>
      </c>
      <c r="P23">
        <v>27</v>
      </c>
      <c r="Q23">
        <v>27</v>
      </c>
      <c r="R23">
        <v>15</v>
      </c>
      <c r="S23">
        <v>10</v>
      </c>
      <c r="T23">
        <v>4</v>
      </c>
      <c r="U23">
        <v>3</v>
      </c>
      <c r="V23">
        <v>3</v>
      </c>
      <c r="W23">
        <v>2</v>
      </c>
      <c r="X23">
        <v>1</v>
      </c>
      <c r="Y23">
        <v>0</v>
      </c>
      <c r="Z23">
        <v>0</v>
      </c>
      <c r="AA23" s="155"/>
    </row>
    <row r="24" spans="1:27">
      <c r="A24" t="s">
        <v>50</v>
      </c>
      <c r="B24">
        <v>4</v>
      </c>
      <c r="C24" t="s">
        <v>794</v>
      </c>
      <c r="D24">
        <v>78</v>
      </c>
      <c r="E24">
        <v>56</v>
      </c>
      <c r="F24">
        <v>42</v>
      </c>
      <c r="G24">
        <v>42</v>
      </c>
      <c r="H24">
        <v>37</v>
      </c>
      <c r="I24">
        <v>30</v>
      </c>
      <c r="J24">
        <v>29</v>
      </c>
      <c r="K24">
        <v>29</v>
      </c>
      <c r="L24">
        <v>27</v>
      </c>
      <c r="M24">
        <v>24</v>
      </c>
      <c r="N24">
        <v>24</v>
      </c>
      <c r="O24">
        <v>22</v>
      </c>
      <c r="P24">
        <v>19</v>
      </c>
      <c r="Q24">
        <v>16</v>
      </c>
      <c r="R24">
        <v>12</v>
      </c>
      <c r="S24">
        <v>8</v>
      </c>
      <c r="T24">
        <v>6</v>
      </c>
      <c r="U24">
        <v>6</v>
      </c>
      <c r="V24">
        <v>4</v>
      </c>
      <c r="W24">
        <v>3</v>
      </c>
      <c r="X24">
        <v>2</v>
      </c>
      <c r="Y24">
        <v>2</v>
      </c>
      <c r="Z24">
        <v>2</v>
      </c>
    </row>
    <row r="25" spans="1:27">
      <c r="A25" t="s">
        <v>50</v>
      </c>
      <c r="B25">
        <v>5</v>
      </c>
      <c r="C25" t="s">
        <v>795</v>
      </c>
      <c r="D25">
        <v>57</v>
      </c>
      <c r="E25">
        <v>14</v>
      </c>
      <c r="F25">
        <v>14</v>
      </c>
      <c r="G25">
        <v>13</v>
      </c>
      <c r="H25">
        <v>11</v>
      </c>
      <c r="I25">
        <v>11</v>
      </c>
      <c r="J25">
        <v>11</v>
      </c>
      <c r="K25">
        <v>11</v>
      </c>
      <c r="L25">
        <v>11</v>
      </c>
      <c r="M25">
        <v>9</v>
      </c>
      <c r="N25">
        <v>9</v>
      </c>
      <c r="O25">
        <v>9</v>
      </c>
      <c r="P25">
        <v>9</v>
      </c>
      <c r="Q25">
        <v>9</v>
      </c>
      <c r="R25">
        <v>3</v>
      </c>
      <c r="S25">
        <v>2</v>
      </c>
      <c r="T25">
        <v>2</v>
      </c>
      <c r="U25">
        <v>2</v>
      </c>
      <c r="V25">
        <v>2</v>
      </c>
      <c r="W25">
        <v>1</v>
      </c>
      <c r="X25">
        <v>1</v>
      </c>
      <c r="Y25">
        <v>1</v>
      </c>
      <c r="Z25">
        <v>1</v>
      </c>
    </row>
    <row r="26" spans="1:27">
      <c r="A26" t="s">
        <v>50</v>
      </c>
      <c r="B26">
        <v>6</v>
      </c>
      <c r="C26" t="s">
        <v>796</v>
      </c>
      <c r="D26">
        <v>93</v>
      </c>
      <c r="E26">
        <v>27</v>
      </c>
      <c r="F26">
        <v>27</v>
      </c>
      <c r="G26">
        <v>23</v>
      </c>
      <c r="H26">
        <v>22</v>
      </c>
      <c r="I26">
        <v>22</v>
      </c>
      <c r="J26">
        <v>22</v>
      </c>
      <c r="K26">
        <v>22</v>
      </c>
      <c r="L26">
        <v>22</v>
      </c>
      <c r="M26">
        <v>22</v>
      </c>
      <c r="N26">
        <v>20</v>
      </c>
      <c r="O26">
        <v>18</v>
      </c>
      <c r="P26">
        <v>15</v>
      </c>
      <c r="Q26">
        <v>15</v>
      </c>
      <c r="R26">
        <v>13</v>
      </c>
      <c r="S26">
        <v>13</v>
      </c>
      <c r="T26">
        <v>9</v>
      </c>
      <c r="U26">
        <v>8</v>
      </c>
      <c r="V26">
        <v>6</v>
      </c>
      <c r="W26">
        <v>4</v>
      </c>
      <c r="X26">
        <v>4</v>
      </c>
      <c r="Y26">
        <v>4</v>
      </c>
      <c r="Z26">
        <v>4</v>
      </c>
    </row>
    <row r="27" spans="1:27">
      <c r="A27" t="s">
        <v>50</v>
      </c>
      <c r="B27">
        <v>7</v>
      </c>
      <c r="C27" t="s">
        <v>797</v>
      </c>
      <c r="D27">
        <v>54</v>
      </c>
      <c r="E27">
        <v>28</v>
      </c>
      <c r="F27">
        <v>28</v>
      </c>
      <c r="G27">
        <v>25</v>
      </c>
      <c r="H27">
        <v>25</v>
      </c>
      <c r="I27">
        <v>24</v>
      </c>
      <c r="J27">
        <v>24</v>
      </c>
      <c r="K27">
        <v>24</v>
      </c>
      <c r="L27">
        <v>24</v>
      </c>
      <c r="M27">
        <v>24</v>
      </c>
      <c r="N27">
        <v>22</v>
      </c>
      <c r="O27">
        <v>20</v>
      </c>
      <c r="P27">
        <v>18</v>
      </c>
      <c r="Q27">
        <v>16</v>
      </c>
      <c r="R27">
        <v>12</v>
      </c>
      <c r="S27">
        <v>5</v>
      </c>
      <c r="T27">
        <v>3</v>
      </c>
      <c r="U27">
        <v>2</v>
      </c>
      <c r="V27">
        <v>2</v>
      </c>
      <c r="W27">
        <v>1</v>
      </c>
      <c r="X27">
        <v>0</v>
      </c>
      <c r="Y27">
        <v>0</v>
      </c>
      <c r="Z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ADED-78B5-4044-AEE6-CCA959664AC7}">
  <sheetPr>
    <tabColor rgb="FF0070C0"/>
  </sheetPr>
  <dimension ref="A1:Z18"/>
  <sheetViews>
    <sheetView workbookViewId="0">
      <selection activeCell="D19" sqref="D19"/>
    </sheetView>
    <sheetView workbookViewId="1">
      <selection activeCell="A3" sqref="A3"/>
    </sheetView>
    <sheetView tabSelected="1" zoomScale="120" zoomScaleNormal="120" workbookViewId="2"/>
  </sheetViews>
  <sheetFormatPr defaultRowHeight="15"/>
  <cols>
    <col min="1" max="16384" width="9.140625" style="5"/>
  </cols>
  <sheetData>
    <row r="1" spans="1:26" s="202" customFormat="1">
      <c r="A1" s="155" t="s">
        <v>28</v>
      </c>
      <c r="B1" s="155" t="s">
        <v>763</v>
      </c>
      <c r="C1" s="155" t="s">
        <v>769</v>
      </c>
      <c r="D1" s="202" t="s">
        <v>798</v>
      </c>
      <c r="E1" s="202" t="s">
        <v>1212</v>
      </c>
      <c r="F1" s="202" t="s">
        <v>1213</v>
      </c>
      <c r="G1" s="202" t="s">
        <v>1214</v>
      </c>
      <c r="H1" s="202" t="s">
        <v>1215</v>
      </c>
      <c r="I1" s="202" t="s">
        <v>1216</v>
      </c>
      <c r="J1" s="202" t="s">
        <v>1217</v>
      </c>
      <c r="K1" s="202" t="s">
        <v>1295</v>
      </c>
      <c r="L1" s="202" t="s">
        <v>1296</v>
      </c>
      <c r="M1" s="202" t="s">
        <v>1297</v>
      </c>
      <c r="N1" s="202" t="s">
        <v>1298</v>
      </c>
      <c r="O1" s="202" t="s">
        <v>1299</v>
      </c>
      <c r="P1" s="202" t="s">
        <v>1300</v>
      </c>
      <c r="Q1" s="202" t="s">
        <v>1301</v>
      </c>
      <c r="R1" s="202" t="s">
        <v>1302</v>
      </c>
      <c r="S1" s="202" t="s">
        <v>1303</v>
      </c>
      <c r="T1" s="202" t="s">
        <v>1304</v>
      </c>
      <c r="U1" s="202" t="s">
        <v>1305</v>
      </c>
      <c r="V1" s="202" t="s">
        <v>1306</v>
      </c>
      <c r="W1" s="202" t="s">
        <v>1307</v>
      </c>
      <c r="X1" s="202" t="s">
        <v>1308</v>
      </c>
      <c r="Y1" s="202" t="s">
        <v>1294</v>
      </c>
      <c r="Z1" s="202" t="s">
        <v>1309</v>
      </c>
    </row>
    <row r="2" spans="1:26">
      <c r="A2" s="5" t="s">
        <v>88</v>
      </c>
      <c r="B2" s="5">
        <v>1</v>
      </c>
      <c r="C2" s="5" t="s">
        <v>771</v>
      </c>
      <c r="D2" s="5">
        <v>50</v>
      </c>
      <c r="E2" s="5">
        <v>43</v>
      </c>
      <c r="F2" s="5">
        <v>21</v>
      </c>
      <c r="G2" s="5">
        <v>20</v>
      </c>
      <c r="H2" s="5">
        <v>18</v>
      </c>
      <c r="I2" s="5">
        <v>16</v>
      </c>
      <c r="J2" s="5">
        <v>16</v>
      </c>
      <c r="K2" s="5">
        <v>11</v>
      </c>
      <c r="L2" s="5">
        <v>10</v>
      </c>
      <c r="M2" s="5">
        <v>10</v>
      </c>
      <c r="N2" s="5">
        <v>10</v>
      </c>
      <c r="O2" s="5">
        <v>7</v>
      </c>
      <c r="P2" s="5">
        <v>6</v>
      </c>
      <c r="Q2" s="5">
        <v>4</v>
      </c>
      <c r="R2" s="5">
        <v>3</v>
      </c>
      <c r="S2" s="5">
        <v>3</v>
      </c>
      <c r="T2" s="5">
        <v>3</v>
      </c>
      <c r="U2" s="5">
        <v>2</v>
      </c>
      <c r="V2" s="5">
        <v>2</v>
      </c>
      <c r="W2" s="5">
        <v>1</v>
      </c>
      <c r="X2" s="5">
        <v>1</v>
      </c>
      <c r="Y2" s="5">
        <v>0</v>
      </c>
      <c r="Z2" s="5">
        <v>0</v>
      </c>
    </row>
    <row r="3" spans="1:26">
      <c r="A3" s="5" t="s">
        <v>88</v>
      </c>
      <c r="B3" s="5">
        <v>2</v>
      </c>
      <c r="C3" s="5" t="s">
        <v>772</v>
      </c>
      <c r="D3" s="5">
        <v>48</v>
      </c>
      <c r="E3" s="5">
        <v>48</v>
      </c>
      <c r="F3" s="5">
        <v>18</v>
      </c>
      <c r="G3" s="5">
        <v>18</v>
      </c>
      <c r="H3" s="5">
        <v>16</v>
      </c>
      <c r="I3" s="5">
        <v>16</v>
      </c>
      <c r="J3" s="5">
        <v>16</v>
      </c>
      <c r="K3" s="5">
        <v>16</v>
      </c>
      <c r="L3" s="5">
        <v>14</v>
      </c>
      <c r="M3" s="5">
        <v>14</v>
      </c>
      <c r="N3" s="5">
        <v>14</v>
      </c>
      <c r="O3" s="5">
        <v>10</v>
      </c>
      <c r="P3" s="5">
        <v>9</v>
      </c>
      <c r="Q3" s="5">
        <v>6</v>
      </c>
      <c r="R3" s="5">
        <v>5</v>
      </c>
      <c r="S3" s="5">
        <v>4</v>
      </c>
      <c r="T3" s="5">
        <v>4</v>
      </c>
      <c r="U3" s="5">
        <v>4</v>
      </c>
      <c r="V3" s="5">
        <v>3</v>
      </c>
      <c r="W3" s="5">
        <v>3</v>
      </c>
      <c r="X3" s="5">
        <v>0</v>
      </c>
      <c r="Y3" s="5">
        <v>0</v>
      </c>
      <c r="Z3" s="5">
        <v>0</v>
      </c>
    </row>
    <row r="4" spans="1:26">
      <c r="A4" s="5" t="s">
        <v>88</v>
      </c>
      <c r="B4" s="5">
        <v>3</v>
      </c>
      <c r="C4" s="5" t="s">
        <v>773</v>
      </c>
      <c r="D4" s="5">
        <v>47</v>
      </c>
      <c r="E4" s="5">
        <v>45</v>
      </c>
      <c r="F4" s="5">
        <v>24</v>
      </c>
      <c r="G4" s="5">
        <v>24</v>
      </c>
      <c r="H4" s="5">
        <v>24</v>
      </c>
      <c r="I4" s="5">
        <v>24</v>
      </c>
      <c r="J4" s="5">
        <v>24</v>
      </c>
      <c r="K4" s="5">
        <v>24</v>
      </c>
      <c r="L4" s="5">
        <v>24</v>
      </c>
      <c r="M4" s="5">
        <v>24</v>
      </c>
      <c r="N4" s="5">
        <v>22</v>
      </c>
      <c r="O4" s="5">
        <v>13</v>
      </c>
      <c r="P4" s="5">
        <v>8</v>
      </c>
      <c r="Q4" s="5">
        <v>6</v>
      </c>
      <c r="R4" s="5">
        <v>5</v>
      </c>
      <c r="S4" s="5">
        <v>4</v>
      </c>
      <c r="T4" s="5">
        <v>4</v>
      </c>
      <c r="U4" s="5">
        <v>4</v>
      </c>
      <c r="V4" s="5">
        <v>3</v>
      </c>
      <c r="W4" s="5">
        <v>3</v>
      </c>
      <c r="X4" s="5">
        <v>2</v>
      </c>
      <c r="Y4" s="5">
        <v>2</v>
      </c>
      <c r="Z4" s="5">
        <v>2</v>
      </c>
    </row>
    <row r="5" spans="1:26">
      <c r="A5" s="5" t="s">
        <v>88</v>
      </c>
      <c r="B5" s="5">
        <v>4</v>
      </c>
      <c r="C5" s="5" t="s">
        <v>774</v>
      </c>
      <c r="D5" s="5">
        <v>28</v>
      </c>
      <c r="E5" s="5">
        <v>28</v>
      </c>
      <c r="F5" s="5">
        <v>17</v>
      </c>
      <c r="G5" s="5">
        <v>17</v>
      </c>
      <c r="H5" s="5">
        <v>17</v>
      </c>
      <c r="I5" s="5">
        <v>17</v>
      </c>
      <c r="J5" s="5">
        <v>17</v>
      </c>
      <c r="K5" s="5">
        <v>17</v>
      </c>
      <c r="L5" s="5">
        <v>17</v>
      </c>
      <c r="M5" s="5">
        <v>17</v>
      </c>
      <c r="N5" s="5">
        <v>17</v>
      </c>
      <c r="O5" s="5">
        <v>15</v>
      </c>
      <c r="P5" s="5">
        <v>11</v>
      </c>
      <c r="Q5" s="5">
        <v>9</v>
      </c>
      <c r="R5" s="5">
        <v>8</v>
      </c>
      <c r="S5" s="5">
        <v>7</v>
      </c>
      <c r="T5" s="5">
        <v>6</v>
      </c>
      <c r="U5" s="5">
        <v>6</v>
      </c>
      <c r="V5" s="5">
        <v>5</v>
      </c>
      <c r="W5" s="5">
        <v>5</v>
      </c>
      <c r="X5" s="5">
        <v>3</v>
      </c>
      <c r="Y5" s="5">
        <v>0</v>
      </c>
      <c r="Z5" s="5">
        <v>0</v>
      </c>
    </row>
    <row r="6" spans="1:26">
      <c r="A6" s="5" t="s">
        <v>88</v>
      </c>
      <c r="B6" s="5">
        <v>5</v>
      </c>
      <c r="C6" s="5" t="s">
        <v>775</v>
      </c>
      <c r="D6" s="5">
        <v>65</v>
      </c>
      <c r="E6" s="5">
        <v>60</v>
      </c>
      <c r="F6" s="5">
        <v>21</v>
      </c>
      <c r="G6" s="5">
        <v>21</v>
      </c>
      <c r="H6" s="5">
        <v>21</v>
      </c>
      <c r="I6" s="5">
        <v>21</v>
      </c>
      <c r="J6" s="5">
        <v>21</v>
      </c>
      <c r="K6" s="5">
        <v>21</v>
      </c>
      <c r="L6" s="5">
        <v>21</v>
      </c>
      <c r="M6" s="5">
        <v>21</v>
      </c>
      <c r="N6" s="5">
        <v>21</v>
      </c>
      <c r="O6" s="5">
        <v>13</v>
      </c>
      <c r="P6" s="5">
        <v>5</v>
      </c>
      <c r="Q6" s="5">
        <v>3</v>
      </c>
      <c r="R6" s="5">
        <v>3</v>
      </c>
      <c r="S6" s="5">
        <v>2</v>
      </c>
      <c r="T6" s="5">
        <v>2</v>
      </c>
      <c r="U6" s="5">
        <v>2</v>
      </c>
      <c r="V6" s="5">
        <v>2</v>
      </c>
      <c r="W6" s="5">
        <v>1</v>
      </c>
      <c r="X6" s="5">
        <v>1</v>
      </c>
      <c r="Y6" s="5">
        <v>0</v>
      </c>
      <c r="Z6" s="5">
        <v>0</v>
      </c>
    </row>
    <row r="7" spans="1:26">
      <c r="A7" s="5" t="s">
        <v>88</v>
      </c>
      <c r="B7" s="5">
        <v>6</v>
      </c>
      <c r="C7" s="5" t="s">
        <v>776</v>
      </c>
      <c r="D7" s="5">
        <v>27</v>
      </c>
      <c r="E7" s="5">
        <v>26</v>
      </c>
      <c r="F7" s="5">
        <v>5</v>
      </c>
      <c r="G7" s="5">
        <v>5</v>
      </c>
      <c r="H7" s="5">
        <v>5</v>
      </c>
      <c r="I7" s="5">
        <v>5</v>
      </c>
      <c r="J7" s="5">
        <v>5</v>
      </c>
      <c r="K7" s="5">
        <v>5</v>
      </c>
      <c r="L7" s="5">
        <v>5</v>
      </c>
      <c r="M7" s="5">
        <v>5</v>
      </c>
      <c r="N7" s="5">
        <v>5</v>
      </c>
      <c r="O7" s="5">
        <v>5</v>
      </c>
      <c r="P7" s="5">
        <v>4</v>
      </c>
      <c r="Q7" s="5">
        <v>4</v>
      </c>
      <c r="R7" s="5">
        <v>4</v>
      </c>
      <c r="S7" s="5">
        <v>3</v>
      </c>
      <c r="T7" s="5">
        <v>3</v>
      </c>
      <c r="U7" s="5">
        <v>3</v>
      </c>
      <c r="V7" s="5">
        <v>3</v>
      </c>
      <c r="W7" s="5">
        <v>3</v>
      </c>
      <c r="X7" s="5">
        <v>2</v>
      </c>
      <c r="Y7" s="5">
        <v>0</v>
      </c>
      <c r="Z7" s="5">
        <v>0</v>
      </c>
    </row>
    <row r="8" spans="1:26">
      <c r="A8" s="5" t="s">
        <v>88</v>
      </c>
      <c r="B8" s="5">
        <v>7</v>
      </c>
      <c r="C8" s="5" t="s">
        <v>777</v>
      </c>
      <c r="D8" s="5">
        <v>71</v>
      </c>
      <c r="E8" s="5">
        <v>70</v>
      </c>
      <c r="F8" s="5">
        <v>28</v>
      </c>
      <c r="G8" s="5">
        <v>28</v>
      </c>
      <c r="H8" s="5">
        <v>28</v>
      </c>
      <c r="I8" s="5">
        <v>28</v>
      </c>
      <c r="J8" s="5">
        <v>28</v>
      </c>
      <c r="K8" s="5">
        <v>28</v>
      </c>
      <c r="L8" s="5">
        <v>28</v>
      </c>
      <c r="M8" s="5">
        <v>28</v>
      </c>
      <c r="N8" s="5">
        <v>28</v>
      </c>
      <c r="O8" s="5">
        <v>12</v>
      </c>
      <c r="P8" s="5">
        <v>4</v>
      </c>
      <c r="Q8" s="5">
        <v>4</v>
      </c>
      <c r="R8" s="5">
        <v>4</v>
      </c>
      <c r="S8" s="5">
        <v>4</v>
      </c>
      <c r="T8" s="5">
        <v>2</v>
      </c>
      <c r="U8" s="5">
        <v>2</v>
      </c>
      <c r="V8" s="5">
        <v>2</v>
      </c>
      <c r="W8" s="5">
        <v>2</v>
      </c>
      <c r="X8" s="5">
        <v>1</v>
      </c>
      <c r="Y8" s="5">
        <v>0</v>
      </c>
      <c r="Z8" s="5">
        <v>0</v>
      </c>
    </row>
    <row r="9" spans="1:26">
      <c r="A9" s="5" t="s">
        <v>86</v>
      </c>
      <c r="B9" s="5">
        <v>1</v>
      </c>
      <c r="C9" s="5" t="s">
        <v>780</v>
      </c>
      <c r="D9" s="5">
        <v>47</v>
      </c>
      <c r="E9" s="5">
        <v>44</v>
      </c>
      <c r="F9" s="5">
        <v>22</v>
      </c>
      <c r="G9" s="5">
        <v>22</v>
      </c>
      <c r="H9" s="5">
        <v>22</v>
      </c>
      <c r="I9" s="5">
        <v>22</v>
      </c>
      <c r="J9" s="5">
        <v>22</v>
      </c>
      <c r="K9" s="5">
        <v>22</v>
      </c>
      <c r="L9" s="5">
        <v>22</v>
      </c>
      <c r="M9" s="5">
        <v>22</v>
      </c>
      <c r="N9" s="5">
        <v>22</v>
      </c>
      <c r="O9" s="5">
        <v>18</v>
      </c>
      <c r="P9" s="5">
        <v>14</v>
      </c>
      <c r="Q9" s="5">
        <v>12</v>
      </c>
      <c r="R9" s="5">
        <v>9</v>
      </c>
      <c r="S9" s="5">
        <v>9</v>
      </c>
      <c r="T9" s="5">
        <v>8</v>
      </c>
      <c r="U9" s="5">
        <v>8</v>
      </c>
      <c r="V9" s="5">
        <v>8</v>
      </c>
      <c r="W9" s="5">
        <v>6</v>
      </c>
      <c r="X9" s="5">
        <v>5</v>
      </c>
      <c r="Y9" s="5">
        <v>3</v>
      </c>
      <c r="Z9" s="5">
        <v>2</v>
      </c>
    </row>
    <row r="10" spans="1:26">
      <c r="A10" s="5" t="s">
        <v>86</v>
      </c>
      <c r="B10" s="5">
        <v>2</v>
      </c>
      <c r="C10" s="5" t="s">
        <v>781</v>
      </c>
      <c r="D10" s="5">
        <v>46</v>
      </c>
      <c r="E10" s="5">
        <v>46</v>
      </c>
      <c r="F10" s="5">
        <v>21</v>
      </c>
      <c r="G10" s="5">
        <v>20</v>
      </c>
      <c r="H10" s="5">
        <v>19</v>
      </c>
      <c r="I10" s="5">
        <v>19</v>
      </c>
      <c r="J10" s="5">
        <v>19</v>
      </c>
      <c r="K10" s="5">
        <v>17</v>
      </c>
      <c r="L10" s="5">
        <v>17</v>
      </c>
      <c r="M10" s="5">
        <v>17</v>
      </c>
      <c r="N10" s="5">
        <v>17</v>
      </c>
      <c r="O10" s="5">
        <v>16</v>
      </c>
      <c r="P10" s="5">
        <v>12</v>
      </c>
      <c r="Q10" s="5">
        <v>11</v>
      </c>
      <c r="R10" s="5">
        <v>8</v>
      </c>
      <c r="S10" s="5">
        <v>8</v>
      </c>
      <c r="T10" s="5">
        <v>8</v>
      </c>
      <c r="U10" s="5">
        <v>8</v>
      </c>
      <c r="V10" s="5">
        <v>8</v>
      </c>
      <c r="W10" s="5">
        <v>7</v>
      </c>
      <c r="X10" s="5">
        <v>5</v>
      </c>
      <c r="Y10" s="5">
        <v>3</v>
      </c>
      <c r="Z10" s="5">
        <v>2</v>
      </c>
    </row>
    <row r="11" spans="1:26">
      <c r="A11" s="5" t="s">
        <v>86</v>
      </c>
      <c r="B11" s="5">
        <v>3</v>
      </c>
      <c r="C11" s="5" t="s">
        <v>782</v>
      </c>
      <c r="D11" s="5">
        <v>43</v>
      </c>
      <c r="E11" s="5">
        <v>41</v>
      </c>
      <c r="F11" s="5">
        <v>17</v>
      </c>
      <c r="G11" s="5">
        <v>17</v>
      </c>
      <c r="H11" s="5">
        <v>17</v>
      </c>
      <c r="I11" s="5">
        <v>17</v>
      </c>
      <c r="J11" s="5">
        <v>17</v>
      </c>
      <c r="K11" s="5">
        <v>17</v>
      </c>
      <c r="L11" s="5">
        <v>17</v>
      </c>
      <c r="M11" s="5">
        <v>17</v>
      </c>
      <c r="N11" s="5">
        <v>16</v>
      </c>
      <c r="O11" s="5">
        <v>15</v>
      </c>
      <c r="P11" s="5">
        <v>12</v>
      </c>
      <c r="Q11" s="5">
        <v>6</v>
      </c>
      <c r="R11" s="5">
        <v>4</v>
      </c>
      <c r="S11" s="5">
        <v>4</v>
      </c>
      <c r="T11" s="5">
        <v>4</v>
      </c>
      <c r="U11" s="5">
        <v>4</v>
      </c>
      <c r="V11" s="5">
        <v>4</v>
      </c>
      <c r="W11" s="5">
        <v>4</v>
      </c>
      <c r="X11" s="5">
        <v>4</v>
      </c>
      <c r="Y11" s="5">
        <v>3</v>
      </c>
      <c r="Z11" s="5">
        <v>2</v>
      </c>
    </row>
    <row r="12" spans="1:26">
      <c r="A12" s="5" t="s">
        <v>86</v>
      </c>
      <c r="B12" s="5">
        <v>4</v>
      </c>
      <c r="C12" s="5" t="s">
        <v>783</v>
      </c>
      <c r="D12" s="5">
        <v>54</v>
      </c>
      <c r="E12" s="5">
        <v>53</v>
      </c>
      <c r="F12" s="5">
        <v>15</v>
      </c>
      <c r="G12" s="5">
        <v>15</v>
      </c>
      <c r="H12" s="5">
        <v>15</v>
      </c>
      <c r="I12" s="5">
        <v>15</v>
      </c>
      <c r="J12" s="5">
        <v>15</v>
      </c>
      <c r="K12" s="5">
        <v>15</v>
      </c>
      <c r="L12" s="5">
        <v>15</v>
      </c>
      <c r="M12" s="5">
        <v>15</v>
      </c>
      <c r="N12" s="5">
        <v>15</v>
      </c>
      <c r="O12" s="5">
        <v>13</v>
      </c>
      <c r="P12" s="5">
        <v>8</v>
      </c>
      <c r="Q12" s="5">
        <v>8</v>
      </c>
      <c r="R12" s="5">
        <v>7</v>
      </c>
      <c r="S12" s="5">
        <v>6</v>
      </c>
      <c r="T12" s="5">
        <v>6</v>
      </c>
      <c r="U12" s="5">
        <v>6</v>
      </c>
      <c r="V12" s="5">
        <v>6</v>
      </c>
      <c r="W12" s="5">
        <v>5</v>
      </c>
      <c r="X12" s="5">
        <v>4</v>
      </c>
      <c r="Y12" s="5">
        <v>1</v>
      </c>
      <c r="Z12" s="5">
        <v>1</v>
      </c>
    </row>
    <row r="13" spans="1:26">
      <c r="A13" s="5" t="s">
        <v>86</v>
      </c>
      <c r="B13" s="5">
        <v>5</v>
      </c>
      <c r="C13" s="5" t="s">
        <v>784</v>
      </c>
      <c r="D13" s="5">
        <v>59</v>
      </c>
      <c r="E13" s="5">
        <v>57</v>
      </c>
      <c r="F13" s="5">
        <v>20</v>
      </c>
      <c r="G13" s="5">
        <v>20</v>
      </c>
      <c r="H13" s="5">
        <v>20</v>
      </c>
      <c r="I13" s="5">
        <v>20</v>
      </c>
      <c r="J13" s="5">
        <v>20</v>
      </c>
      <c r="K13" s="5">
        <v>20</v>
      </c>
      <c r="L13" s="5">
        <v>20</v>
      </c>
      <c r="M13" s="5">
        <v>20</v>
      </c>
      <c r="N13" s="5">
        <v>20</v>
      </c>
      <c r="O13" s="5">
        <v>19</v>
      </c>
      <c r="P13" s="5">
        <v>7</v>
      </c>
      <c r="Q13" s="5">
        <v>7</v>
      </c>
      <c r="R13" s="5">
        <v>7</v>
      </c>
      <c r="S13" s="5">
        <v>5</v>
      </c>
      <c r="T13" s="5">
        <v>5</v>
      </c>
      <c r="U13" s="5">
        <v>5</v>
      </c>
      <c r="V13" s="5">
        <v>5</v>
      </c>
      <c r="W13" s="5">
        <v>5</v>
      </c>
      <c r="X13" s="5">
        <v>4</v>
      </c>
      <c r="Y13" s="5">
        <v>1</v>
      </c>
      <c r="Z13" s="5">
        <v>0</v>
      </c>
    </row>
    <row r="14" spans="1:26">
      <c r="A14" s="5" t="s">
        <v>50</v>
      </c>
      <c r="B14" s="5">
        <v>1</v>
      </c>
      <c r="C14" s="5" t="s">
        <v>791</v>
      </c>
      <c r="D14" s="5">
        <v>20</v>
      </c>
      <c r="E14" s="5">
        <v>20</v>
      </c>
      <c r="F14" s="5">
        <v>8</v>
      </c>
      <c r="G14" s="5">
        <v>8</v>
      </c>
      <c r="H14" s="5">
        <v>8</v>
      </c>
      <c r="I14" s="5">
        <v>8</v>
      </c>
      <c r="J14" s="5">
        <v>8</v>
      </c>
      <c r="K14" s="5">
        <v>8</v>
      </c>
      <c r="L14" s="5">
        <v>8</v>
      </c>
      <c r="M14" s="5">
        <v>8</v>
      </c>
      <c r="N14" s="5">
        <v>8</v>
      </c>
      <c r="O14" s="5">
        <v>7</v>
      </c>
      <c r="P14" s="5">
        <v>6</v>
      </c>
      <c r="Q14" s="5">
        <v>5</v>
      </c>
      <c r="R14" s="5">
        <v>4</v>
      </c>
      <c r="S14" s="5">
        <v>3</v>
      </c>
      <c r="T14" s="5">
        <v>3</v>
      </c>
      <c r="U14" s="5">
        <v>3</v>
      </c>
      <c r="V14" s="5">
        <v>2</v>
      </c>
      <c r="W14" s="5">
        <v>1</v>
      </c>
      <c r="X14" s="5">
        <v>1</v>
      </c>
      <c r="Y14" s="5">
        <v>1</v>
      </c>
      <c r="Z14" s="5">
        <v>1</v>
      </c>
    </row>
    <row r="15" spans="1:26">
      <c r="A15" s="5" t="s">
        <v>50</v>
      </c>
      <c r="B15" s="5">
        <v>2</v>
      </c>
      <c r="C15" s="5" t="s">
        <v>792</v>
      </c>
      <c r="D15" s="5">
        <v>46</v>
      </c>
      <c r="E15" s="5">
        <v>39</v>
      </c>
      <c r="F15" s="5">
        <v>20</v>
      </c>
      <c r="G15" s="5">
        <v>20</v>
      </c>
      <c r="H15" s="5">
        <v>19</v>
      </c>
      <c r="I15" s="5">
        <v>19</v>
      </c>
      <c r="J15" s="5">
        <v>19</v>
      </c>
      <c r="K15" s="5">
        <v>19</v>
      </c>
      <c r="L15" s="5">
        <v>18</v>
      </c>
      <c r="M15" s="5">
        <v>18</v>
      </c>
      <c r="N15" s="5">
        <v>18</v>
      </c>
      <c r="O15" s="5">
        <v>18</v>
      </c>
      <c r="P15" s="5">
        <v>9</v>
      </c>
      <c r="Q15" s="5">
        <v>9</v>
      </c>
      <c r="R15" s="5">
        <v>7</v>
      </c>
      <c r="S15" s="5">
        <v>7</v>
      </c>
      <c r="T15" s="5">
        <v>7</v>
      </c>
      <c r="U15" s="5">
        <v>7</v>
      </c>
      <c r="V15" s="5">
        <v>7</v>
      </c>
      <c r="W15" s="5">
        <v>7</v>
      </c>
      <c r="X15" s="5">
        <v>5</v>
      </c>
      <c r="Y15" s="5">
        <v>3</v>
      </c>
      <c r="Z15" s="5">
        <v>3</v>
      </c>
    </row>
    <row r="16" spans="1:26">
      <c r="A16" s="5" t="s">
        <v>50</v>
      </c>
      <c r="B16" s="5">
        <v>3</v>
      </c>
      <c r="C16" s="5" t="s">
        <v>793</v>
      </c>
      <c r="D16" s="5">
        <v>48</v>
      </c>
      <c r="E16" s="5">
        <v>44</v>
      </c>
      <c r="F16" s="5">
        <v>20</v>
      </c>
      <c r="G16" s="5">
        <v>20</v>
      </c>
      <c r="H16" s="5">
        <v>20</v>
      </c>
      <c r="I16" s="5">
        <v>20</v>
      </c>
      <c r="J16" s="5">
        <v>20</v>
      </c>
      <c r="K16" s="5">
        <v>20</v>
      </c>
      <c r="L16" s="5">
        <v>18</v>
      </c>
      <c r="M16" s="5">
        <v>18</v>
      </c>
      <c r="N16" s="5">
        <v>18</v>
      </c>
      <c r="O16" s="5">
        <v>18</v>
      </c>
      <c r="P16" s="5">
        <v>10</v>
      </c>
      <c r="Q16" s="5">
        <v>7</v>
      </c>
      <c r="R16" s="5">
        <v>6</v>
      </c>
      <c r="S16" s="5">
        <v>4</v>
      </c>
      <c r="T16" s="5">
        <v>4</v>
      </c>
      <c r="U16" s="5">
        <v>4</v>
      </c>
      <c r="V16" s="5">
        <v>4</v>
      </c>
      <c r="W16" s="5">
        <v>4</v>
      </c>
      <c r="X16" s="5">
        <v>4</v>
      </c>
      <c r="Y16" s="5">
        <v>2</v>
      </c>
      <c r="Z16" s="5">
        <v>2</v>
      </c>
    </row>
    <row r="17" spans="1:26">
      <c r="A17" s="5" t="s">
        <v>50</v>
      </c>
      <c r="B17" s="5">
        <v>4</v>
      </c>
      <c r="C17" s="5" t="s">
        <v>794</v>
      </c>
      <c r="D17" s="5">
        <v>50</v>
      </c>
      <c r="E17" s="5">
        <v>50</v>
      </c>
      <c r="F17" s="5">
        <v>31</v>
      </c>
      <c r="G17" s="5">
        <v>31</v>
      </c>
      <c r="H17" s="5">
        <v>31</v>
      </c>
      <c r="I17" s="5">
        <v>31</v>
      </c>
      <c r="J17" s="5">
        <v>31</v>
      </c>
      <c r="K17" s="5">
        <v>30</v>
      </c>
      <c r="L17" s="5">
        <v>30</v>
      </c>
      <c r="M17" s="5">
        <v>30</v>
      </c>
      <c r="N17" s="5">
        <v>30</v>
      </c>
      <c r="O17" s="5">
        <v>29</v>
      </c>
      <c r="P17" s="5">
        <v>21</v>
      </c>
      <c r="Q17" s="5">
        <v>20</v>
      </c>
      <c r="R17" s="5">
        <v>18</v>
      </c>
      <c r="S17" s="5">
        <v>15</v>
      </c>
      <c r="T17" s="5">
        <v>15</v>
      </c>
      <c r="U17" s="5">
        <v>15</v>
      </c>
      <c r="V17" s="5">
        <v>14</v>
      </c>
      <c r="W17" s="5">
        <v>12</v>
      </c>
      <c r="X17" s="5">
        <v>11</v>
      </c>
      <c r="Y17" s="5">
        <v>8</v>
      </c>
      <c r="Z17" s="5">
        <v>8</v>
      </c>
    </row>
    <row r="18" spans="1:26">
      <c r="A18" s="5" t="s">
        <v>50</v>
      </c>
      <c r="B18" s="5">
        <v>5</v>
      </c>
      <c r="C18" s="5" t="s">
        <v>795</v>
      </c>
      <c r="D18" s="5">
        <v>66</v>
      </c>
      <c r="E18" s="5">
        <v>63</v>
      </c>
      <c r="F18" s="5">
        <v>26</v>
      </c>
      <c r="G18" s="5">
        <v>26</v>
      </c>
      <c r="H18" s="5">
        <v>26</v>
      </c>
      <c r="I18" s="5">
        <v>26</v>
      </c>
      <c r="J18" s="5">
        <v>26</v>
      </c>
      <c r="K18" s="5">
        <v>26</v>
      </c>
      <c r="L18" s="5">
        <v>26</v>
      </c>
      <c r="M18" s="5">
        <v>26</v>
      </c>
      <c r="N18" s="5">
        <v>26</v>
      </c>
      <c r="O18" s="5">
        <v>21</v>
      </c>
      <c r="P18" s="5">
        <v>6</v>
      </c>
      <c r="Q18" s="5">
        <v>5</v>
      </c>
      <c r="R18" s="5">
        <v>3</v>
      </c>
      <c r="S18" s="5">
        <v>2</v>
      </c>
      <c r="T18" s="5">
        <v>2</v>
      </c>
      <c r="U18" s="5">
        <v>2</v>
      </c>
      <c r="V18" s="5">
        <v>2</v>
      </c>
      <c r="W18" s="5">
        <v>1</v>
      </c>
      <c r="X18" s="5">
        <v>1</v>
      </c>
      <c r="Y18" s="5">
        <v>0</v>
      </c>
      <c r="Z18" s="5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1F8-4E54-4711-830D-7FC1E521CD85}">
  <sheetPr>
    <tabColor theme="4" tint="0.39997558519241921"/>
  </sheetPr>
  <dimension ref="A1:AL18"/>
  <sheetViews>
    <sheetView tabSelected="1" zoomScale="150" zoomScaleNormal="150" workbookViewId="0">
      <pane xSplit="4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AH2" sqref="AH2"/>
    </sheetView>
    <sheetView topLeftCell="T1" workbookViewId="1">
      <selection activeCell="AF1" sqref="AF1:AH18"/>
    </sheetView>
    <sheetView workbookViewId="2">
      <pane xSplit="5" ySplit="1" topLeftCell="AG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2.140625" style="196" customWidth="1"/>
    <col min="2" max="2" width="7.7109375" style="196" customWidth="1"/>
    <col min="3" max="3" width="9.140625" style="196" customWidth="1"/>
    <col min="4" max="4" width="9.140625" style="196" hidden="1" customWidth="1"/>
    <col min="5" max="5" width="11" style="196" customWidth="1"/>
    <col min="6" max="6" width="10.7109375" style="196" bestFit="1" customWidth="1"/>
    <col min="7" max="9" width="9.28515625" style="196" hidden="1" customWidth="1"/>
    <col min="10" max="10" width="9.28515625" style="196" customWidth="1"/>
    <col min="11" max="12" width="6.5703125" style="196" bestFit="1" customWidth="1"/>
    <col min="13" max="13" width="7.7109375" style="196" bestFit="1" customWidth="1"/>
    <col min="14" max="14" width="7.5703125" style="196" customWidth="1"/>
    <col min="15" max="15" width="7.7109375" style="196" bestFit="1" customWidth="1"/>
    <col min="16" max="17" width="9" style="196" bestFit="1" customWidth="1"/>
    <col min="18" max="18" width="10.140625" style="196" bestFit="1" customWidth="1"/>
    <col min="19" max="19" width="5.85546875" style="196" bestFit="1" customWidth="1"/>
    <col min="20" max="20" width="8.42578125" style="196" bestFit="1" customWidth="1"/>
    <col min="21" max="21" width="8" style="196" bestFit="1" customWidth="1"/>
    <col min="22" max="22" width="7" style="196" bestFit="1" customWidth="1"/>
    <col min="23" max="24" width="9" style="196" bestFit="1" customWidth="1"/>
    <col min="25" max="26" width="9.28515625" style="196" bestFit="1" customWidth="1"/>
    <col min="27" max="28" width="9" style="196" bestFit="1" customWidth="1"/>
    <col min="29" max="31" width="9.28515625" style="196" hidden="1" customWidth="1"/>
    <col min="32" max="32" width="9.28515625" style="196" customWidth="1"/>
    <col min="33" max="34" width="9.28515625" style="196" bestFit="1" customWidth="1"/>
    <col min="35" max="35" width="11.42578125" style="196" customWidth="1"/>
    <col min="36" max="36" width="26.42578125" style="196" bestFit="1" customWidth="1"/>
    <col min="37" max="37" width="9.140625" style="196"/>
    <col min="38" max="38" width="9.28515625" style="196" bestFit="1" customWidth="1"/>
    <col min="39" max="16384" width="9.140625" style="196"/>
  </cols>
  <sheetData>
    <row r="1" spans="1:38" s="205" customFormat="1" ht="44.25" customHeight="1">
      <c r="A1" s="203" t="s">
        <v>1264</v>
      </c>
      <c r="B1" s="205" t="s">
        <v>28</v>
      </c>
      <c r="C1" s="205" t="s">
        <v>763</v>
      </c>
      <c r="D1" s="205" t="s">
        <v>770</v>
      </c>
      <c r="E1" s="205" t="s">
        <v>769</v>
      </c>
      <c r="F1" s="203" t="s">
        <v>798</v>
      </c>
      <c r="G1" s="204" t="s">
        <v>1290</v>
      </c>
      <c r="H1" s="204" t="s">
        <v>1291</v>
      </c>
      <c r="I1" s="204" t="s">
        <v>1292</v>
      </c>
      <c r="J1" s="204" t="s">
        <v>1212</v>
      </c>
      <c r="K1" s="204" t="s">
        <v>1213</v>
      </c>
      <c r="L1" s="204" t="s">
        <v>1214</v>
      </c>
      <c r="M1" s="204" t="s">
        <v>1215</v>
      </c>
      <c r="N1" s="204" t="s">
        <v>1216</v>
      </c>
      <c r="O1" s="204" t="s">
        <v>1217</v>
      </c>
      <c r="P1" s="204" t="s">
        <v>1295</v>
      </c>
      <c r="Q1" s="204" t="s">
        <v>1296</v>
      </c>
      <c r="R1" s="204" t="s">
        <v>1297</v>
      </c>
      <c r="S1" s="204" t="s">
        <v>1298</v>
      </c>
      <c r="T1" s="204" t="s">
        <v>1299</v>
      </c>
      <c r="U1" s="204" t="s">
        <v>1300</v>
      </c>
      <c r="V1" s="204" t="s">
        <v>1301</v>
      </c>
      <c r="W1" s="204" t="s">
        <v>1302</v>
      </c>
      <c r="X1" s="204" t="s">
        <v>1303</v>
      </c>
      <c r="Y1" s="204" t="s">
        <v>1304</v>
      </c>
      <c r="Z1" s="204" t="s">
        <v>1305</v>
      </c>
      <c r="AA1" s="204" t="s">
        <v>1306</v>
      </c>
      <c r="AB1" s="204" t="s">
        <v>1307</v>
      </c>
      <c r="AC1" s="207" t="s">
        <v>1271</v>
      </c>
      <c r="AD1" s="207" t="s">
        <v>1272</v>
      </c>
      <c r="AE1" s="204" t="s">
        <v>1293</v>
      </c>
      <c r="AF1" s="204" t="s">
        <v>1308</v>
      </c>
      <c r="AG1" s="204" t="s">
        <v>1294</v>
      </c>
      <c r="AH1" s="204" t="s">
        <v>1309</v>
      </c>
      <c r="AI1" s="204" t="s">
        <v>1274</v>
      </c>
      <c r="AJ1" s="204" t="s">
        <v>37</v>
      </c>
      <c r="AK1" s="204" t="s">
        <v>1275</v>
      </c>
      <c r="AL1" s="203" t="s">
        <v>1276</v>
      </c>
    </row>
    <row r="2" spans="1:38" ht="30" customHeight="1">
      <c r="A2" s="197">
        <v>45966</v>
      </c>
      <c r="B2" s="197" t="s">
        <v>88</v>
      </c>
      <c r="C2" s="196">
        <v>1</v>
      </c>
      <c r="D2" s="196" t="str">
        <f>_xlfn.CONCAT(B2 &amp; "_" &amp; C2)</f>
        <v>AB_1</v>
      </c>
      <c r="E2" s="196" t="s">
        <v>771</v>
      </c>
      <c r="F2" s="198">
        <v>50</v>
      </c>
      <c r="G2" s="199">
        <v>21</v>
      </c>
      <c r="H2" s="199">
        <v>22</v>
      </c>
      <c r="I2" s="199">
        <f>G2+H2</f>
        <v>43</v>
      </c>
      <c r="J2" s="199">
        <v>43</v>
      </c>
      <c r="K2" s="199">
        <v>21</v>
      </c>
      <c r="L2" s="199">
        <v>20</v>
      </c>
      <c r="M2" s="199">
        <v>18</v>
      </c>
      <c r="N2" s="199">
        <v>16</v>
      </c>
      <c r="O2" s="199">
        <v>16</v>
      </c>
      <c r="P2" s="199">
        <v>11</v>
      </c>
      <c r="Q2" s="199">
        <v>10</v>
      </c>
      <c r="R2" s="199">
        <v>10</v>
      </c>
      <c r="S2" s="199">
        <v>10</v>
      </c>
      <c r="T2" s="199">
        <v>7</v>
      </c>
      <c r="U2" s="199">
        <v>6</v>
      </c>
      <c r="V2" s="199">
        <v>4</v>
      </c>
      <c r="W2" s="199">
        <v>3</v>
      </c>
      <c r="X2" s="199">
        <v>3</v>
      </c>
      <c r="Y2" s="199">
        <v>3</v>
      </c>
      <c r="Z2" s="199">
        <v>2</v>
      </c>
      <c r="AA2" s="200">
        <v>2</v>
      </c>
      <c r="AB2" s="199">
        <v>1</v>
      </c>
      <c r="AC2" s="196">
        <v>1</v>
      </c>
      <c r="AD2" s="196">
        <v>0</v>
      </c>
      <c r="AE2" s="196">
        <f>AC2+AD2</f>
        <v>1</v>
      </c>
      <c r="AF2" s="196">
        <v>1</v>
      </c>
      <c r="AG2" s="196">
        <v>0</v>
      </c>
      <c r="AH2" s="196">
        <v>0</v>
      </c>
      <c r="AI2" s="196">
        <v>7</v>
      </c>
      <c r="AJ2" s="199" t="s">
        <v>1282</v>
      </c>
      <c r="AK2" s="199" t="s">
        <v>1278</v>
      </c>
    </row>
    <row r="3" spans="1:38" ht="30" customHeight="1">
      <c r="A3" s="197">
        <v>45992</v>
      </c>
      <c r="B3" s="197" t="s">
        <v>88</v>
      </c>
      <c r="C3" s="196">
        <v>2</v>
      </c>
      <c r="D3" s="196" t="str">
        <f t="shared" ref="D3:D18" si="0">_xlfn.CONCAT(B3 &amp; "_" &amp; C3)</f>
        <v>AB_2</v>
      </c>
      <c r="E3" s="196" t="s">
        <v>772</v>
      </c>
      <c r="F3" s="198">
        <v>48</v>
      </c>
      <c r="G3" s="199">
        <v>18</v>
      </c>
      <c r="H3" s="199">
        <v>30</v>
      </c>
      <c r="I3" s="199">
        <f t="shared" ref="I3:I18" si="1">G3+H3</f>
        <v>48</v>
      </c>
      <c r="J3" s="199">
        <v>48</v>
      </c>
      <c r="K3" s="199">
        <v>18</v>
      </c>
      <c r="L3" s="199">
        <v>18</v>
      </c>
      <c r="M3" s="199">
        <v>16</v>
      </c>
      <c r="N3" s="199">
        <v>16</v>
      </c>
      <c r="O3" s="199">
        <v>16</v>
      </c>
      <c r="P3" s="199">
        <v>16</v>
      </c>
      <c r="Q3" s="199">
        <v>14</v>
      </c>
      <c r="R3" s="199">
        <v>14</v>
      </c>
      <c r="S3" s="199">
        <v>14</v>
      </c>
      <c r="T3" s="199">
        <v>10</v>
      </c>
      <c r="U3" s="199">
        <v>9</v>
      </c>
      <c r="V3" s="199">
        <v>6</v>
      </c>
      <c r="W3" s="199">
        <v>5</v>
      </c>
      <c r="X3" s="199">
        <v>4</v>
      </c>
      <c r="Y3" s="199">
        <v>4</v>
      </c>
      <c r="Z3" s="199">
        <v>4</v>
      </c>
      <c r="AA3" s="199">
        <v>3</v>
      </c>
      <c r="AB3" s="199">
        <v>3</v>
      </c>
      <c r="AC3" s="196">
        <v>0</v>
      </c>
      <c r="AD3" s="196">
        <v>0</v>
      </c>
      <c r="AE3" s="196">
        <f t="shared" ref="AE3:AE18" si="2">AC3+AD3</f>
        <v>0</v>
      </c>
      <c r="AF3" s="196">
        <v>0</v>
      </c>
      <c r="AG3" s="196">
        <v>0</v>
      </c>
      <c r="AH3" s="196">
        <v>0</v>
      </c>
      <c r="AI3" s="196">
        <v>0</v>
      </c>
      <c r="AJ3" s="196" t="s">
        <v>1283</v>
      </c>
      <c r="AK3" s="199" t="s">
        <v>1278</v>
      </c>
    </row>
    <row r="4" spans="1:38" ht="30" customHeight="1">
      <c r="A4" s="197">
        <v>45999</v>
      </c>
      <c r="B4" s="197" t="s">
        <v>88</v>
      </c>
      <c r="C4" s="196">
        <v>3</v>
      </c>
      <c r="D4" s="196" t="str">
        <f t="shared" si="0"/>
        <v>AB_3</v>
      </c>
      <c r="E4" s="196" t="s">
        <v>773</v>
      </c>
      <c r="F4" s="198">
        <v>47</v>
      </c>
      <c r="G4" s="199">
        <v>24</v>
      </c>
      <c r="H4" s="199">
        <v>21</v>
      </c>
      <c r="I4" s="199">
        <f t="shared" si="1"/>
        <v>45</v>
      </c>
      <c r="J4" s="199">
        <v>45</v>
      </c>
      <c r="K4" s="199">
        <v>24</v>
      </c>
      <c r="L4" s="199">
        <v>24</v>
      </c>
      <c r="M4" s="199">
        <v>24</v>
      </c>
      <c r="N4" s="199">
        <v>24</v>
      </c>
      <c r="O4" s="199">
        <v>24</v>
      </c>
      <c r="P4" s="199">
        <v>24</v>
      </c>
      <c r="Q4" s="199">
        <v>24</v>
      </c>
      <c r="R4" s="199">
        <v>24</v>
      </c>
      <c r="S4" s="199">
        <v>22</v>
      </c>
      <c r="T4" s="199">
        <v>13</v>
      </c>
      <c r="U4" s="199">
        <v>8</v>
      </c>
      <c r="V4" s="199">
        <v>6</v>
      </c>
      <c r="W4" s="199">
        <v>5</v>
      </c>
      <c r="X4" s="199">
        <v>4</v>
      </c>
      <c r="Y4" s="199">
        <v>4</v>
      </c>
      <c r="Z4" s="199">
        <v>4</v>
      </c>
      <c r="AA4" s="199">
        <v>3</v>
      </c>
      <c r="AB4" s="199">
        <v>3</v>
      </c>
      <c r="AC4" s="196">
        <v>2</v>
      </c>
      <c r="AD4" s="196">
        <v>0</v>
      </c>
      <c r="AE4" s="196">
        <f t="shared" si="2"/>
        <v>2</v>
      </c>
      <c r="AF4" s="196">
        <v>2</v>
      </c>
      <c r="AG4" s="196">
        <v>2</v>
      </c>
      <c r="AH4" s="196">
        <v>2</v>
      </c>
      <c r="AI4" s="196">
        <v>2</v>
      </c>
      <c r="AK4" s="196" t="s">
        <v>1278</v>
      </c>
    </row>
    <row r="5" spans="1:38" ht="30" customHeight="1">
      <c r="A5" s="197">
        <v>46001</v>
      </c>
      <c r="B5" s="197" t="s">
        <v>88</v>
      </c>
      <c r="C5" s="196">
        <v>4</v>
      </c>
      <c r="D5" s="196" t="str">
        <f t="shared" si="0"/>
        <v>AB_4</v>
      </c>
      <c r="E5" s="196" t="s">
        <v>774</v>
      </c>
      <c r="F5" s="198">
        <v>28</v>
      </c>
      <c r="G5" s="199">
        <v>17</v>
      </c>
      <c r="H5" s="199">
        <v>11</v>
      </c>
      <c r="I5" s="199">
        <f t="shared" si="1"/>
        <v>28</v>
      </c>
      <c r="J5" s="199">
        <v>28</v>
      </c>
      <c r="K5" s="199">
        <v>17</v>
      </c>
      <c r="L5" s="199">
        <v>17</v>
      </c>
      <c r="M5" s="199">
        <v>17</v>
      </c>
      <c r="N5" s="199">
        <v>17</v>
      </c>
      <c r="O5" s="199">
        <v>17</v>
      </c>
      <c r="P5" s="199">
        <v>17</v>
      </c>
      <c r="Q5" s="199">
        <v>17</v>
      </c>
      <c r="R5" s="199">
        <v>17</v>
      </c>
      <c r="S5" s="199">
        <v>17</v>
      </c>
      <c r="T5" s="199">
        <v>15</v>
      </c>
      <c r="U5" s="199">
        <v>11</v>
      </c>
      <c r="V5" s="199">
        <v>9</v>
      </c>
      <c r="W5" s="199">
        <v>8</v>
      </c>
      <c r="X5" s="199">
        <v>7</v>
      </c>
      <c r="Y5" s="199">
        <v>6</v>
      </c>
      <c r="Z5" s="199">
        <v>6</v>
      </c>
      <c r="AA5" s="199">
        <v>5</v>
      </c>
      <c r="AB5" s="199">
        <v>5</v>
      </c>
      <c r="AC5" s="196">
        <v>2</v>
      </c>
      <c r="AD5" s="196">
        <v>1</v>
      </c>
      <c r="AE5" s="196">
        <f t="shared" si="2"/>
        <v>3</v>
      </c>
      <c r="AF5" s="196">
        <v>3</v>
      </c>
      <c r="AG5" s="196">
        <v>0</v>
      </c>
      <c r="AH5" s="196">
        <v>0</v>
      </c>
      <c r="AI5" s="196">
        <v>0</v>
      </c>
      <c r="AK5" s="196" t="s">
        <v>1278</v>
      </c>
    </row>
    <row r="6" spans="1:38" ht="30" customHeight="1">
      <c r="A6" s="197">
        <v>46070</v>
      </c>
      <c r="B6" s="197" t="s">
        <v>88</v>
      </c>
      <c r="C6" s="196">
        <v>5</v>
      </c>
      <c r="D6" s="196" t="str">
        <f t="shared" si="0"/>
        <v>AB_5</v>
      </c>
      <c r="E6" s="196" t="s">
        <v>775</v>
      </c>
      <c r="F6" s="198">
        <v>65</v>
      </c>
      <c r="G6" s="199">
        <v>21</v>
      </c>
      <c r="H6" s="199">
        <v>39</v>
      </c>
      <c r="I6" s="199">
        <f t="shared" si="1"/>
        <v>60</v>
      </c>
      <c r="J6" s="199">
        <v>60</v>
      </c>
      <c r="K6" s="199">
        <v>21</v>
      </c>
      <c r="L6" s="199">
        <v>21</v>
      </c>
      <c r="M6" s="199">
        <v>21</v>
      </c>
      <c r="N6" s="199">
        <v>21</v>
      </c>
      <c r="O6" s="199">
        <v>21</v>
      </c>
      <c r="P6" s="199">
        <v>21</v>
      </c>
      <c r="Q6" s="199">
        <v>21</v>
      </c>
      <c r="R6" s="199">
        <v>21</v>
      </c>
      <c r="S6" s="199">
        <v>21</v>
      </c>
      <c r="T6" s="199">
        <v>13</v>
      </c>
      <c r="U6" s="199">
        <v>5</v>
      </c>
      <c r="V6" s="199">
        <v>3</v>
      </c>
      <c r="W6" s="199">
        <v>3</v>
      </c>
      <c r="X6" s="199">
        <v>2</v>
      </c>
      <c r="Y6" s="199">
        <v>2</v>
      </c>
      <c r="Z6" s="199">
        <v>2</v>
      </c>
      <c r="AA6" s="199">
        <v>2</v>
      </c>
      <c r="AB6" s="199">
        <v>1</v>
      </c>
      <c r="AC6" s="196">
        <v>0</v>
      </c>
      <c r="AD6" s="196">
        <v>1</v>
      </c>
      <c r="AE6" s="196">
        <f t="shared" si="2"/>
        <v>1</v>
      </c>
      <c r="AF6" s="196">
        <v>1</v>
      </c>
      <c r="AG6" s="196">
        <v>0</v>
      </c>
      <c r="AH6" s="196">
        <v>0</v>
      </c>
      <c r="AI6" s="196">
        <v>5</v>
      </c>
      <c r="AJ6" s="196" t="s">
        <v>1284</v>
      </c>
      <c r="AK6" s="196" t="s">
        <v>1278</v>
      </c>
    </row>
    <row r="7" spans="1:38" ht="30" customHeight="1">
      <c r="A7" s="197">
        <v>46071</v>
      </c>
      <c r="B7" s="197" t="s">
        <v>88</v>
      </c>
      <c r="C7" s="196">
        <v>6</v>
      </c>
      <c r="D7" s="196" t="str">
        <f t="shared" si="0"/>
        <v>AB_6</v>
      </c>
      <c r="E7" s="196" t="s">
        <v>776</v>
      </c>
      <c r="F7" s="198">
        <v>27</v>
      </c>
      <c r="G7" s="199">
        <v>5</v>
      </c>
      <c r="H7" s="199">
        <v>21</v>
      </c>
      <c r="I7" s="199">
        <f t="shared" si="1"/>
        <v>26</v>
      </c>
      <c r="J7" s="199">
        <v>26</v>
      </c>
      <c r="K7" s="199">
        <v>5</v>
      </c>
      <c r="L7" s="199">
        <v>5</v>
      </c>
      <c r="M7" s="199">
        <v>5</v>
      </c>
      <c r="N7" s="199">
        <v>5</v>
      </c>
      <c r="O7" s="199">
        <v>5</v>
      </c>
      <c r="P7" s="199">
        <v>5</v>
      </c>
      <c r="Q7" s="199">
        <v>5</v>
      </c>
      <c r="R7" s="199">
        <v>5</v>
      </c>
      <c r="S7" s="199">
        <v>5</v>
      </c>
      <c r="T7" s="199">
        <v>5</v>
      </c>
      <c r="U7" s="199">
        <v>4</v>
      </c>
      <c r="V7" s="199">
        <v>4</v>
      </c>
      <c r="W7" s="199">
        <v>4</v>
      </c>
      <c r="X7" s="199">
        <v>3</v>
      </c>
      <c r="Y7" s="199">
        <v>3</v>
      </c>
      <c r="Z7" s="199">
        <v>3</v>
      </c>
      <c r="AA7" s="199">
        <v>3</v>
      </c>
      <c r="AB7" s="199">
        <v>3</v>
      </c>
      <c r="AC7" s="196">
        <v>0</v>
      </c>
      <c r="AD7" s="196">
        <v>2</v>
      </c>
      <c r="AE7" s="196">
        <f t="shared" si="2"/>
        <v>2</v>
      </c>
      <c r="AF7" s="196">
        <v>2</v>
      </c>
      <c r="AG7" s="196">
        <v>0</v>
      </c>
      <c r="AH7" s="196">
        <v>0</v>
      </c>
      <c r="AI7" s="196">
        <v>1</v>
      </c>
      <c r="AK7" s="196" t="s">
        <v>1278</v>
      </c>
    </row>
    <row r="8" spans="1:38" ht="30" customHeight="1">
      <c r="A8" s="197">
        <v>46072</v>
      </c>
      <c r="B8" s="197" t="s">
        <v>88</v>
      </c>
      <c r="C8" s="196">
        <v>7</v>
      </c>
      <c r="D8" s="196" t="str">
        <f t="shared" si="0"/>
        <v>AB_7</v>
      </c>
      <c r="E8" s="196" t="s">
        <v>777</v>
      </c>
      <c r="F8" s="198">
        <v>71</v>
      </c>
      <c r="G8" s="199">
        <v>28</v>
      </c>
      <c r="H8" s="199">
        <v>42</v>
      </c>
      <c r="I8" s="199">
        <f t="shared" si="1"/>
        <v>70</v>
      </c>
      <c r="J8" s="199">
        <v>70</v>
      </c>
      <c r="K8" s="199">
        <v>28</v>
      </c>
      <c r="L8" s="199">
        <v>28</v>
      </c>
      <c r="M8" s="199">
        <v>28</v>
      </c>
      <c r="N8" s="199">
        <v>28</v>
      </c>
      <c r="O8" s="199">
        <v>28</v>
      </c>
      <c r="P8" s="199">
        <v>28</v>
      </c>
      <c r="Q8" s="199">
        <v>28</v>
      </c>
      <c r="R8" s="199">
        <v>28</v>
      </c>
      <c r="S8" s="199">
        <v>28</v>
      </c>
      <c r="T8" s="199">
        <v>12</v>
      </c>
      <c r="U8" s="199">
        <v>4</v>
      </c>
      <c r="V8" s="199">
        <v>4</v>
      </c>
      <c r="W8" s="199">
        <v>4</v>
      </c>
      <c r="X8" s="199">
        <v>4</v>
      </c>
      <c r="Y8" s="199">
        <v>2</v>
      </c>
      <c r="Z8" s="199">
        <v>2</v>
      </c>
      <c r="AA8" s="199">
        <v>2</v>
      </c>
      <c r="AB8" s="199">
        <v>2</v>
      </c>
      <c r="AC8" s="196">
        <v>0</v>
      </c>
      <c r="AD8" s="196">
        <v>1</v>
      </c>
      <c r="AE8" s="196">
        <f t="shared" si="2"/>
        <v>1</v>
      </c>
      <c r="AF8" s="196">
        <v>1</v>
      </c>
      <c r="AG8" s="196">
        <v>0</v>
      </c>
      <c r="AH8" s="196">
        <v>0</v>
      </c>
      <c r="AI8" s="196">
        <v>1</v>
      </c>
      <c r="AJ8" s="196" t="s">
        <v>1285</v>
      </c>
    </row>
    <row r="9" spans="1:38">
      <c r="A9" s="197">
        <v>45971</v>
      </c>
      <c r="B9" s="197" t="s">
        <v>86</v>
      </c>
      <c r="C9" s="196">
        <v>1</v>
      </c>
      <c r="D9" s="196" t="str">
        <f t="shared" si="0"/>
        <v>NHGRI_1</v>
      </c>
      <c r="E9" s="196" t="s">
        <v>780</v>
      </c>
      <c r="F9" s="196">
        <v>47</v>
      </c>
      <c r="G9" s="199">
        <v>22</v>
      </c>
      <c r="H9" s="199">
        <v>22</v>
      </c>
      <c r="I9" s="199">
        <f t="shared" si="1"/>
        <v>44</v>
      </c>
      <c r="J9" s="199">
        <v>44</v>
      </c>
      <c r="K9" s="199">
        <v>22</v>
      </c>
      <c r="L9" s="199">
        <v>22</v>
      </c>
      <c r="M9" s="199">
        <v>22</v>
      </c>
      <c r="N9" s="199">
        <v>22</v>
      </c>
      <c r="O9" s="199">
        <v>22</v>
      </c>
      <c r="P9" s="199">
        <v>22</v>
      </c>
      <c r="Q9" s="199">
        <v>22</v>
      </c>
      <c r="R9" s="199">
        <v>22</v>
      </c>
      <c r="S9" s="199">
        <v>22</v>
      </c>
      <c r="T9" s="199">
        <v>18</v>
      </c>
      <c r="U9" s="199">
        <v>14</v>
      </c>
      <c r="V9" s="199">
        <v>12</v>
      </c>
      <c r="W9" s="199">
        <v>9</v>
      </c>
      <c r="X9" s="199">
        <v>9</v>
      </c>
      <c r="Y9" s="199">
        <v>8</v>
      </c>
      <c r="Z9" s="199">
        <v>8</v>
      </c>
      <c r="AA9" s="199">
        <v>8</v>
      </c>
      <c r="AB9" s="199">
        <v>6</v>
      </c>
      <c r="AC9" s="196">
        <v>4</v>
      </c>
      <c r="AD9" s="196">
        <v>1</v>
      </c>
      <c r="AE9" s="196">
        <f t="shared" si="2"/>
        <v>5</v>
      </c>
      <c r="AF9" s="196">
        <v>5</v>
      </c>
      <c r="AG9" s="196">
        <v>3</v>
      </c>
      <c r="AH9" s="196">
        <v>2</v>
      </c>
      <c r="AI9" s="196">
        <v>3</v>
      </c>
      <c r="AJ9" s="196" t="s">
        <v>1277</v>
      </c>
      <c r="AK9" s="196" t="s">
        <v>1278</v>
      </c>
    </row>
    <row r="10" spans="1:38">
      <c r="A10" s="197">
        <v>45975</v>
      </c>
      <c r="B10" s="197" t="s">
        <v>86</v>
      </c>
      <c r="C10" s="196">
        <v>2</v>
      </c>
      <c r="D10" s="196" t="str">
        <f t="shared" si="0"/>
        <v>NHGRI_2</v>
      </c>
      <c r="E10" s="196" t="s">
        <v>781</v>
      </c>
      <c r="F10" s="196">
        <v>46</v>
      </c>
      <c r="G10" s="199">
        <v>22</v>
      </c>
      <c r="H10" s="199">
        <v>24</v>
      </c>
      <c r="I10" s="199">
        <f t="shared" si="1"/>
        <v>46</v>
      </c>
      <c r="J10" s="199">
        <v>46</v>
      </c>
      <c r="K10" s="199">
        <v>21</v>
      </c>
      <c r="L10" s="199">
        <v>20</v>
      </c>
      <c r="M10" s="199">
        <v>19</v>
      </c>
      <c r="N10" s="199">
        <v>19</v>
      </c>
      <c r="O10" s="199">
        <v>19</v>
      </c>
      <c r="P10" s="199">
        <v>17</v>
      </c>
      <c r="Q10" s="199">
        <v>17</v>
      </c>
      <c r="R10" s="199">
        <v>17</v>
      </c>
      <c r="S10" s="199">
        <v>17</v>
      </c>
      <c r="T10" s="199">
        <v>16</v>
      </c>
      <c r="U10" s="199">
        <v>12</v>
      </c>
      <c r="V10" s="199">
        <v>11</v>
      </c>
      <c r="W10" s="199">
        <v>8</v>
      </c>
      <c r="X10" s="199">
        <v>8</v>
      </c>
      <c r="Y10" s="199">
        <v>8</v>
      </c>
      <c r="Z10" s="199">
        <v>8</v>
      </c>
      <c r="AA10" s="199">
        <v>8</v>
      </c>
      <c r="AB10" s="199">
        <v>7</v>
      </c>
      <c r="AC10" s="196">
        <v>4</v>
      </c>
      <c r="AD10" s="196">
        <v>1</v>
      </c>
      <c r="AE10" s="196">
        <f t="shared" si="2"/>
        <v>5</v>
      </c>
      <c r="AF10" s="196">
        <v>5</v>
      </c>
      <c r="AG10" s="196">
        <v>3</v>
      </c>
      <c r="AH10" s="196">
        <v>2</v>
      </c>
      <c r="AI10" s="196">
        <v>0</v>
      </c>
      <c r="AJ10" s="196" t="s">
        <v>1279</v>
      </c>
      <c r="AK10" s="196" t="s">
        <v>1278</v>
      </c>
    </row>
    <row r="11" spans="1:38">
      <c r="A11" s="197">
        <v>45980</v>
      </c>
      <c r="B11" s="197" t="s">
        <v>86</v>
      </c>
      <c r="C11" s="196">
        <v>3</v>
      </c>
      <c r="D11" s="196" t="str">
        <f t="shared" si="0"/>
        <v>NHGRI_3</v>
      </c>
      <c r="E11" s="196" t="s">
        <v>782</v>
      </c>
      <c r="F11" s="196">
        <v>43</v>
      </c>
      <c r="G11" s="199">
        <v>17</v>
      </c>
      <c r="H11" s="199">
        <v>24</v>
      </c>
      <c r="I11" s="199">
        <f t="shared" si="1"/>
        <v>41</v>
      </c>
      <c r="J11" s="199">
        <v>41</v>
      </c>
      <c r="K11" s="199">
        <v>17</v>
      </c>
      <c r="L11" s="199">
        <v>17</v>
      </c>
      <c r="M11" s="199">
        <v>17</v>
      </c>
      <c r="N11" s="199">
        <v>17</v>
      </c>
      <c r="O11" s="199">
        <v>17</v>
      </c>
      <c r="P11" s="199">
        <v>17</v>
      </c>
      <c r="Q11" s="199">
        <v>17</v>
      </c>
      <c r="R11" s="199">
        <v>17</v>
      </c>
      <c r="S11" s="199">
        <v>16</v>
      </c>
      <c r="T11" s="199">
        <v>15</v>
      </c>
      <c r="U11" s="199">
        <v>12</v>
      </c>
      <c r="V11" s="199">
        <v>6</v>
      </c>
      <c r="W11" s="199">
        <v>4</v>
      </c>
      <c r="X11" s="199">
        <v>4</v>
      </c>
      <c r="Y11" s="199">
        <v>4</v>
      </c>
      <c r="Z11" s="199">
        <v>4</v>
      </c>
      <c r="AA11" s="199">
        <v>4</v>
      </c>
      <c r="AB11" s="199">
        <v>4</v>
      </c>
      <c r="AC11" s="196">
        <v>4</v>
      </c>
      <c r="AD11" s="196">
        <v>0</v>
      </c>
      <c r="AE11" s="196">
        <f t="shared" si="2"/>
        <v>4</v>
      </c>
      <c r="AF11" s="196">
        <v>4</v>
      </c>
      <c r="AG11" s="196">
        <v>3</v>
      </c>
      <c r="AH11" s="196">
        <v>2</v>
      </c>
      <c r="AI11" s="196">
        <v>2</v>
      </c>
      <c r="AJ11" s="196" t="s">
        <v>1280</v>
      </c>
      <c r="AK11" s="196" t="s">
        <v>1278</v>
      </c>
    </row>
    <row r="12" spans="1:38">
      <c r="A12" s="197">
        <v>46097</v>
      </c>
      <c r="B12" s="197" t="s">
        <v>86</v>
      </c>
      <c r="C12" s="196">
        <v>4</v>
      </c>
      <c r="D12" s="196" t="str">
        <f t="shared" si="0"/>
        <v>NHGRI_4</v>
      </c>
      <c r="E12" s="196" t="s">
        <v>783</v>
      </c>
      <c r="F12" s="196">
        <v>54</v>
      </c>
      <c r="G12" s="199">
        <v>15</v>
      </c>
      <c r="H12" s="199">
        <v>38</v>
      </c>
      <c r="I12" s="199">
        <f t="shared" si="1"/>
        <v>53</v>
      </c>
      <c r="J12" s="199">
        <v>53</v>
      </c>
      <c r="K12" s="199">
        <v>15</v>
      </c>
      <c r="L12" s="199">
        <v>15</v>
      </c>
      <c r="M12" s="199">
        <v>15</v>
      </c>
      <c r="N12" s="199">
        <v>15</v>
      </c>
      <c r="O12" s="199">
        <v>15</v>
      </c>
      <c r="P12" s="199">
        <v>15</v>
      </c>
      <c r="Q12" s="199">
        <v>15</v>
      </c>
      <c r="R12" s="199">
        <v>15</v>
      </c>
      <c r="S12" s="199">
        <v>15</v>
      </c>
      <c r="T12" s="199">
        <v>13</v>
      </c>
      <c r="U12" s="199">
        <v>8</v>
      </c>
      <c r="V12" s="199">
        <v>8</v>
      </c>
      <c r="W12" s="199">
        <v>7</v>
      </c>
      <c r="X12" s="199">
        <v>6</v>
      </c>
      <c r="Y12" s="199">
        <v>6</v>
      </c>
      <c r="Z12" s="199">
        <v>6</v>
      </c>
      <c r="AA12" s="199">
        <v>6</v>
      </c>
      <c r="AB12" s="199">
        <v>5</v>
      </c>
      <c r="AC12" s="196">
        <v>1</v>
      </c>
      <c r="AD12" s="196">
        <v>3</v>
      </c>
      <c r="AE12" s="196">
        <f t="shared" si="2"/>
        <v>4</v>
      </c>
      <c r="AF12" s="196">
        <v>4</v>
      </c>
      <c r="AG12" s="196">
        <v>1</v>
      </c>
      <c r="AH12" s="196">
        <v>1</v>
      </c>
      <c r="AI12" s="196">
        <v>1</v>
      </c>
      <c r="AJ12" s="196" t="s">
        <v>1281</v>
      </c>
    </row>
    <row r="13" spans="1:38">
      <c r="A13" s="197">
        <v>46101</v>
      </c>
      <c r="B13" s="197" t="s">
        <v>86</v>
      </c>
      <c r="C13" s="196">
        <v>5</v>
      </c>
      <c r="D13" s="196" t="str">
        <f t="shared" si="0"/>
        <v>NHGRI_5</v>
      </c>
      <c r="E13" s="196" t="s">
        <v>784</v>
      </c>
      <c r="F13" s="196">
        <v>59</v>
      </c>
      <c r="G13" s="199">
        <v>20</v>
      </c>
      <c r="H13" s="199">
        <v>37</v>
      </c>
      <c r="I13" s="199">
        <f t="shared" si="1"/>
        <v>57</v>
      </c>
      <c r="J13" s="199">
        <v>57</v>
      </c>
      <c r="K13" s="199">
        <v>20</v>
      </c>
      <c r="L13" s="199">
        <v>20</v>
      </c>
      <c r="M13" s="199">
        <v>20</v>
      </c>
      <c r="N13" s="199">
        <v>20</v>
      </c>
      <c r="O13" s="199">
        <v>20</v>
      </c>
      <c r="P13" s="199">
        <v>20</v>
      </c>
      <c r="Q13" s="199">
        <v>20</v>
      </c>
      <c r="R13" s="199">
        <v>20</v>
      </c>
      <c r="S13" s="199">
        <v>20</v>
      </c>
      <c r="T13" s="199">
        <v>19</v>
      </c>
      <c r="U13" s="199">
        <v>7</v>
      </c>
      <c r="V13" s="199">
        <v>7</v>
      </c>
      <c r="W13" s="199">
        <v>7</v>
      </c>
      <c r="X13" s="199">
        <v>5</v>
      </c>
      <c r="Y13" s="199">
        <v>5</v>
      </c>
      <c r="Z13" s="199">
        <v>5</v>
      </c>
      <c r="AA13" s="199">
        <v>5</v>
      </c>
      <c r="AB13" s="199">
        <v>5</v>
      </c>
      <c r="AC13" s="196">
        <v>1</v>
      </c>
      <c r="AD13" s="196">
        <v>3</v>
      </c>
      <c r="AE13" s="196">
        <f t="shared" si="2"/>
        <v>4</v>
      </c>
      <c r="AF13" s="196">
        <v>4</v>
      </c>
      <c r="AG13" s="196">
        <v>1</v>
      </c>
      <c r="AH13" s="196">
        <v>0</v>
      </c>
      <c r="AI13" s="196">
        <v>2</v>
      </c>
      <c r="AL13" s="201"/>
    </row>
    <row r="14" spans="1:38">
      <c r="A14" s="206">
        <v>45946</v>
      </c>
      <c r="B14" s="196" t="s">
        <v>50</v>
      </c>
      <c r="C14" s="196">
        <v>1</v>
      </c>
      <c r="D14" s="196" t="str">
        <f t="shared" si="0"/>
        <v>TU_1</v>
      </c>
      <c r="E14" s="196" t="s">
        <v>791</v>
      </c>
      <c r="F14" s="196">
        <v>20</v>
      </c>
      <c r="G14" s="196">
        <v>8</v>
      </c>
      <c r="H14" s="196">
        <v>12</v>
      </c>
      <c r="I14" s="199">
        <f t="shared" si="1"/>
        <v>20</v>
      </c>
      <c r="J14" s="196">
        <v>20</v>
      </c>
      <c r="K14" s="196">
        <v>8</v>
      </c>
      <c r="L14" s="196">
        <v>8</v>
      </c>
      <c r="M14" s="196">
        <v>8</v>
      </c>
      <c r="N14" s="196">
        <v>8</v>
      </c>
      <c r="O14" s="196">
        <v>8</v>
      </c>
      <c r="P14" s="196">
        <v>8</v>
      </c>
      <c r="Q14" s="196">
        <v>8</v>
      </c>
      <c r="R14" s="196">
        <v>8</v>
      </c>
      <c r="S14" s="196">
        <v>8</v>
      </c>
      <c r="T14" s="196">
        <v>7</v>
      </c>
      <c r="U14" s="196">
        <v>6</v>
      </c>
      <c r="V14" s="196">
        <v>5</v>
      </c>
      <c r="W14" s="196">
        <v>4</v>
      </c>
      <c r="X14" s="196">
        <v>3</v>
      </c>
      <c r="Y14" s="196">
        <v>3</v>
      </c>
      <c r="Z14" s="196">
        <v>3</v>
      </c>
      <c r="AA14" s="196">
        <v>2</v>
      </c>
      <c r="AB14" s="196">
        <v>1</v>
      </c>
      <c r="AC14" s="196">
        <v>1</v>
      </c>
      <c r="AD14" s="196">
        <v>0</v>
      </c>
      <c r="AE14" s="196">
        <f t="shared" si="2"/>
        <v>1</v>
      </c>
      <c r="AF14" s="196">
        <v>1</v>
      </c>
      <c r="AG14" s="196">
        <v>1</v>
      </c>
      <c r="AH14" s="196">
        <v>1</v>
      </c>
      <c r="AI14" s="196">
        <v>0</v>
      </c>
      <c r="AJ14" s="196" t="s">
        <v>1286</v>
      </c>
      <c r="AK14" s="196" t="s">
        <v>1278</v>
      </c>
    </row>
    <row r="15" spans="1:38">
      <c r="A15" s="206">
        <v>45954</v>
      </c>
      <c r="B15" s="196" t="s">
        <v>50</v>
      </c>
      <c r="C15" s="196">
        <v>2</v>
      </c>
      <c r="D15" s="196" t="str">
        <f t="shared" si="0"/>
        <v>TU_2</v>
      </c>
      <c r="E15" s="196" t="s">
        <v>792</v>
      </c>
      <c r="F15" s="196">
        <v>46</v>
      </c>
      <c r="G15" s="196">
        <v>20</v>
      </c>
      <c r="H15" s="196">
        <v>19</v>
      </c>
      <c r="I15" s="199">
        <f t="shared" si="1"/>
        <v>39</v>
      </c>
      <c r="J15" s="196">
        <v>39</v>
      </c>
      <c r="K15" s="196">
        <v>20</v>
      </c>
      <c r="L15" s="196">
        <v>20</v>
      </c>
      <c r="M15" s="196">
        <v>19</v>
      </c>
      <c r="N15" s="196">
        <v>19</v>
      </c>
      <c r="O15" s="196">
        <v>19</v>
      </c>
      <c r="P15" s="196">
        <v>19</v>
      </c>
      <c r="Q15" s="196">
        <v>18</v>
      </c>
      <c r="R15" s="196">
        <v>18</v>
      </c>
      <c r="S15" s="196">
        <v>18</v>
      </c>
      <c r="T15" s="196">
        <v>18</v>
      </c>
      <c r="U15" s="196">
        <v>9</v>
      </c>
      <c r="V15" s="196">
        <v>9</v>
      </c>
      <c r="W15" s="196">
        <v>7</v>
      </c>
      <c r="X15" s="196">
        <v>7</v>
      </c>
      <c r="Y15" s="196">
        <v>7</v>
      </c>
      <c r="Z15" s="196">
        <v>7</v>
      </c>
      <c r="AA15" s="196">
        <v>7</v>
      </c>
      <c r="AB15" s="196">
        <v>7</v>
      </c>
      <c r="AC15" s="196">
        <v>3</v>
      </c>
      <c r="AD15" s="196">
        <v>2</v>
      </c>
      <c r="AE15" s="196">
        <f t="shared" si="2"/>
        <v>5</v>
      </c>
      <c r="AF15" s="196">
        <v>5</v>
      </c>
      <c r="AG15" s="196">
        <v>3</v>
      </c>
      <c r="AH15" s="196">
        <v>3</v>
      </c>
      <c r="AI15" s="196">
        <v>7</v>
      </c>
      <c r="AJ15" s="196" t="s">
        <v>1287</v>
      </c>
      <c r="AK15" s="196" t="s">
        <v>1278</v>
      </c>
    </row>
    <row r="16" spans="1:38">
      <c r="A16" s="206">
        <v>45964</v>
      </c>
      <c r="B16" s="196" t="s">
        <v>50</v>
      </c>
      <c r="C16" s="196">
        <v>3</v>
      </c>
      <c r="D16" s="196" t="str">
        <f t="shared" si="0"/>
        <v>TU_3</v>
      </c>
      <c r="E16" s="196" t="s">
        <v>793</v>
      </c>
      <c r="F16" s="196">
        <v>48</v>
      </c>
      <c r="G16" s="196">
        <v>20</v>
      </c>
      <c r="H16" s="196">
        <v>24</v>
      </c>
      <c r="I16" s="199">
        <f t="shared" si="1"/>
        <v>44</v>
      </c>
      <c r="J16" s="196">
        <v>44</v>
      </c>
      <c r="K16" s="196">
        <v>20</v>
      </c>
      <c r="L16" s="196">
        <v>20</v>
      </c>
      <c r="M16" s="196">
        <v>20</v>
      </c>
      <c r="N16" s="196">
        <v>20</v>
      </c>
      <c r="O16" s="196">
        <v>20</v>
      </c>
      <c r="P16" s="196">
        <v>20</v>
      </c>
      <c r="Q16" s="196">
        <v>18</v>
      </c>
      <c r="R16" s="196">
        <v>18</v>
      </c>
      <c r="S16" s="196">
        <v>18</v>
      </c>
      <c r="T16" s="196">
        <v>18</v>
      </c>
      <c r="U16" s="196">
        <v>10</v>
      </c>
      <c r="V16" s="196">
        <v>7</v>
      </c>
      <c r="W16" s="196">
        <v>6</v>
      </c>
      <c r="X16" s="196">
        <v>4</v>
      </c>
      <c r="Y16" s="196">
        <v>4</v>
      </c>
      <c r="Z16" s="196">
        <v>4</v>
      </c>
      <c r="AA16" s="196">
        <v>4</v>
      </c>
      <c r="AB16" s="196">
        <v>4</v>
      </c>
      <c r="AC16" s="196">
        <v>3</v>
      </c>
      <c r="AD16" s="196">
        <v>1</v>
      </c>
      <c r="AE16" s="196">
        <f t="shared" si="2"/>
        <v>4</v>
      </c>
      <c r="AF16" s="196">
        <v>4</v>
      </c>
      <c r="AG16" s="196">
        <v>2</v>
      </c>
      <c r="AH16" s="196">
        <v>2</v>
      </c>
      <c r="AI16" s="196">
        <v>4</v>
      </c>
      <c r="AJ16" s="196" t="s">
        <v>1288</v>
      </c>
      <c r="AK16" s="196" t="s">
        <v>1278</v>
      </c>
    </row>
    <row r="17" spans="1:37">
      <c r="A17" s="206">
        <v>46006</v>
      </c>
      <c r="B17" s="196" t="s">
        <v>50</v>
      </c>
      <c r="C17" s="196">
        <v>4</v>
      </c>
      <c r="D17" s="196" t="str">
        <f t="shared" si="0"/>
        <v>TU_4</v>
      </c>
      <c r="E17" s="196" t="s">
        <v>794</v>
      </c>
      <c r="F17" s="196">
        <v>50</v>
      </c>
      <c r="G17" s="196">
        <v>31</v>
      </c>
      <c r="H17" s="196">
        <v>19</v>
      </c>
      <c r="I17" s="199">
        <f t="shared" si="1"/>
        <v>50</v>
      </c>
      <c r="J17" s="196">
        <v>50</v>
      </c>
      <c r="K17" s="196">
        <v>31</v>
      </c>
      <c r="L17" s="196">
        <v>31</v>
      </c>
      <c r="M17" s="196">
        <v>31</v>
      </c>
      <c r="N17" s="196">
        <v>31</v>
      </c>
      <c r="O17" s="196">
        <v>31</v>
      </c>
      <c r="P17" s="196">
        <v>30</v>
      </c>
      <c r="Q17" s="196">
        <v>30</v>
      </c>
      <c r="R17" s="196">
        <v>30</v>
      </c>
      <c r="S17" s="196">
        <v>30</v>
      </c>
      <c r="T17" s="196">
        <v>29</v>
      </c>
      <c r="U17" s="196">
        <v>21</v>
      </c>
      <c r="V17" s="196">
        <v>20</v>
      </c>
      <c r="W17" s="196">
        <v>18</v>
      </c>
      <c r="X17" s="196">
        <v>15</v>
      </c>
      <c r="Y17" s="196">
        <v>15</v>
      </c>
      <c r="Z17" s="196">
        <v>15</v>
      </c>
      <c r="AA17" s="196">
        <v>14</v>
      </c>
      <c r="AB17" s="196">
        <v>12</v>
      </c>
      <c r="AC17" s="196">
        <v>8</v>
      </c>
      <c r="AD17" s="196">
        <v>3</v>
      </c>
      <c r="AE17" s="196">
        <f t="shared" si="2"/>
        <v>11</v>
      </c>
      <c r="AF17" s="196">
        <v>11</v>
      </c>
      <c r="AG17" s="196">
        <v>8</v>
      </c>
      <c r="AH17" s="196">
        <v>8</v>
      </c>
      <c r="AI17" s="196">
        <v>0</v>
      </c>
      <c r="AK17" s="196" t="s">
        <v>1278</v>
      </c>
    </row>
    <row r="18" spans="1:37">
      <c r="A18" s="206">
        <v>46063</v>
      </c>
      <c r="B18" s="196" t="s">
        <v>50</v>
      </c>
      <c r="C18" s="196">
        <v>5</v>
      </c>
      <c r="D18" s="196" t="str">
        <f t="shared" si="0"/>
        <v>TU_5</v>
      </c>
      <c r="E18" s="196" t="s">
        <v>795</v>
      </c>
      <c r="F18" s="196">
        <v>66</v>
      </c>
      <c r="G18" s="196">
        <v>26</v>
      </c>
      <c r="H18" s="196">
        <v>37</v>
      </c>
      <c r="I18" s="199">
        <f t="shared" si="1"/>
        <v>63</v>
      </c>
      <c r="J18" s="196">
        <v>63</v>
      </c>
      <c r="K18" s="196">
        <v>26</v>
      </c>
      <c r="L18" s="196">
        <v>26</v>
      </c>
      <c r="M18" s="196">
        <v>26</v>
      </c>
      <c r="N18" s="196">
        <v>26</v>
      </c>
      <c r="O18" s="196">
        <v>26</v>
      </c>
      <c r="P18" s="196">
        <v>26</v>
      </c>
      <c r="Q18" s="196">
        <v>26</v>
      </c>
      <c r="R18" s="196">
        <v>26</v>
      </c>
      <c r="S18" s="196">
        <v>26</v>
      </c>
      <c r="T18" s="196">
        <v>21</v>
      </c>
      <c r="U18" s="196">
        <v>6</v>
      </c>
      <c r="V18" s="196">
        <v>5</v>
      </c>
      <c r="W18" s="196">
        <v>3</v>
      </c>
      <c r="X18" s="196">
        <v>2</v>
      </c>
      <c r="Y18" s="196">
        <v>2</v>
      </c>
      <c r="Z18" s="196">
        <v>2</v>
      </c>
      <c r="AA18" s="196">
        <v>2</v>
      </c>
      <c r="AB18" s="196">
        <v>1</v>
      </c>
      <c r="AC18" s="196">
        <v>0</v>
      </c>
      <c r="AD18" s="196">
        <v>1</v>
      </c>
      <c r="AE18" s="196">
        <f t="shared" si="2"/>
        <v>1</v>
      </c>
      <c r="AF18" s="196">
        <v>1</v>
      </c>
      <c r="AG18" s="196">
        <v>0</v>
      </c>
      <c r="AH18" s="196">
        <v>0</v>
      </c>
      <c r="AI18" s="196">
        <v>2</v>
      </c>
      <c r="AJ18" s="196" t="s">
        <v>1289</v>
      </c>
      <c r="AK18" s="196" t="s">
        <v>1278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5175-226A-47C6-973C-2B2702A842F2}">
  <sheetPr>
    <tabColor theme="8" tint="0.59999389629810485"/>
  </sheetPr>
  <dimension ref="A1:E20"/>
  <sheetViews>
    <sheetView workbookViewId="0"/>
    <sheetView tabSelected="1" workbookViewId="1">
      <selection activeCell="J32" sqref="J32"/>
    </sheetView>
    <sheetView workbookViewId="2"/>
  </sheetViews>
  <sheetFormatPr defaultRowHeight="15"/>
  <cols>
    <col min="1" max="1" width="18.140625" bestFit="1" customWidth="1"/>
    <col min="2" max="2" width="16.28515625" bestFit="1" customWidth="1"/>
    <col min="3" max="3" width="6.85546875" bestFit="1" customWidth="1"/>
    <col min="4" max="4" width="4" bestFit="1" customWidth="1"/>
    <col min="5" max="5" width="11.28515625" bestFit="1" customWidth="1"/>
  </cols>
  <sheetData>
    <row r="1" spans="1:5">
      <c r="A1" s="104" t="s">
        <v>1310</v>
      </c>
      <c r="B1" s="104" t="s">
        <v>767</v>
      </c>
    </row>
    <row r="2" spans="1:5">
      <c r="A2" s="104" t="s">
        <v>765</v>
      </c>
      <c r="B2" t="s">
        <v>88</v>
      </c>
      <c r="C2" t="s">
        <v>86</v>
      </c>
      <c r="D2" t="s">
        <v>50</v>
      </c>
      <c r="E2" t="s">
        <v>766</v>
      </c>
    </row>
    <row r="3" spans="1:5">
      <c r="A3" s="8" t="s">
        <v>771</v>
      </c>
      <c r="B3">
        <v>50</v>
      </c>
      <c r="E3">
        <v>50</v>
      </c>
    </row>
    <row r="4" spans="1:5">
      <c r="A4" s="8" t="s">
        <v>772</v>
      </c>
      <c r="B4">
        <v>48</v>
      </c>
      <c r="E4">
        <v>48</v>
      </c>
    </row>
    <row r="5" spans="1:5">
      <c r="A5" s="8" t="s">
        <v>773</v>
      </c>
      <c r="B5">
        <v>47</v>
      </c>
      <c r="E5">
        <v>47</v>
      </c>
    </row>
    <row r="6" spans="1:5">
      <c r="A6" s="8" t="s">
        <v>774</v>
      </c>
      <c r="B6">
        <v>28</v>
      </c>
      <c r="E6">
        <v>28</v>
      </c>
    </row>
    <row r="7" spans="1:5">
      <c r="A7" s="8" t="s">
        <v>775</v>
      </c>
      <c r="B7">
        <v>65</v>
      </c>
      <c r="E7">
        <v>65</v>
      </c>
    </row>
    <row r="8" spans="1:5">
      <c r="A8" s="8" t="s">
        <v>776</v>
      </c>
      <c r="B8">
        <v>27</v>
      </c>
      <c r="E8">
        <v>27</v>
      </c>
    </row>
    <row r="9" spans="1:5">
      <c r="A9" s="8" t="s">
        <v>777</v>
      </c>
      <c r="B9">
        <v>71</v>
      </c>
      <c r="E9">
        <v>71</v>
      </c>
    </row>
    <row r="10" spans="1:5">
      <c r="A10" s="8" t="s">
        <v>780</v>
      </c>
      <c r="C10">
        <v>47</v>
      </c>
      <c r="E10">
        <v>47</v>
      </c>
    </row>
    <row r="11" spans="1:5">
      <c r="A11" s="8" t="s">
        <v>781</v>
      </c>
      <c r="C11">
        <v>46</v>
      </c>
      <c r="E11">
        <v>46</v>
      </c>
    </row>
    <row r="12" spans="1:5">
      <c r="A12" s="8" t="s">
        <v>782</v>
      </c>
      <c r="C12">
        <v>43</v>
      </c>
      <c r="E12">
        <v>43</v>
      </c>
    </row>
    <row r="13" spans="1:5">
      <c r="A13" s="8" t="s">
        <v>783</v>
      </c>
      <c r="C13">
        <v>54</v>
      </c>
      <c r="E13">
        <v>54</v>
      </c>
    </row>
    <row r="14" spans="1:5">
      <c r="A14" s="8" t="s">
        <v>784</v>
      </c>
      <c r="C14">
        <v>59</v>
      </c>
      <c r="E14">
        <v>59</v>
      </c>
    </row>
    <row r="15" spans="1:5">
      <c r="A15" s="8" t="s">
        <v>791</v>
      </c>
      <c r="D15">
        <v>20</v>
      </c>
      <c r="E15">
        <v>20</v>
      </c>
    </row>
    <row r="16" spans="1:5">
      <c r="A16" s="8" t="s">
        <v>792</v>
      </c>
      <c r="D16">
        <v>46</v>
      </c>
      <c r="E16">
        <v>46</v>
      </c>
    </row>
    <row r="17" spans="1:5">
      <c r="A17" s="8" t="s">
        <v>793</v>
      </c>
      <c r="D17">
        <v>48</v>
      </c>
      <c r="E17">
        <v>48</v>
      </c>
    </row>
    <row r="18" spans="1:5">
      <c r="A18" s="8" t="s">
        <v>794</v>
      </c>
      <c r="D18">
        <v>50</v>
      </c>
      <c r="E18">
        <v>50</v>
      </c>
    </row>
    <row r="19" spans="1:5">
      <c r="A19" s="8" t="s">
        <v>795</v>
      </c>
      <c r="D19">
        <v>66</v>
      </c>
      <c r="E19">
        <v>66</v>
      </c>
    </row>
    <row r="20" spans="1:5">
      <c r="A20" s="8" t="s">
        <v>766</v>
      </c>
      <c r="B20">
        <v>336</v>
      </c>
      <c r="C20">
        <v>249</v>
      </c>
      <c r="D20">
        <v>230</v>
      </c>
      <c r="E20">
        <v>815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7C93-C0C8-43FC-AA70-11B179BB7EDD}">
  <sheetPr>
    <tabColor theme="0" tint="-0.14999847407452621"/>
    <pageSetUpPr fitToPage="1"/>
  </sheetPr>
  <dimension ref="A1:AD1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3" sqref="Y3:AD7"/>
    </sheetView>
    <sheetView workbookViewId="1">
      <selection activeCell="D19" sqref="D19"/>
    </sheetView>
    <sheetView workbookViewId="2">
      <selection sqref="A1:A2"/>
    </sheetView>
  </sheetViews>
  <sheetFormatPr defaultColWidth="12.5703125" defaultRowHeight="15.75" customHeight="1"/>
  <cols>
    <col min="1" max="2" width="10.85546875" style="157" customWidth="1"/>
    <col min="3" max="3" width="9" style="157" customWidth="1"/>
    <col min="4" max="4" width="10.85546875" style="157" customWidth="1"/>
    <col min="5" max="6" width="6.42578125" style="157" bestFit="1" customWidth="1"/>
    <col min="7" max="7" width="7.5703125" style="157" bestFit="1" customWidth="1"/>
    <col min="8" max="8" width="7.5703125" style="157" customWidth="1"/>
    <col min="9" max="9" width="7.5703125" style="157" bestFit="1" customWidth="1"/>
    <col min="10" max="11" width="8.85546875" style="157" bestFit="1" customWidth="1"/>
    <col min="12" max="12" width="9" style="157" customWidth="1"/>
    <col min="13" max="13" width="5.7109375" style="157" bestFit="1" customWidth="1"/>
    <col min="14" max="14" width="8.28515625" style="157" bestFit="1" customWidth="1"/>
    <col min="15" max="15" width="7.85546875" style="157" bestFit="1" customWidth="1"/>
    <col min="16" max="16" width="6.85546875" style="157" bestFit="1" customWidth="1"/>
    <col min="17" max="18" width="8.85546875" style="157" bestFit="1" customWidth="1"/>
    <col min="19" max="19" width="9" style="157" customWidth="1"/>
    <col min="20" max="20" width="7" style="157" bestFit="1" customWidth="1"/>
    <col min="21" max="22" width="8.85546875" style="157" bestFit="1" customWidth="1"/>
    <col min="23" max="24" width="12.5703125" style="157"/>
    <col min="25" max="25" width="6" style="157" bestFit="1" customWidth="1"/>
    <col min="26" max="27" width="12.5703125" style="157"/>
    <col min="28" max="28" width="32.28515625" style="157" customWidth="1"/>
    <col min="29" max="29" width="8.85546875" style="157" customWidth="1"/>
    <col min="30" max="16384" width="12.5703125" style="157"/>
  </cols>
  <sheetData>
    <row r="1" spans="1:30">
      <c r="A1" s="245" t="s">
        <v>1264</v>
      </c>
      <c r="B1" s="247" t="s">
        <v>1265</v>
      </c>
      <c r="C1" s="249" t="s">
        <v>1251</v>
      </c>
      <c r="D1" s="240"/>
      <c r="E1" s="240" t="s">
        <v>1252</v>
      </c>
      <c r="F1" s="240" t="s">
        <v>1253</v>
      </c>
      <c r="G1" s="240" t="s">
        <v>1254</v>
      </c>
      <c r="H1" s="238" t="s">
        <v>1255</v>
      </c>
      <c r="I1" s="240" t="s">
        <v>1256</v>
      </c>
      <c r="J1" s="240" t="s">
        <v>1257</v>
      </c>
      <c r="K1" s="238" t="s">
        <v>1258</v>
      </c>
      <c r="L1" s="238" t="s">
        <v>1266</v>
      </c>
      <c r="M1" s="240" t="s">
        <v>1259</v>
      </c>
      <c r="N1" s="240" t="s">
        <v>1260</v>
      </c>
      <c r="O1" s="238" t="s">
        <v>1261</v>
      </c>
      <c r="P1" s="238" t="s">
        <v>1262</v>
      </c>
      <c r="Q1" s="238" t="s">
        <v>1267</v>
      </c>
      <c r="R1" s="238" t="s">
        <v>1268</v>
      </c>
      <c r="S1" s="240" t="s">
        <v>17</v>
      </c>
      <c r="T1" s="238" t="s">
        <v>1263</v>
      </c>
      <c r="U1" s="240" t="s">
        <v>1269</v>
      </c>
      <c r="V1" s="238" t="s">
        <v>1270</v>
      </c>
      <c r="W1" s="240" t="s">
        <v>1271</v>
      </c>
      <c r="X1" s="238" t="s">
        <v>1272</v>
      </c>
      <c r="Y1" s="240" t="s">
        <v>22</v>
      </c>
      <c r="Z1" s="231" t="s">
        <v>1273</v>
      </c>
      <c r="AA1" s="233" t="s">
        <v>1274</v>
      </c>
      <c r="AB1" s="156"/>
      <c r="AC1" s="235" t="s">
        <v>1275</v>
      </c>
      <c r="AD1" s="237" t="s">
        <v>1276</v>
      </c>
    </row>
    <row r="2" spans="1:30">
      <c r="A2" s="246"/>
      <c r="B2" s="248"/>
      <c r="C2" s="158" t="s">
        <v>238</v>
      </c>
      <c r="D2" s="159" t="s">
        <v>310</v>
      </c>
      <c r="E2" s="244"/>
      <c r="F2" s="244"/>
      <c r="G2" s="244"/>
      <c r="H2" s="239"/>
      <c r="I2" s="241"/>
      <c r="J2" s="244"/>
      <c r="K2" s="239"/>
      <c r="L2" s="239"/>
      <c r="M2" s="244"/>
      <c r="N2" s="244"/>
      <c r="O2" s="239"/>
      <c r="P2" s="239"/>
      <c r="Q2" s="239"/>
      <c r="R2" s="239"/>
      <c r="S2" s="244"/>
      <c r="T2" s="239"/>
      <c r="U2" s="241"/>
      <c r="V2" s="239"/>
      <c r="W2" s="242"/>
      <c r="X2" s="243"/>
      <c r="Y2" s="242"/>
      <c r="Z2" s="232"/>
      <c r="AA2" s="234"/>
      <c r="AB2" s="160" t="s">
        <v>37</v>
      </c>
      <c r="AC2" s="236"/>
      <c r="AD2" s="237"/>
    </row>
    <row r="3" spans="1:30" ht="30" customHeight="1">
      <c r="A3" s="161">
        <v>45971</v>
      </c>
      <c r="B3" s="162">
        <v>47</v>
      </c>
      <c r="C3" s="163">
        <v>22</v>
      </c>
      <c r="D3" s="164">
        <v>22</v>
      </c>
      <c r="E3" s="164">
        <v>22</v>
      </c>
      <c r="F3" s="164">
        <v>22</v>
      </c>
      <c r="G3" s="164">
        <v>22</v>
      </c>
      <c r="H3" s="164">
        <v>22</v>
      </c>
      <c r="I3" s="164">
        <v>22</v>
      </c>
      <c r="J3" s="164">
        <v>22</v>
      </c>
      <c r="K3" s="164">
        <v>22</v>
      </c>
      <c r="L3" s="164">
        <v>22</v>
      </c>
      <c r="M3" s="164">
        <v>22</v>
      </c>
      <c r="N3" s="164">
        <v>18</v>
      </c>
      <c r="O3" s="164">
        <v>14</v>
      </c>
      <c r="P3" s="164">
        <v>12</v>
      </c>
      <c r="Q3" s="164">
        <v>9</v>
      </c>
      <c r="R3" s="164">
        <v>9</v>
      </c>
      <c r="S3" s="164">
        <v>8</v>
      </c>
      <c r="T3" s="164">
        <v>8</v>
      </c>
      <c r="U3" s="164">
        <v>8</v>
      </c>
      <c r="V3" s="165">
        <v>6</v>
      </c>
      <c r="W3" s="166">
        <v>4</v>
      </c>
      <c r="X3" s="166">
        <v>1</v>
      </c>
      <c r="Y3" s="166">
        <v>3</v>
      </c>
      <c r="Z3" s="166">
        <v>2</v>
      </c>
      <c r="AA3" s="166">
        <v>3</v>
      </c>
      <c r="AB3" s="167" t="s">
        <v>1277</v>
      </c>
      <c r="AC3" s="168" t="s">
        <v>1278</v>
      </c>
      <c r="AD3" s="169"/>
    </row>
    <row r="4" spans="1:30" ht="30" customHeight="1">
      <c r="A4" s="161">
        <v>45975</v>
      </c>
      <c r="B4" s="162">
        <v>46</v>
      </c>
      <c r="C4" s="163">
        <v>22</v>
      </c>
      <c r="D4" s="164">
        <v>24</v>
      </c>
      <c r="E4" s="164">
        <v>21</v>
      </c>
      <c r="F4" s="164">
        <v>20</v>
      </c>
      <c r="G4" s="164">
        <v>19</v>
      </c>
      <c r="H4" s="164">
        <v>19</v>
      </c>
      <c r="I4" s="164">
        <v>19</v>
      </c>
      <c r="J4" s="164">
        <v>17</v>
      </c>
      <c r="K4" s="164">
        <v>17</v>
      </c>
      <c r="L4" s="164">
        <v>17</v>
      </c>
      <c r="M4" s="164">
        <v>17</v>
      </c>
      <c r="N4" s="164">
        <v>16</v>
      </c>
      <c r="O4" s="164">
        <v>12</v>
      </c>
      <c r="P4" s="164">
        <v>11</v>
      </c>
      <c r="Q4" s="164">
        <v>8</v>
      </c>
      <c r="R4" s="164">
        <v>8</v>
      </c>
      <c r="S4" s="164">
        <v>8</v>
      </c>
      <c r="T4" s="164">
        <v>8</v>
      </c>
      <c r="U4" s="164">
        <v>8</v>
      </c>
      <c r="V4" s="165">
        <v>7</v>
      </c>
      <c r="W4" s="166">
        <v>4</v>
      </c>
      <c r="X4" s="166">
        <v>1</v>
      </c>
      <c r="Y4" s="166">
        <v>3</v>
      </c>
      <c r="Z4" s="166">
        <v>2</v>
      </c>
      <c r="AA4" s="166">
        <v>0</v>
      </c>
      <c r="AB4" s="170" t="s">
        <v>1279</v>
      </c>
      <c r="AC4" s="171" t="s">
        <v>1278</v>
      </c>
      <c r="AD4" s="171"/>
    </row>
    <row r="5" spans="1:30" ht="30" customHeight="1">
      <c r="A5" s="161">
        <v>45980</v>
      </c>
      <c r="B5" s="162">
        <v>43</v>
      </c>
      <c r="C5" s="163">
        <v>17</v>
      </c>
      <c r="D5" s="164">
        <v>24</v>
      </c>
      <c r="E5" s="164">
        <v>17</v>
      </c>
      <c r="F5" s="164">
        <v>17</v>
      </c>
      <c r="G5" s="164">
        <v>17</v>
      </c>
      <c r="H5" s="164">
        <v>17</v>
      </c>
      <c r="I5" s="164">
        <v>17</v>
      </c>
      <c r="J5" s="164">
        <v>17</v>
      </c>
      <c r="K5" s="164">
        <v>17</v>
      </c>
      <c r="L5" s="164">
        <v>17</v>
      </c>
      <c r="M5" s="164">
        <v>16</v>
      </c>
      <c r="N5" s="164">
        <v>15</v>
      </c>
      <c r="O5" s="164">
        <v>12</v>
      </c>
      <c r="P5" s="164">
        <v>6</v>
      </c>
      <c r="Q5" s="164">
        <v>4</v>
      </c>
      <c r="R5" s="164">
        <v>4</v>
      </c>
      <c r="S5" s="164">
        <v>4</v>
      </c>
      <c r="T5" s="164">
        <v>4</v>
      </c>
      <c r="U5" s="164">
        <v>4</v>
      </c>
      <c r="V5" s="165">
        <v>4</v>
      </c>
      <c r="W5" s="166">
        <v>4</v>
      </c>
      <c r="X5" s="166">
        <v>0</v>
      </c>
      <c r="Y5" s="166">
        <v>3</v>
      </c>
      <c r="Z5" s="166">
        <v>2</v>
      </c>
      <c r="AA5" s="166">
        <v>2</v>
      </c>
      <c r="AB5" s="171" t="s">
        <v>1280</v>
      </c>
      <c r="AC5" s="171" t="s">
        <v>1278</v>
      </c>
      <c r="AD5" s="171"/>
    </row>
    <row r="6" spans="1:30" ht="24.95" customHeight="1">
      <c r="A6" s="161">
        <v>46097</v>
      </c>
      <c r="B6" s="162">
        <v>54</v>
      </c>
      <c r="C6" s="163">
        <v>15</v>
      </c>
      <c r="D6" s="164">
        <v>38</v>
      </c>
      <c r="E6" s="164">
        <v>15</v>
      </c>
      <c r="F6" s="164">
        <v>15</v>
      </c>
      <c r="G6" s="164">
        <v>15</v>
      </c>
      <c r="H6" s="164">
        <v>15</v>
      </c>
      <c r="I6" s="164">
        <v>15</v>
      </c>
      <c r="J6" s="164">
        <v>15</v>
      </c>
      <c r="K6" s="164">
        <v>15</v>
      </c>
      <c r="L6" s="164">
        <v>15</v>
      </c>
      <c r="M6" s="164">
        <v>15</v>
      </c>
      <c r="N6" s="164">
        <v>13</v>
      </c>
      <c r="O6" s="164">
        <v>8</v>
      </c>
      <c r="P6" s="164">
        <v>8</v>
      </c>
      <c r="Q6" s="164">
        <v>7</v>
      </c>
      <c r="R6" s="164">
        <v>6</v>
      </c>
      <c r="S6" s="164">
        <v>6</v>
      </c>
      <c r="T6" s="164">
        <v>6</v>
      </c>
      <c r="U6" s="164">
        <v>6</v>
      </c>
      <c r="V6" s="165">
        <v>5</v>
      </c>
      <c r="W6" s="166">
        <v>1</v>
      </c>
      <c r="X6" s="166">
        <v>3</v>
      </c>
      <c r="Y6" s="166">
        <v>1</v>
      </c>
      <c r="Z6" s="166">
        <v>1</v>
      </c>
      <c r="AA6" s="166">
        <v>1</v>
      </c>
      <c r="AB6" s="172" t="s">
        <v>1281</v>
      </c>
      <c r="AC6" s="171"/>
      <c r="AD6" s="171"/>
    </row>
    <row r="7" spans="1:30" ht="24.95" customHeight="1">
      <c r="A7" s="173">
        <v>46101</v>
      </c>
      <c r="B7" s="162">
        <v>59</v>
      </c>
      <c r="C7" s="163">
        <v>20</v>
      </c>
      <c r="D7" s="164">
        <v>37</v>
      </c>
      <c r="E7" s="164">
        <v>20</v>
      </c>
      <c r="F7" s="164">
        <v>20</v>
      </c>
      <c r="G7" s="164">
        <v>20</v>
      </c>
      <c r="H7" s="164">
        <v>20</v>
      </c>
      <c r="I7" s="164">
        <v>20</v>
      </c>
      <c r="J7" s="164">
        <v>20</v>
      </c>
      <c r="K7" s="164">
        <v>20</v>
      </c>
      <c r="L7" s="164">
        <v>20</v>
      </c>
      <c r="M7" s="164">
        <v>20</v>
      </c>
      <c r="N7" s="164">
        <v>19</v>
      </c>
      <c r="O7" s="164">
        <v>7</v>
      </c>
      <c r="P7" s="164">
        <v>7</v>
      </c>
      <c r="Q7" s="164">
        <v>7</v>
      </c>
      <c r="R7" s="164">
        <v>5</v>
      </c>
      <c r="S7" s="164">
        <v>5</v>
      </c>
      <c r="T7" s="164">
        <v>5</v>
      </c>
      <c r="U7" s="164">
        <v>5</v>
      </c>
      <c r="V7" s="165">
        <v>5</v>
      </c>
      <c r="W7" s="166">
        <v>1</v>
      </c>
      <c r="X7" s="166">
        <v>3</v>
      </c>
      <c r="Y7" s="166">
        <v>1</v>
      </c>
      <c r="Z7" s="166"/>
      <c r="AA7" s="166">
        <v>2</v>
      </c>
      <c r="AB7" s="171"/>
      <c r="AC7" s="171"/>
      <c r="AD7" s="171"/>
    </row>
    <row r="8" spans="1:30" ht="24.95" customHeight="1">
      <c r="A8" s="173"/>
      <c r="B8" s="162"/>
      <c r="C8" s="163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5"/>
      <c r="W8" s="166"/>
      <c r="X8" s="166"/>
      <c r="Y8" s="166"/>
      <c r="Z8" s="166"/>
      <c r="AA8" s="166"/>
      <c r="AB8" s="171"/>
      <c r="AC8" s="171"/>
      <c r="AD8" s="171"/>
    </row>
    <row r="9" spans="1:30" ht="24.95" customHeight="1">
      <c r="A9" s="173"/>
      <c r="B9" s="162"/>
      <c r="C9" s="163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5"/>
      <c r="W9" s="166"/>
      <c r="X9" s="166"/>
      <c r="Y9" s="166"/>
      <c r="Z9" s="166"/>
      <c r="AA9" s="166"/>
      <c r="AB9" s="171"/>
      <c r="AC9" s="171"/>
      <c r="AD9" s="171"/>
    </row>
    <row r="10" spans="1:30" ht="24.95" customHeight="1">
      <c r="A10" s="173"/>
      <c r="B10" s="162"/>
      <c r="C10" s="163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5"/>
      <c r="W10" s="166"/>
      <c r="X10" s="166"/>
      <c r="Y10" s="166"/>
      <c r="Z10" s="166"/>
      <c r="AA10" s="166"/>
      <c r="AB10" s="171"/>
      <c r="AC10" s="171"/>
      <c r="AD10" s="171"/>
    </row>
    <row r="11" spans="1:30" ht="24.95" customHeight="1">
      <c r="A11" s="173"/>
      <c r="B11" s="162"/>
      <c r="C11" s="163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5"/>
      <c r="W11" s="166"/>
      <c r="X11" s="166"/>
      <c r="Y11" s="166"/>
      <c r="Z11" s="166"/>
      <c r="AA11" s="166"/>
      <c r="AB11" s="171"/>
      <c r="AC11" s="171"/>
      <c r="AD11" s="171"/>
    </row>
    <row r="12" spans="1:30" ht="24.95" customHeight="1">
      <c r="A12" s="173"/>
      <c r="B12" s="162"/>
      <c r="C12" s="163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5"/>
      <c r="W12" s="166"/>
      <c r="X12" s="166"/>
      <c r="Y12" s="166"/>
      <c r="Z12" s="166"/>
      <c r="AA12" s="166"/>
      <c r="AB12" s="171"/>
      <c r="AC12" s="171"/>
      <c r="AD12" s="171"/>
    </row>
    <row r="13" spans="1:30" ht="24.95" customHeight="1">
      <c r="A13" s="173"/>
      <c r="B13" s="162"/>
      <c r="C13" s="163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5"/>
      <c r="W13" s="166"/>
      <c r="X13" s="166"/>
      <c r="Y13" s="166"/>
      <c r="Z13" s="166"/>
      <c r="AA13" s="166"/>
      <c r="AB13" s="171"/>
      <c r="AC13" s="171"/>
      <c r="AD13" s="174"/>
    </row>
    <row r="14" spans="1:30" ht="24.95" customHeight="1">
      <c r="A14" s="173"/>
      <c r="B14" s="162"/>
      <c r="C14" s="163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5"/>
      <c r="W14" s="166"/>
      <c r="X14" s="166"/>
      <c r="Y14" s="166"/>
      <c r="Z14" s="166"/>
      <c r="AA14" s="166"/>
      <c r="AB14" s="171"/>
      <c r="AC14" s="175"/>
      <c r="AD14" s="171"/>
    </row>
    <row r="15" spans="1:30" ht="24.95" customHeight="1">
      <c r="A15" s="173"/>
      <c r="B15" s="162"/>
      <c r="C15" s="163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5"/>
      <c r="W15" s="166"/>
      <c r="X15" s="166"/>
      <c r="Y15" s="166"/>
      <c r="Z15" s="166"/>
      <c r="AA15" s="166"/>
      <c r="AB15" s="171"/>
      <c r="AC15" s="175"/>
      <c r="AD15" s="169"/>
    </row>
    <row r="16" spans="1:30" ht="24.95" customHeight="1">
      <c r="A16" s="176"/>
      <c r="B16" s="162"/>
      <c r="C16" s="163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5"/>
      <c r="W16" s="166"/>
      <c r="X16" s="166"/>
      <c r="Y16" s="166"/>
      <c r="Z16" s="166"/>
      <c r="AA16" s="166"/>
      <c r="AB16" s="171"/>
      <c r="AC16" s="175"/>
      <c r="AD16" s="171"/>
    </row>
    <row r="17" spans="1:30" ht="24.95" customHeight="1">
      <c r="A17" s="176"/>
      <c r="B17" s="162"/>
      <c r="C17" s="163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5"/>
      <c r="W17" s="166"/>
      <c r="X17" s="166"/>
      <c r="Y17" s="166"/>
      <c r="Z17" s="166"/>
      <c r="AA17" s="166"/>
      <c r="AB17" s="171"/>
      <c r="AC17" s="175"/>
      <c r="AD17" s="174"/>
    </row>
    <row r="18" spans="1:30" ht="24.95" customHeight="1">
      <c r="A18" s="177"/>
      <c r="B18" s="162">
        <f>SUM(B3:B17)</f>
        <v>249</v>
      </c>
      <c r="C18" s="178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80"/>
      <c r="W18" s="166">
        <f>SUM(W3:W17)</f>
        <v>14</v>
      </c>
      <c r="X18" s="166"/>
      <c r="Y18" s="166"/>
      <c r="Z18" s="166"/>
      <c r="AA18" s="166"/>
      <c r="AB18" s="171"/>
      <c r="AC18" s="175"/>
      <c r="AD18" s="181">
        <f>+W18*100/B18</f>
        <v>5.6224899598393572</v>
      </c>
    </row>
  </sheetData>
  <mergeCells count="28">
    <mergeCell ref="G1:G2"/>
    <mergeCell ref="A1:A2"/>
    <mergeCell ref="B1:B2"/>
    <mergeCell ref="C1:D1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Z1:Z2"/>
    <mergeCell ref="AA1:AA2"/>
    <mergeCell ref="AC1:AC2"/>
    <mergeCell ref="AD1:AD2"/>
    <mergeCell ref="T1:T2"/>
    <mergeCell ref="U1:U2"/>
    <mergeCell ref="V1:V2"/>
    <mergeCell ref="W1:W2"/>
    <mergeCell ref="X1:X2"/>
    <mergeCell ref="Y1:Y2"/>
  </mergeCells>
  <pageMargins left="0.7" right="0.7" top="0.75" bottom="0.75" header="0.3" footer="0.3"/>
  <pageSetup scale="59" orientation="landscape" horizontalDpi="0" verticalDpi="0" copies="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6C3F-A22A-4970-8706-E1A134EA7CF1}">
  <sheetPr>
    <tabColor theme="0" tint="-0.14999847407452621"/>
  </sheetPr>
  <dimension ref="A1:AD15"/>
  <sheetViews>
    <sheetView workbookViewId="0">
      <selection activeCell="Y3" sqref="Y3:AD7"/>
    </sheetView>
    <sheetView workbookViewId="1">
      <selection sqref="A1:A2"/>
    </sheetView>
    <sheetView workbookViewId="2">
      <selection sqref="A1:A2"/>
    </sheetView>
  </sheetViews>
  <sheetFormatPr defaultRowHeight="15.75"/>
  <cols>
    <col min="1" max="1" width="9.140625" style="157"/>
    <col min="2" max="2" width="10.85546875" style="157" bestFit="1" customWidth="1"/>
    <col min="3" max="4" width="9.140625" style="157"/>
    <col min="5" max="6" width="6.42578125" style="157" bestFit="1" customWidth="1"/>
    <col min="7" max="7" width="7.5703125" style="157" bestFit="1" customWidth="1"/>
    <col min="8" max="8" width="7.5703125" style="157" customWidth="1"/>
    <col min="9" max="9" width="7.5703125" style="157" bestFit="1" customWidth="1"/>
    <col min="10" max="11" width="8.85546875" style="157" bestFit="1" customWidth="1"/>
    <col min="12" max="12" width="10" style="157" bestFit="1" customWidth="1"/>
    <col min="13" max="13" width="5.7109375" style="157" bestFit="1" customWidth="1"/>
    <col min="14" max="14" width="8.28515625" style="157" bestFit="1" customWidth="1"/>
    <col min="15" max="15" width="7.85546875" style="157" bestFit="1" customWidth="1"/>
    <col min="16" max="16" width="6.85546875" style="157" bestFit="1" customWidth="1"/>
    <col min="17" max="18" width="8.85546875" style="157" bestFit="1" customWidth="1"/>
    <col min="19" max="19" width="9.140625" style="157"/>
    <col min="20" max="20" width="7" style="157" bestFit="1" customWidth="1"/>
    <col min="21" max="26" width="9.140625" style="157"/>
    <col min="27" max="27" width="11.5703125" style="157" customWidth="1"/>
    <col min="28" max="28" width="22.7109375" style="157" customWidth="1"/>
    <col min="29" max="29" width="9.140625" style="157"/>
    <col min="30" max="30" width="15.5703125" style="157" customWidth="1"/>
    <col min="31" max="16384" width="9.140625" style="157"/>
  </cols>
  <sheetData>
    <row r="1" spans="1:30">
      <c r="A1" s="245" t="s">
        <v>1264</v>
      </c>
      <c r="B1" s="247" t="s">
        <v>1265</v>
      </c>
      <c r="C1" s="249" t="s">
        <v>1251</v>
      </c>
      <c r="D1" s="240"/>
      <c r="E1" s="240" t="s">
        <v>1252</v>
      </c>
      <c r="F1" s="240" t="s">
        <v>1253</v>
      </c>
      <c r="G1" s="240" t="s">
        <v>1254</v>
      </c>
      <c r="H1" s="238" t="s">
        <v>1255</v>
      </c>
      <c r="I1" s="240" t="s">
        <v>1256</v>
      </c>
      <c r="J1" s="240" t="s">
        <v>1257</v>
      </c>
      <c r="K1" s="238" t="s">
        <v>1258</v>
      </c>
      <c r="L1" s="238" t="s">
        <v>1266</v>
      </c>
      <c r="M1" s="240" t="s">
        <v>1259</v>
      </c>
      <c r="N1" s="240" t="s">
        <v>1260</v>
      </c>
      <c r="O1" s="238" t="s">
        <v>1261</v>
      </c>
      <c r="P1" s="238" t="s">
        <v>1262</v>
      </c>
      <c r="Q1" s="238" t="s">
        <v>1267</v>
      </c>
      <c r="R1" s="238" t="s">
        <v>1268</v>
      </c>
      <c r="S1" s="240" t="s">
        <v>17</v>
      </c>
      <c r="T1" s="238" t="s">
        <v>1263</v>
      </c>
      <c r="U1" s="240" t="s">
        <v>1269</v>
      </c>
      <c r="V1" s="238" t="s">
        <v>1270</v>
      </c>
      <c r="W1" s="240" t="s">
        <v>1271</v>
      </c>
      <c r="X1" s="238" t="s">
        <v>1272</v>
      </c>
      <c r="Y1" s="240" t="s">
        <v>22</v>
      </c>
      <c r="Z1" s="240" t="s">
        <v>1273</v>
      </c>
      <c r="AA1" s="233" t="s">
        <v>1274</v>
      </c>
      <c r="AB1" s="156"/>
      <c r="AC1" s="235" t="s">
        <v>1275</v>
      </c>
      <c r="AD1" s="251" t="s">
        <v>1276</v>
      </c>
    </row>
    <row r="2" spans="1:30" ht="30">
      <c r="A2" s="246"/>
      <c r="B2" s="248"/>
      <c r="C2" s="158" t="s">
        <v>238</v>
      </c>
      <c r="D2" s="159" t="s">
        <v>310</v>
      </c>
      <c r="E2" s="244"/>
      <c r="F2" s="244"/>
      <c r="G2" s="244"/>
      <c r="H2" s="239"/>
      <c r="I2" s="241"/>
      <c r="J2" s="244"/>
      <c r="K2" s="239"/>
      <c r="L2" s="239"/>
      <c r="M2" s="244"/>
      <c r="N2" s="244"/>
      <c r="O2" s="239"/>
      <c r="P2" s="239"/>
      <c r="Q2" s="239"/>
      <c r="R2" s="239"/>
      <c r="S2" s="244"/>
      <c r="T2" s="239"/>
      <c r="U2" s="241"/>
      <c r="V2" s="239"/>
      <c r="W2" s="242"/>
      <c r="X2" s="243"/>
      <c r="Y2" s="242"/>
      <c r="Z2" s="250"/>
      <c r="AA2" s="234"/>
      <c r="AB2" s="160" t="s">
        <v>37</v>
      </c>
      <c r="AC2" s="236"/>
      <c r="AD2" s="252"/>
    </row>
    <row r="3" spans="1:30" ht="30" customHeight="1">
      <c r="A3" s="161">
        <v>45946</v>
      </c>
      <c r="B3" s="162">
        <v>20</v>
      </c>
      <c r="C3" s="163">
        <v>8</v>
      </c>
      <c r="D3" s="164">
        <v>12</v>
      </c>
      <c r="E3" s="164">
        <v>8</v>
      </c>
      <c r="F3" s="164">
        <v>8</v>
      </c>
      <c r="G3" s="164">
        <v>8</v>
      </c>
      <c r="H3" s="164">
        <v>8</v>
      </c>
      <c r="I3" s="164">
        <v>8</v>
      </c>
      <c r="J3" s="164">
        <v>8</v>
      </c>
      <c r="K3" s="164">
        <v>8</v>
      </c>
      <c r="L3" s="164">
        <v>8</v>
      </c>
      <c r="M3" s="164">
        <v>8</v>
      </c>
      <c r="N3" s="164">
        <v>7</v>
      </c>
      <c r="O3" s="164">
        <v>6</v>
      </c>
      <c r="P3" s="164">
        <v>5</v>
      </c>
      <c r="Q3" s="164">
        <v>4</v>
      </c>
      <c r="R3" s="164">
        <v>3</v>
      </c>
      <c r="S3" s="164">
        <v>3</v>
      </c>
      <c r="T3" s="164">
        <v>3</v>
      </c>
      <c r="U3" s="189">
        <v>2</v>
      </c>
      <c r="V3" s="165">
        <v>1</v>
      </c>
      <c r="W3" s="166">
        <v>1</v>
      </c>
      <c r="X3" s="166">
        <v>0</v>
      </c>
      <c r="Y3" s="166">
        <v>1</v>
      </c>
      <c r="Z3" s="166">
        <v>1</v>
      </c>
      <c r="AA3" s="166">
        <v>0</v>
      </c>
      <c r="AB3" s="190" t="s">
        <v>1286</v>
      </c>
      <c r="AC3" s="168" t="s">
        <v>1278</v>
      </c>
      <c r="AD3" s="169"/>
    </row>
    <row r="4" spans="1:30" ht="30" customHeight="1">
      <c r="A4" s="161">
        <v>45954</v>
      </c>
      <c r="B4" s="162">
        <v>46</v>
      </c>
      <c r="C4" s="163">
        <v>20</v>
      </c>
      <c r="D4" s="164">
        <v>19</v>
      </c>
      <c r="E4" s="164">
        <v>20</v>
      </c>
      <c r="F4" s="164">
        <v>20</v>
      </c>
      <c r="G4" s="164">
        <v>19</v>
      </c>
      <c r="H4" s="164">
        <v>19</v>
      </c>
      <c r="I4" s="164">
        <v>19</v>
      </c>
      <c r="J4" s="164">
        <v>19</v>
      </c>
      <c r="K4" s="164">
        <v>18</v>
      </c>
      <c r="L4" s="164">
        <v>18</v>
      </c>
      <c r="M4" s="164">
        <v>18</v>
      </c>
      <c r="N4" s="164">
        <v>18</v>
      </c>
      <c r="O4" s="164">
        <v>9</v>
      </c>
      <c r="P4" s="164">
        <v>9</v>
      </c>
      <c r="Q4" s="164">
        <v>7</v>
      </c>
      <c r="R4" s="164">
        <v>7</v>
      </c>
      <c r="S4" s="164">
        <v>7</v>
      </c>
      <c r="T4" s="164">
        <v>7</v>
      </c>
      <c r="U4" s="191">
        <v>7</v>
      </c>
      <c r="V4" s="165">
        <v>7</v>
      </c>
      <c r="W4" s="166">
        <v>3</v>
      </c>
      <c r="X4" s="166">
        <v>2</v>
      </c>
      <c r="Y4" s="166">
        <v>3</v>
      </c>
      <c r="Z4" s="166">
        <v>3</v>
      </c>
      <c r="AA4" s="166">
        <v>7</v>
      </c>
      <c r="AB4" s="183" t="s">
        <v>1287</v>
      </c>
      <c r="AC4" s="168" t="s">
        <v>1278</v>
      </c>
      <c r="AD4" s="171"/>
    </row>
    <row r="5" spans="1:30" ht="30" customHeight="1">
      <c r="A5" s="161">
        <v>45964</v>
      </c>
      <c r="B5" s="162">
        <v>48</v>
      </c>
      <c r="C5" s="163">
        <v>20</v>
      </c>
      <c r="D5" s="164">
        <v>24</v>
      </c>
      <c r="E5" s="164">
        <v>20</v>
      </c>
      <c r="F5" s="164">
        <v>20</v>
      </c>
      <c r="G5" s="164">
        <v>20</v>
      </c>
      <c r="H5" s="164">
        <v>20</v>
      </c>
      <c r="I5" s="164">
        <v>20</v>
      </c>
      <c r="J5" s="164">
        <v>20</v>
      </c>
      <c r="K5" s="164">
        <v>18</v>
      </c>
      <c r="L5" s="164">
        <v>18</v>
      </c>
      <c r="M5" s="164">
        <v>18</v>
      </c>
      <c r="N5" s="164">
        <v>18</v>
      </c>
      <c r="O5" s="164">
        <v>10</v>
      </c>
      <c r="P5" s="164">
        <v>7</v>
      </c>
      <c r="Q5" s="164">
        <v>6</v>
      </c>
      <c r="R5" s="164">
        <v>4</v>
      </c>
      <c r="S5" s="164">
        <v>4</v>
      </c>
      <c r="T5" s="164">
        <v>4</v>
      </c>
      <c r="U5" s="189">
        <v>4</v>
      </c>
      <c r="V5" s="165">
        <v>4</v>
      </c>
      <c r="W5" s="166">
        <v>3</v>
      </c>
      <c r="X5" s="166">
        <v>1</v>
      </c>
      <c r="Y5" s="166">
        <v>2</v>
      </c>
      <c r="Z5" s="166">
        <v>2</v>
      </c>
      <c r="AA5" s="166">
        <v>4</v>
      </c>
      <c r="AB5" s="183" t="s">
        <v>1288</v>
      </c>
      <c r="AC5" s="168" t="s">
        <v>1278</v>
      </c>
      <c r="AD5" s="171"/>
    </row>
    <row r="6" spans="1:30" s="192" customFormat="1" ht="30" customHeight="1">
      <c r="A6" s="161">
        <v>46006</v>
      </c>
      <c r="B6" s="162">
        <v>50</v>
      </c>
      <c r="C6" s="163">
        <v>31</v>
      </c>
      <c r="D6" s="164">
        <v>19</v>
      </c>
      <c r="E6" s="164">
        <v>31</v>
      </c>
      <c r="F6" s="164">
        <v>31</v>
      </c>
      <c r="G6" s="164">
        <v>31</v>
      </c>
      <c r="H6" s="164">
        <v>31</v>
      </c>
      <c r="I6" s="164">
        <v>31</v>
      </c>
      <c r="J6" s="164">
        <v>30</v>
      </c>
      <c r="K6" s="164">
        <v>30</v>
      </c>
      <c r="L6" s="164">
        <v>30</v>
      </c>
      <c r="M6" s="164">
        <v>30</v>
      </c>
      <c r="N6" s="164">
        <v>29</v>
      </c>
      <c r="O6" s="164">
        <v>21</v>
      </c>
      <c r="P6" s="164">
        <v>20</v>
      </c>
      <c r="Q6" s="164">
        <v>18</v>
      </c>
      <c r="R6" s="164">
        <v>15</v>
      </c>
      <c r="S6" s="164">
        <v>15</v>
      </c>
      <c r="T6" s="164">
        <v>15</v>
      </c>
      <c r="U6" s="164">
        <v>14</v>
      </c>
      <c r="V6" s="165">
        <v>12</v>
      </c>
      <c r="W6" s="166">
        <v>8</v>
      </c>
      <c r="X6" s="166">
        <v>3</v>
      </c>
      <c r="Y6" s="166">
        <v>8</v>
      </c>
      <c r="Z6" s="166">
        <v>8</v>
      </c>
      <c r="AA6" s="166">
        <v>0</v>
      </c>
      <c r="AB6" s="166"/>
      <c r="AC6" s="166" t="s">
        <v>1278</v>
      </c>
      <c r="AD6" s="166"/>
    </row>
    <row r="7" spans="1:30" ht="30" customHeight="1">
      <c r="A7" s="161">
        <v>46063</v>
      </c>
      <c r="B7" s="162">
        <v>66</v>
      </c>
      <c r="C7" s="163">
        <v>26</v>
      </c>
      <c r="D7" s="164">
        <v>37</v>
      </c>
      <c r="E7" s="164">
        <v>26</v>
      </c>
      <c r="F7" s="164">
        <v>26</v>
      </c>
      <c r="G7" s="164">
        <v>26</v>
      </c>
      <c r="H7" s="164">
        <v>26</v>
      </c>
      <c r="I7" s="164">
        <v>26</v>
      </c>
      <c r="J7" s="164">
        <v>26</v>
      </c>
      <c r="K7" s="164">
        <v>26</v>
      </c>
      <c r="L7" s="164">
        <v>26</v>
      </c>
      <c r="M7" s="164">
        <v>26</v>
      </c>
      <c r="N7" s="164">
        <v>21</v>
      </c>
      <c r="O7" s="164">
        <v>6</v>
      </c>
      <c r="P7" s="164">
        <v>5</v>
      </c>
      <c r="Q7" s="164">
        <v>3</v>
      </c>
      <c r="R7" s="164">
        <v>2</v>
      </c>
      <c r="S7" s="164">
        <v>2</v>
      </c>
      <c r="T7" s="164">
        <v>2</v>
      </c>
      <c r="U7" s="164">
        <v>2</v>
      </c>
      <c r="V7" s="165">
        <v>1</v>
      </c>
      <c r="W7" s="166">
        <v>0</v>
      </c>
      <c r="X7" s="166">
        <v>1</v>
      </c>
      <c r="Y7" s="166">
        <v>0</v>
      </c>
      <c r="Z7" s="166">
        <v>0</v>
      </c>
      <c r="AA7" s="166">
        <v>2</v>
      </c>
      <c r="AB7" s="166" t="s">
        <v>1289</v>
      </c>
      <c r="AC7" s="166" t="s">
        <v>1278</v>
      </c>
      <c r="AD7" s="171"/>
    </row>
    <row r="8" spans="1:30">
      <c r="A8" s="173"/>
      <c r="B8" s="193"/>
      <c r="C8" s="163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5"/>
      <c r="W8" s="171"/>
      <c r="X8" s="171"/>
      <c r="Y8" s="171"/>
      <c r="Z8" s="171"/>
      <c r="AA8" s="171"/>
      <c r="AB8" s="171"/>
      <c r="AC8" s="171"/>
      <c r="AD8" s="171"/>
    </row>
    <row r="9" spans="1:30">
      <c r="A9" s="173"/>
      <c r="B9" s="193"/>
      <c r="C9" s="163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5"/>
      <c r="W9" s="171"/>
      <c r="X9" s="171"/>
      <c r="Y9" s="171"/>
      <c r="Z9" s="171"/>
      <c r="AA9" s="171"/>
      <c r="AB9" s="171"/>
      <c r="AC9" s="171"/>
      <c r="AD9" s="171"/>
    </row>
    <row r="10" spans="1:30">
      <c r="A10" s="173"/>
      <c r="B10" s="193"/>
      <c r="C10" s="163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5"/>
      <c r="W10" s="171"/>
      <c r="X10" s="171"/>
      <c r="Y10" s="171"/>
      <c r="Z10" s="171"/>
      <c r="AA10" s="171"/>
      <c r="AB10" s="171"/>
      <c r="AC10" s="171"/>
      <c r="AD10" s="171"/>
    </row>
    <row r="11" spans="1:30">
      <c r="A11" s="173"/>
      <c r="B11" s="193"/>
      <c r="C11" s="163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5"/>
      <c r="W11" s="171"/>
      <c r="X11" s="171"/>
      <c r="Y11" s="171"/>
      <c r="Z11" s="171"/>
      <c r="AA11" s="171"/>
      <c r="AB11" s="171"/>
      <c r="AC11" s="171"/>
      <c r="AD11" s="171"/>
    </row>
    <row r="12" spans="1:30">
      <c r="A12" s="173"/>
      <c r="B12" s="193"/>
      <c r="C12" s="163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5"/>
      <c r="W12" s="171"/>
      <c r="X12" s="171"/>
      <c r="Y12" s="171"/>
      <c r="Z12" s="171"/>
      <c r="AA12" s="171"/>
      <c r="AB12" s="171"/>
      <c r="AC12" s="171"/>
      <c r="AD12" s="171"/>
    </row>
    <row r="13" spans="1:30">
      <c r="A13" s="173"/>
      <c r="B13" s="193"/>
      <c r="C13" s="163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5"/>
      <c r="W13" s="171"/>
      <c r="X13" s="171"/>
      <c r="Y13" s="171"/>
      <c r="Z13" s="171"/>
      <c r="AA13" s="171"/>
      <c r="AB13" s="171"/>
      <c r="AC13" s="171"/>
      <c r="AD13" s="174"/>
    </row>
    <row r="14" spans="1:30">
      <c r="A14" s="173"/>
      <c r="B14" s="193"/>
      <c r="C14" s="163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5"/>
      <c r="W14" s="171"/>
      <c r="X14" s="171"/>
      <c r="Y14" s="171"/>
      <c r="Z14" s="171"/>
      <c r="AA14" s="171"/>
      <c r="AB14" s="171"/>
      <c r="AC14" s="175"/>
      <c r="AD14" s="194"/>
    </row>
    <row r="15" spans="1:30" ht="23.25">
      <c r="A15" s="173"/>
      <c r="B15" s="162">
        <f>SUM(B3:B14)</f>
        <v>230</v>
      </c>
      <c r="C15" s="163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5"/>
      <c r="W15" s="166">
        <f>SUM(W3:W14)</f>
        <v>15</v>
      </c>
      <c r="X15" s="171"/>
      <c r="Y15" s="171"/>
      <c r="Z15" s="171"/>
      <c r="AA15" s="171"/>
      <c r="AB15" s="171"/>
      <c r="AC15" s="175"/>
      <c r="AD15" s="195">
        <f>+W15*100/B15</f>
        <v>6.5217391304347823</v>
      </c>
    </row>
  </sheetData>
  <mergeCells count="28">
    <mergeCell ref="G1:G2"/>
    <mergeCell ref="A1:A2"/>
    <mergeCell ref="B1:B2"/>
    <mergeCell ref="C1:D1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Z1:Z2"/>
    <mergeCell ref="AA1:AA2"/>
    <mergeCell ref="AC1:AC2"/>
    <mergeCell ref="AD1:AD2"/>
    <mergeCell ref="T1:T2"/>
    <mergeCell ref="U1:U2"/>
    <mergeCell ref="V1:V2"/>
    <mergeCell ref="W1:W2"/>
    <mergeCell ref="X1:X2"/>
    <mergeCell ref="Y1:Y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41A0-2724-43E7-9796-19770F3F4173}">
  <sheetPr>
    <tabColor theme="0" tint="-0.14999847407452621"/>
  </sheetPr>
  <dimension ref="A1:AD14"/>
  <sheetViews>
    <sheetView workbookViewId="0">
      <selection activeCell="R12" sqref="R12"/>
    </sheetView>
    <sheetView workbookViewId="1">
      <selection activeCell="N22" sqref="N22"/>
    </sheetView>
    <sheetView workbookViewId="2">
      <selection sqref="A1:A2"/>
    </sheetView>
  </sheetViews>
  <sheetFormatPr defaultRowHeight="15.75"/>
  <cols>
    <col min="1" max="1" width="9.140625" style="157"/>
    <col min="2" max="2" width="10.5703125" style="157" bestFit="1" customWidth="1"/>
    <col min="3" max="4" width="9.140625" style="157"/>
    <col min="5" max="6" width="6.42578125" style="157" bestFit="1" customWidth="1"/>
    <col min="7" max="7" width="7.5703125" style="157" bestFit="1" customWidth="1"/>
    <col min="8" max="8" width="7.5703125" style="157" customWidth="1"/>
    <col min="9" max="9" width="7.5703125" style="157" bestFit="1" customWidth="1"/>
    <col min="10" max="11" width="8.85546875" style="157" bestFit="1" customWidth="1"/>
    <col min="12" max="12" width="10" style="157" bestFit="1" customWidth="1"/>
    <col min="13" max="13" width="5.7109375" style="157" bestFit="1" customWidth="1"/>
    <col min="14" max="14" width="8.28515625" style="157" bestFit="1" customWidth="1"/>
    <col min="15" max="15" width="7.85546875" style="157" bestFit="1" customWidth="1"/>
    <col min="16" max="16" width="6.85546875" style="157" bestFit="1" customWidth="1"/>
    <col min="17" max="18" width="8.85546875" style="157" bestFit="1" customWidth="1"/>
    <col min="19" max="20" width="9.140625" style="157"/>
    <col min="21" max="22" width="8.85546875" style="157" bestFit="1" customWidth="1"/>
    <col min="23" max="26" width="9.140625" style="157"/>
    <col min="27" max="27" width="11.42578125" style="157" customWidth="1"/>
    <col min="28" max="28" width="26.42578125" style="157" bestFit="1" customWidth="1"/>
    <col min="29" max="16384" width="9.140625" style="157"/>
  </cols>
  <sheetData>
    <row r="1" spans="1:30">
      <c r="A1" s="245" t="s">
        <v>1264</v>
      </c>
      <c r="B1" s="247" t="s">
        <v>1265</v>
      </c>
      <c r="C1" s="249" t="s">
        <v>1251</v>
      </c>
      <c r="D1" s="240"/>
      <c r="E1" s="240" t="s">
        <v>1252</v>
      </c>
      <c r="F1" s="240" t="s">
        <v>1253</v>
      </c>
      <c r="G1" s="240" t="s">
        <v>1254</v>
      </c>
      <c r="H1" s="253" t="s">
        <v>1255</v>
      </c>
      <c r="I1" s="240" t="s">
        <v>1256</v>
      </c>
      <c r="J1" s="240" t="s">
        <v>1257</v>
      </c>
      <c r="K1" s="238" t="s">
        <v>1258</v>
      </c>
      <c r="L1" s="238" t="s">
        <v>1266</v>
      </c>
      <c r="M1" s="240" t="s">
        <v>1259</v>
      </c>
      <c r="N1" s="240" t="s">
        <v>1260</v>
      </c>
      <c r="O1" s="238" t="s">
        <v>1261</v>
      </c>
      <c r="P1" s="238" t="s">
        <v>1262</v>
      </c>
      <c r="Q1" s="238" t="s">
        <v>1267</v>
      </c>
      <c r="R1" s="238" t="s">
        <v>1268</v>
      </c>
      <c r="S1" s="240" t="s">
        <v>17</v>
      </c>
      <c r="T1" s="238" t="s">
        <v>1263</v>
      </c>
      <c r="U1" s="240" t="s">
        <v>1269</v>
      </c>
      <c r="V1" s="238" t="s">
        <v>1270</v>
      </c>
      <c r="W1" s="240" t="s">
        <v>1271</v>
      </c>
      <c r="X1" s="238" t="s">
        <v>1272</v>
      </c>
      <c r="Y1" s="240" t="s">
        <v>22</v>
      </c>
      <c r="Z1" s="240" t="s">
        <v>1273</v>
      </c>
      <c r="AA1" s="233" t="s">
        <v>1274</v>
      </c>
      <c r="AB1" s="156"/>
      <c r="AC1" s="235" t="s">
        <v>1275</v>
      </c>
      <c r="AD1" s="251" t="s">
        <v>1276</v>
      </c>
    </row>
    <row r="2" spans="1:30" ht="30">
      <c r="A2" s="246"/>
      <c r="B2" s="248"/>
      <c r="C2" s="158" t="s">
        <v>238</v>
      </c>
      <c r="D2" s="159" t="s">
        <v>310</v>
      </c>
      <c r="E2" s="244"/>
      <c r="F2" s="244"/>
      <c r="G2" s="244"/>
      <c r="H2" s="254"/>
      <c r="I2" s="241"/>
      <c r="J2" s="244"/>
      <c r="K2" s="239"/>
      <c r="L2" s="239"/>
      <c r="M2" s="244"/>
      <c r="N2" s="244"/>
      <c r="O2" s="239"/>
      <c r="P2" s="239"/>
      <c r="Q2" s="239"/>
      <c r="R2" s="239"/>
      <c r="S2" s="244"/>
      <c r="T2" s="239"/>
      <c r="U2" s="241"/>
      <c r="V2" s="239"/>
      <c r="W2" s="242"/>
      <c r="X2" s="243"/>
      <c r="Y2" s="242"/>
      <c r="Z2" s="250"/>
      <c r="AA2" s="234"/>
      <c r="AB2" s="160" t="s">
        <v>37</v>
      </c>
      <c r="AC2" s="236"/>
      <c r="AD2" s="252"/>
    </row>
    <row r="3" spans="1:30" ht="30" customHeight="1">
      <c r="A3" s="161">
        <v>45966</v>
      </c>
      <c r="B3" s="162">
        <v>50</v>
      </c>
      <c r="C3" s="163">
        <v>21</v>
      </c>
      <c r="D3" s="164">
        <v>22</v>
      </c>
      <c r="E3" s="164">
        <v>21</v>
      </c>
      <c r="F3" s="164">
        <v>20</v>
      </c>
      <c r="G3" s="164">
        <v>18</v>
      </c>
      <c r="H3" s="164">
        <v>16</v>
      </c>
      <c r="I3" s="164">
        <v>16</v>
      </c>
      <c r="J3" s="164">
        <v>11</v>
      </c>
      <c r="K3" s="164">
        <v>10</v>
      </c>
      <c r="L3" s="164">
        <v>10</v>
      </c>
      <c r="M3" s="164">
        <v>10</v>
      </c>
      <c r="N3" s="164">
        <v>7</v>
      </c>
      <c r="O3" s="164">
        <v>6</v>
      </c>
      <c r="P3" s="164">
        <v>4</v>
      </c>
      <c r="Q3" s="164">
        <v>3</v>
      </c>
      <c r="R3" s="164">
        <v>3</v>
      </c>
      <c r="S3" s="164">
        <v>3</v>
      </c>
      <c r="T3" s="164">
        <v>2</v>
      </c>
      <c r="U3" s="182">
        <v>2</v>
      </c>
      <c r="V3" s="165">
        <v>1</v>
      </c>
      <c r="W3" s="166">
        <v>1</v>
      </c>
      <c r="X3" s="166">
        <v>0</v>
      </c>
      <c r="Y3" s="166">
        <v>0</v>
      </c>
      <c r="Z3" s="166">
        <v>0</v>
      </c>
      <c r="AA3" s="166">
        <v>7</v>
      </c>
      <c r="AB3" s="183" t="s">
        <v>1282</v>
      </c>
      <c r="AC3" s="184" t="s">
        <v>1278</v>
      </c>
      <c r="AD3" s="169"/>
    </row>
    <row r="4" spans="1:30" ht="30" customHeight="1">
      <c r="A4" s="161">
        <v>45992</v>
      </c>
      <c r="B4" s="162">
        <v>48</v>
      </c>
      <c r="C4" s="163">
        <v>18</v>
      </c>
      <c r="D4" s="164">
        <v>30</v>
      </c>
      <c r="E4" s="164">
        <v>18</v>
      </c>
      <c r="F4" s="164">
        <v>18</v>
      </c>
      <c r="G4" s="164">
        <v>16</v>
      </c>
      <c r="H4" s="164">
        <v>16</v>
      </c>
      <c r="I4" s="164">
        <v>16</v>
      </c>
      <c r="J4" s="164">
        <v>16</v>
      </c>
      <c r="K4" s="164">
        <v>14</v>
      </c>
      <c r="L4" s="164">
        <v>14</v>
      </c>
      <c r="M4" s="164">
        <v>14</v>
      </c>
      <c r="N4" s="164">
        <v>10</v>
      </c>
      <c r="O4" s="164">
        <v>9</v>
      </c>
      <c r="P4" s="164">
        <v>6</v>
      </c>
      <c r="Q4" s="164">
        <v>5</v>
      </c>
      <c r="R4" s="164">
        <v>4</v>
      </c>
      <c r="S4" s="164">
        <v>4</v>
      </c>
      <c r="T4" s="164">
        <v>4</v>
      </c>
      <c r="U4" s="164">
        <v>3</v>
      </c>
      <c r="V4" s="165">
        <v>3</v>
      </c>
      <c r="W4" s="166">
        <v>0</v>
      </c>
      <c r="X4" s="166">
        <v>0</v>
      </c>
      <c r="Y4" s="166">
        <v>0</v>
      </c>
      <c r="Z4" s="166">
        <v>0</v>
      </c>
      <c r="AA4" s="166">
        <v>0</v>
      </c>
      <c r="AB4" s="185" t="s">
        <v>1283</v>
      </c>
      <c r="AC4" s="184" t="s">
        <v>1278</v>
      </c>
      <c r="AD4" s="171"/>
    </row>
    <row r="5" spans="1:30" ht="30" customHeight="1">
      <c r="A5" s="161">
        <v>45999</v>
      </c>
      <c r="B5" s="162">
        <v>47</v>
      </c>
      <c r="C5" s="163">
        <v>24</v>
      </c>
      <c r="D5" s="164">
        <v>21</v>
      </c>
      <c r="E5" s="164">
        <v>24</v>
      </c>
      <c r="F5" s="164">
        <v>24</v>
      </c>
      <c r="G5" s="164">
        <v>24</v>
      </c>
      <c r="H5" s="164">
        <v>24</v>
      </c>
      <c r="I5" s="164">
        <v>24</v>
      </c>
      <c r="J5" s="164">
        <v>24</v>
      </c>
      <c r="K5" s="164">
        <v>24</v>
      </c>
      <c r="L5" s="164">
        <v>24</v>
      </c>
      <c r="M5" s="164">
        <v>22</v>
      </c>
      <c r="N5" s="164">
        <v>13</v>
      </c>
      <c r="O5" s="164">
        <v>8</v>
      </c>
      <c r="P5" s="164">
        <v>6</v>
      </c>
      <c r="Q5" s="164">
        <v>5</v>
      </c>
      <c r="R5" s="164">
        <v>4</v>
      </c>
      <c r="S5" s="164">
        <v>4</v>
      </c>
      <c r="T5" s="164">
        <v>4</v>
      </c>
      <c r="U5" s="164">
        <v>3</v>
      </c>
      <c r="V5" s="165">
        <v>3</v>
      </c>
      <c r="W5" s="166">
        <v>2</v>
      </c>
      <c r="X5" s="166">
        <v>0</v>
      </c>
      <c r="Y5" s="166">
        <v>2</v>
      </c>
      <c r="Z5" s="166">
        <v>2</v>
      </c>
      <c r="AA5" s="166">
        <v>2</v>
      </c>
      <c r="AB5" s="171"/>
      <c r="AC5" s="186" t="s">
        <v>1278</v>
      </c>
      <c r="AD5" s="171"/>
    </row>
    <row r="6" spans="1:30" ht="30" customHeight="1">
      <c r="A6" s="161">
        <v>46001</v>
      </c>
      <c r="B6" s="162">
        <v>28</v>
      </c>
      <c r="C6" s="163">
        <v>17</v>
      </c>
      <c r="D6" s="164">
        <v>11</v>
      </c>
      <c r="E6" s="164">
        <v>17</v>
      </c>
      <c r="F6" s="164">
        <v>17</v>
      </c>
      <c r="G6" s="164">
        <v>17</v>
      </c>
      <c r="H6" s="164">
        <v>17</v>
      </c>
      <c r="I6" s="164">
        <v>17</v>
      </c>
      <c r="J6" s="164">
        <v>17</v>
      </c>
      <c r="K6" s="164">
        <v>17</v>
      </c>
      <c r="L6" s="164">
        <v>17</v>
      </c>
      <c r="M6" s="164">
        <v>17</v>
      </c>
      <c r="N6" s="164">
        <v>15</v>
      </c>
      <c r="O6" s="164">
        <v>11</v>
      </c>
      <c r="P6" s="164">
        <v>9</v>
      </c>
      <c r="Q6" s="164">
        <v>8</v>
      </c>
      <c r="R6" s="164">
        <v>7</v>
      </c>
      <c r="S6" s="164">
        <v>6</v>
      </c>
      <c r="T6" s="164">
        <v>6</v>
      </c>
      <c r="U6" s="164">
        <v>5</v>
      </c>
      <c r="V6" s="165">
        <v>5</v>
      </c>
      <c r="W6" s="166">
        <v>2</v>
      </c>
      <c r="X6" s="166">
        <v>1</v>
      </c>
      <c r="Y6" s="166">
        <v>0</v>
      </c>
      <c r="Z6" s="166">
        <v>0</v>
      </c>
      <c r="AA6" s="166">
        <v>0</v>
      </c>
      <c r="AB6" s="166"/>
      <c r="AC6" s="186" t="s">
        <v>1278</v>
      </c>
      <c r="AD6" s="171"/>
    </row>
    <row r="7" spans="1:30" ht="30" customHeight="1">
      <c r="A7" s="161">
        <v>46070</v>
      </c>
      <c r="B7" s="162">
        <v>65</v>
      </c>
      <c r="C7" s="163">
        <v>21</v>
      </c>
      <c r="D7" s="164">
        <v>39</v>
      </c>
      <c r="E7" s="164">
        <v>21</v>
      </c>
      <c r="F7" s="164">
        <v>21</v>
      </c>
      <c r="G7" s="164">
        <v>21</v>
      </c>
      <c r="H7" s="164">
        <v>21</v>
      </c>
      <c r="I7" s="164">
        <v>21</v>
      </c>
      <c r="J7" s="164">
        <v>21</v>
      </c>
      <c r="K7" s="164">
        <v>21</v>
      </c>
      <c r="L7" s="164">
        <v>21</v>
      </c>
      <c r="M7" s="164">
        <v>21</v>
      </c>
      <c r="N7" s="164">
        <v>13</v>
      </c>
      <c r="O7" s="164">
        <v>5</v>
      </c>
      <c r="P7" s="164">
        <v>3</v>
      </c>
      <c r="Q7" s="164">
        <v>3</v>
      </c>
      <c r="R7" s="164">
        <v>2</v>
      </c>
      <c r="S7" s="164">
        <v>2</v>
      </c>
      <c r="T7" s="164">
        <v>2</v>
      </c>
      <c r="U7" s="164">
        <v>2</v>
      </c>
      <c r="V7" s="165">
        <v>1</v>
      </c>
      <c r="W7" s="166">
        <v>0</v>
      </c>
      <c r="X7" s="166">
        <v>1</v>
      </c>
      <c r="Y7" s="166">
        <v>0</v>
      </c>
      <c r="Z7" s="166">
        <v>0</v>
      </c>
      <c r="AA7" s="166">
        <v>5</v>
      </c>
      <c r="AB7" s="187" t="s">
        <v>1284</v>
      </c>
      <c r="AC7" s="175" t="s">
        <v>1278</v>
      </c>
      <c r="AD7" s="171"/>
    </row>
    <row r="8" spans="1:30" ht="30" customHeight="1">
      <c r="A8" s="161">
        <v>46071</v>
      </c>
      <c r="B8" s="162">
        <v>27</v>
      </c>
      <c r="C8" s="163">
        <v>5</v>
      </c>
      <c r="D8" s="164">
        <v>21</v>
      </c>
      <c r="E8" s="164">
        <v>5</v>
      </c>
      <c r="F8" s="164">
        <v>5</v>
      </c>
      <c r="G8" s="164">
        <v>5</v>
      </c>
      <c r="H8" s="164">
        <v>5</v>
      </c>
      <c r="I8" s="164">
        <v>5</v>
      </c>
      <c r="J8" s="164">
        <v>5</v>
      </c>
      <c r="K8" s="164">
        <v>5</v>
      </c>
      <c r="L8" s="164">
        <v>5</v>
      </c>
      <c r="M8" s="164">
        <v>5</v>
      </c>
      <c r="N8" s="164">
        <v>5</v>
      </c>
      <c r="O8" s="164">
        <v>4</v>
      </c>
      <c r="P8" s="164">
        <v>4</v>
      </c>
      <c r="Q8" s="164">
        <v>4</v>
      </c>
      <c r="R8" s="164">
        <v>3</v>
      </c>
      <c r="S8" s="164">
        <v>3</v>
      </c>
      <c r="T8" s="164">
        <v>3</v>
      </c>
      <c r="U8" s="164">
        <v>3</v>
      </c>
      <c r="V8" s="165">
        <v>3</v>
      </c>
      <c r="W8" s="166">
        <v>0</v>
      </c>
      <c r="X8" s="166">
        <v>2</v>
      </c>
      <c r="Y8" s="166">
        <v>0</v>
      </c>
      <c r="Z8" s="166">
        <v>0</v>
      </c>
      <c r="AA8" s="166">
        <v>1</v>
      </c>
      <c r="AB8" s="188"/>
      <c r="AC8" s="175" t="s">
        <v>1278</v>
      </c>
      <c r="AD8" s="171"/>
    </row>
    <row r="9" spans="1:30" ht="30" customHeight="1">
      <c r="A9" s="161">
        <v>46072</v>
      </c>
      <c r="B9" s="162">
        <v>71</v>
      </c>
      <c r="C9" s="163">
        <v>28</v>
      </c>
      <c r="D9" s="164">
        <v>42</v>
      </c>
      <c r="E9" s="164">
        <v>28</v>
      </c>
      <c r="F9" s="164">
        <v>28</v>
      </c>
      <c r="G9" s="164">
        <v>28</v>
      </c>
      <c r="H9" s="164">
        <v>28</v>
      </c>
      <c r="I9" s="164">
        <v>28</v>
      </c>
      <c r="J9" s="164">
        <v>28</v>
      </c>
      <c r="K9" s="164">
        <v>28</v>
      </c>
      <c r="L9" s="164">
        <v>28</v>
      </c>
      <c r="M9" s="164">
        <v>28</v>
      </c>
      <c r="N9" s="164">
        <v>12</v>
      </c>
      <c r="O9" s="164">
        <v>4</v>
      </c>
      <c r="P9" s="164">
        <v>4</v>
      </c>
      <c r="Q9" s="164">
        <v>4</v>
      </c>
      <c r="R9" s="164">
        <v>4</v>
      </c>
      <c r="S9" s="164">
        <v>2</v>
      </c>
      <c r="T9" s="164">
        <v>2</v>
      </c>
      <c r="U9" s="164">
        <v>2</v>
      </c>
      <c r="V9" s="165">
        <v>2</v>
      </c>
      <c r="W9" s="166">
        <v>0</v>
      </c>
      <c r="X9" s="166">
        <v>1</v>
      </c>
      <c r="Y9" s="166">
        <v>0</v>
      </c>
      <c r="Z9" s="166">
        <v>0</v>
      </c>
      <c r="AA9" s="166">
        <v>1</v>
      </c>
      <c r="AB9" s="188" t="s">
        <v>1285</v>
      </c>
      <c r="AC9" s="175"/>
      <c r="AD9" s="171"/>
    </row>
    <row r="10" spans="1:30">
      <c r="A10" s="161"/>
      <c r="B10" s="162"/>
      <c r="C10" s="163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5"/>
      <c r="W10" s="166"/>
      <c r="X10" s="166"/>
      <c r="Y10" s="166"/>
      <c r="Z10" s="166"/>
      <c r="AA10" s="166"/>
      <c r="AB10" s="166"/>
      <c r="AC10" s="175"/>
      <c r="AD10" s="171"/>
    </row>
    <row r="11" spans="1:30">
      <c r="A11" s="161"/>
      <c r="B11" s="162"/>
      <c r="C11" s="163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5"/>
      <c r="W11" s="166"/>
      <c r="X11" s="166"/>
      <c r="Y11" s="166"/>
      <c r="Z11" s="166"/>
      <c r="AA11" s="166"/>
      <c r="AB11" s="166"/>
      <c r="AC11" s="175"/>
      <c r="AD11" s="171"/>
    </row>
    <row r="12" spans="1:30">
      <c r="A12" s="161"/>
      <c r="B12" s="162"/>
      <c r="C12" s="163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5"/>
      <c r="W12" s="166"/>
      <c r="X12" s="166"/>
      <c r="Y12" s="166"/>
      <c r="Z12" s="166"/>
      <c r="AA12" s="166"/>
      <c r="AB12" s="166"/>
      <c r="AC12" s="175"/>
      <c r="AD12" s="171"/>
    </row>
    <row r="13" spans="1:30">
      <c r="A13" s="161"/>
      <c r="B13" s="162"/>
      <c r="C13" s="163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5"/>
      <c r="W13" s="166"/>
      <c r="X13" s="166"/>
      <c r="Y13" s="166"/>
      <c r="Z13" s="166"/>
      <c r="AA13" s="166"/>
      <c r="AB13" s="166"/>
      <c r="AC13" s="175"/>
      <c r="AD13" s="171"/>
    </row>
    <row r="14" spans="1:30" ht="23.25">
      <c r="A14" s="161"/>
      <c r="B14" s="162">
        <f>SUM(B3:B13)</f>
        <v>336</v>
      </c>
      <c r="C14" s="163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5"/>
      <c r="W14" s="166">
        <f>SUM(W3:W13)</f>
        <v>5</v>
      </c>
      <c r="X14" s="166"/>
      <c r="Y14" s="166"/>
      <c r="Z14" s="166"/>
      <c r="AA14" s="166"/>
      <c r="AB14" s="166"/>
      <c r="AC14" s="175"/>
      <c r="AD14" s="181">
        <f>+W14*100/B14</f>
        <v>1.4880952380952381</v>
      </c>
    </row>
  </sheetData>
  <mergeCells count="28">
    <mergeCell ref="G1:G2"/>
    <mergeCell ref="A1:A2"/>
    <mergeCell ref="B1:B2"/>
    <mergeCell ref="C1:D1"/>
    <mergeCell ref="E1:E2"/>
    <mergeCell ref="F1:F2"/>
    <mergeCell ref="S1:S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Z1:Z2"/>
    <mergeCell ref="AA1:AA2"/>
    <mergeCell ref="AC1:AC2"/>
    <mergeCell ref="AD1:AD2"/>
    <mergeCell ref="T1:T2"/>
    <mergeCell ref="U1:U2"/>
    <mergeCell ref="V1:V2"/>
    <mergeCell ref="W1:W2"/>
    <mergeCell ref="X1:X2"/>
    <mergeCell ref="Y1:Y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464C67F55D9469153CA4F6C7A86AF" ma:contentTypeVersion="15" ma:contentTypeDescription="Create a new document." ma:contentTypeScope="" ma:versionID="c5a596b8a593829f6c9bbf5a42ab7612">
  <xsd:schema xmlns:xsd="http://www.w3.org/2001/XMLSchema" xmlns:xs="http://www.w3.org/2001/XMLSchema" xmlns:p="http://schemas.microsoft.com/office/2006/metadata/properties" xmlns:ns2="a970d4f9-ceff-49e0-9737-6f3177b72e97" xmlns:ns3="447822c5-58ca-4317-956e-53916928e1bf" targetNamespace="http://schemas.microsoft.com/office/2006/metadata/properties" ma:root="true" ma:fieldsID="cd2408e2e6ca576d874c67f4f968d5f6" ns2:_="" ns3:_="">
    <xsd:import namespace="a970d4f9-ceff-49e0-9737-6f3177b72e97"/>
    <xsd:import namespace="447822c5-58ca-4317-956e-53916928e1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0d4f9-ceff-49e0-9737-6f3177b72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274f21-2a41-4932-89b8-31fbb6ed8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822c5-58ca-4317-956e-53916928e1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725dae-5028-4db0-a96d-9106babbafc4}" ma:internalName="TaxCatchAll" ma:showField="CatchAllData" ma:web="447822c5-58ca-4317-956e-53916928e1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70d4f9-ceff-49e0-9737-6f3177b72e97">
      <Terms xmlns="http://schemas.microsoft.com/office/infopath/2007/PartnerControls"/>
    </lcf76f155ced4ddcb4097134ff3c332f>
    <TaxCatchAll xmlns="447822c5-58ca-4317-956e-53916928e1bf" xsi:nil="true"/>
  </documentManagement>
</p:properties>
</file>

<file path=customXml/itemProps1.xml><?xml version="1.0" encoding="utf-8"?>
<ds:datastoreItem xmlns:ds="http://schemas.openxmlformats.org/officeDocument/2006/customXml" ds:itemID="{9D6B5E5C-63F8-4EBB-97A3-3566051FF420}"/>
</file>

<file path=customXml/itemProps2.xml><?xml version="1.0" encoding="utf-8"?>
<ds:datastoreItem xmlns:ds="http://schemas.openxmlformats.org/officeDocument/2006/customXml" ds:itemID="{4BA14B41-539D-46F7-B9F2-0637C7BEA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553D25-CD49-49BF-9A3A-71CDBFE4811D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82a188ee-a0bb-45d1-96e0-1709e31b7085"/>
    <ds:schemaRef ds:uri="85eba69d-5e87-4f09-91e3-cfeb30fb86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KU_raw</vt:lpstr>
      <vt:lpstr>KU_Pivot</vt:lpstr>
      <vt:lpstr>KU_Sum</vt:lpstr>
      <vt:lpstr>KU_Clone</vt:lpstr>
      <vt:lpstr>KU_clean</vt:lpstr>
      <vt:lpstr>MSU_clean</vt:lpstr>
      <vt:lpstr>MSU_raw</vt:lpstr>
      <vt:lpstr>MSU_Pivot</vt:lpstr>
      <vt:lpstr>MSU_NHGRI</vt:lpstr>
      <vt:lpstr>MSU_TU</vt:lpstr>
      <vt:lpstr>MSU_AB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Suparat CHAIPIPAT</cp:lastModifiedBy>
  <dcterms:created xsi:type="dcterms:W3CDTF">2015-06-05T18:17:20Z</dcterms:created>
  <dcterms:modified xsi:type="dcterms:W3CDTF">2026-04-22T03:56:35Z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0x0101000B5464C67F55D9469153CA4F6C7A86AF</vt:lpwstr>
  </property>
  <property fmtid="{D5CDD505-2E9C-101B-9397-08002B2CF9AE}" pid="3" name="MediaServiceImageTags">
    <vt:lpwstr/>
  </property>
</Properties>
</file>