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uvacb.sharepoint.com/sites/Zebrafishcloningservices/Shared Documents/Cloning/Analysis/"/>
    </mc:Choice>
  </mc:AlternateContent>
  <xr:revisionPtr revIDLastSave="12804" documentId="8_{C906A59E-AB33-4E13-92B3-0E5A437B7A01}" xr6:coauthVersionLast="47" xr6:coauthVersionMax="47" xr10:uidLastSave="{A69B2D9A-E5C0-4DA7-B851-D00B85BE2F0C}"/>
  <bookViews>
    <workbookView xWindow="-105" yWindow="0" windowWidth="14610" windowHeight="15585" firstSheet="8" activeTab="8" xr2:uid="{CD3D4C58-405A-499F-9DA3-322102732F7A}"/>
  </bookViews>
  <sheets>
    <sheet name="work sheet_Cloning" sheetId="7" r:id="rId1"/>
    <sheet name="June" sheetId="5" r:id="rId2"/>
    <sheet name="Jan" sheetId="6" r:id="rId3"/>
    <sheet name="raw data" sheetId="1" r:id="rId4"/>
    <sheet name="Summary" sheetId="2" r:id="rId5"/>
    <sheet name="% of development" sheetId="3" r:id="rId6"/>
    <sheet name="NBD" sheetId="4" r:id="rId7"/>
    <sheet name="Cloned fish status" sheetId="8" r:id="rId8"/>
    <sheet name="Cloned fish status(Master)" sheetId="9" r:id="rId9"/>
    <sheet name="Specimen Code for DNA Analysis" sheetId="10" r:id="rId10"/>
  </sheets>
  <definedNames>
    <definedName name="_xlnm._FilterDatabase" localSheetId="7" hidden="1">'Cloned fish status'!$A$1:$K$47</definedName>
    <definedName name="_xlnm._FilterDatabase" localSheetId="8" hidden="1">'Cloned fish status(Master)'!$G$1:$Q$48</definedName>
    <definedName name="_xlnm._FilterDatabase" localSheetId="2" hidden="1">Jan!$AI$1:$AI$91</definedName>
    <definedName name="_xlnm._FilterDatabase" localSheetId="1" hidden="1">June!$D$1:$D$204</definedName>
    <definedName name="_xlnm._FilterDatabase" localSheetId="3" hidden="1">'raw data'!$A$2:$BA$412</definedName>
    <definedName name="_xlnm._FilterDatabase" localSheetId="9" hidden="1">'Specimen Code for DNA Analysis'!#REF!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" i="9" l="1"/>
  <c r="Q31" i="9"/>
  <c r="Q32" i="9"/>
  <c r="Q26" i="9"/>
  <c r="Q12" i="9"/>
  <c r="Q7" i="9"/>
  <c r="Q40" i="9"/>
  <c r="Q41" i="9"/>
  <c r="AX3" i="1" l="1"/>
  <c r="C6" i="2" s="1"/>
  <c r="Q46" i="9"/>
  <c r="Q35" i="9"/>
  <c r="Q34" i="9"/>
  <c r="Q33" i="9"/>
  <c r="Q30" i="9"/>
  <c r="Q29" i="9"/>
  <c r="Q28" i="9"/>
  <c r="Q27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1" i="9"/>
  <c r="Q10" i="9"/>
  <c r="Q9" i="9"/>
  <c r="Q8" i="9"/>
  <c r="Q6" i="9"/>
  <c r="Q5" i="9"/>
  <c r="Q4" i="9"/>
  <c r="Q3" i="9"/>
  <c r="Q2" i="9"/>
  <c r="K12" i="8"/>
  <c r="K7" i="8"/>
  <c r="K15" i="8"/>
  <c r="AV4" i="1"/>
  <c r="D6" i="3" s="1"/>
  <c r="K46" i="8"/>
  <c r="K37" i="8"/>
  <c r="K35" i="8"/>
  <c r="K34" i="8"/>
  <c r="K33" i="8"/>
  <c r="K31" i="8"/>
  <c r="K32" i="8"/>
  <c r="K30" i="8"/>
  <c r="K26" i="8"/>
  <c r="K24" i="8"/>
  <c r="K22" i="8"/>
  <c r="K21" i="8"/>
  <c r="K20" i="8"/>
  <c r="K41" i="8"/>
  <c r="K40" i="8"/>
  <c r="K29" i="8"/>
  <c r="K2" i="8"/>
  <c r="K4" i="8"/>
  <c r="K5" i="8"/>
  <c r="K6" i="8"/>
  <c r="K8" i="8"/>
  <c r="K9" i="8"/>
  <c r="K10" i="8"/>
  <c r="K11" i="8"/>
  <c r="K13" i="8"/>
  <c r="K14" i="8"/>
  <c r="K16" i="8"/>
  <c r="K17" i="8"/>
  <c r="K18" i="8"/>
  <c r="K19" i="8"/>
  <c r="K23" i="8"/>
  <c r="K25" i="8"/>
  <c r="K27" i="8"/>
  <c r="K28" i="8"/>
  <c r="K3" i="8"/>
  <c r="H8" i="2"/>
  <c r="B8" i="2"/>
  <c r="AZ26" i="1"/>
  <c r="Z3" i="3" s="1"/>
  <c r="AZ25" i="1"/>
  <c r="Y3" i="3" s="1"/>
  <c r="AZ24" i="1"/>
  <c r="X3" i="3" s="1"/>
  <c r="AZ23" i="1"/>
  <c r="AZ22" i="1"/>
  <c r="V3" i="3" s="1"/>
  <c r="AZ21" i="1"/>
  <c r="AZ20" i="1"/>
  <c r="T3" i="3" s="1"/>
  <c r="AZ19" i="1"/>
  <c r="S3" i="3" s="1"/>
  <c r="AZ18" i="1"/>
  <c r="AZ17" i="1"/>
  <c r="Q3" i="3" s="1"/>
  <c r="AZ16" i="1"/>
  <c r="P3" i="3" s="1"/>
  <c r="AZ15" i="1"/>
  <c r="O3" i="3" s="1"/>
  <c r="AZ14" i="1"/>
  <c r="N3" i="3" s="1"/>
  <c r="AZ13" i="1"/>
  <c r="M3" i="3" s="1"/>
  <c r="AZ12" i="1"/>
  <c r="L3" i="3" s="1"/>
  <c r="AZ11" i="1"/>
  <c r="K3" i="3" s="1"/>
  <c r="AZ10" i="1"/>
  <c r="AZ9" i="1"/>
  <c r="I3" i="3" s="1"/>
  <c r="AZ8" i="1"/>
  <c r="AZ7" i="1"/>
  <c r="G3" i="3" s="1"/>
  <c r="AZ6" i="1"/>
  <c r="F3" i="3" s="1"/>
  <c r="AZ5" i="1"/>
  <c r="E3" i="3" s="1"/>
  <c r="AZ4" i="1"/>
  <c r="AZ3" i="1"/>
  <c r="C3" i="3" s="1"/>
  <c r="AX26" i="1"/>
  <c r="AX25" i="1"/>
  <c r="Y9" i="3" s="1"/>
  <c r="AX24" i="1"/>
  <c r="X9" i="3" s="1"/>
  <c r="AX23" i="1"/>
  <c r="W9" i="3" s="1"/>
  <c r="AX22" i="1"/>
  <c r="V9" i="3" s="1"/>
  <c r="AX21" i="1"/>
  <c r="U9" i="3" s="1"/>
  <c r="AX20" i="1"/>
  <c r="T9" i="3" s="1"/>
  <c r="AX19" i="1"/>
  <c r="S9" i="3" s="1"/>
  <c r="AX18" i="1"/>
  <c r="AX17" i="1"/>
  <c r="AX16" i="1"/>
  <c r="AX15" i="1"/>
  <c r="AX14" i="1"/>
  <c r="AX13" i="1"/>
  <c r="AX12" i="1"/>
  <c r="L9" i="3" s="1"/>
  <c r="AX11" i="1"/>
  <c r="K9" i="3" s="1"/>
  <c r="AX10" i="1"/>
  <c r="J9" i="3" s="1"/>
  <c r="AX9" i="1"/>
  <c r="I9" i="3" s="1"/>
  <c r="AX8" i="1"/>
  <c r="AX7" i="1"/>
  <c r="G9" i="3" s="1"/>
  <c r="AX6" i="1"/>
  <c r="F9" i="3" s="1"/>
  <c r="AX5" i="1"/>
  <c r="AX4" i="1"/>
  <c r="D9" i="3" s="1"/>
  <c r="AV26" i="1"/>
  <c r="Z6" i="3" s="1"/>
  <c r="AV25" i="1"/>
  <c r="Y6" i="3" s="1"/>
  <c r="AV24" i="1"/>
  <c r="X6" i="3" s="1"/>
  <c r="AV23" i="1"/>
  <c r="W6" i="3" s="1"/>
  <c r="AV22" i="1"/>
  <c r="V6" i="3" s="1"/>
  <c r="AV21" i="1"/>
  <c r="U6" i="3" s="1"/>
  <c r="AV20" i="1"/>
  <c r="T6" i="3" s="1"/>
  <c r="AV19" i="1"/>
  <c r="S6" i="3" s="1"/>
  <c r="AV18" i="1"/>
  <c r="AV17" i="1"/>
  <c r="Q6" i="3" s="1"/>
  <c r="AV16" i="1"/>
  <c r="P6" i="3" s="1"/>
  <c r="AV15" i="1"/>
  <c r="O6" i="3" s="1"/>
  <c r="AV14" i="1"/>
  <c r="N6" i="3" s="1"/>
  <c r="AV13" i="1"/>
  <c r="AV12" i="1"/>
  <c r="L6" i="3" s="1"/>
  <c r="AV11" i="1"/>
  <c r="K6" i="3" s="1"/>
  <c r="AV10" i="1"/>
  <c r="AV9" i="1"/>
  <c r="I6" i="3" s="1"/>
  <c r="AV8" i="1"/>
  <c r="AV7" i="1"/>
  <c r="G6" i="3" s="1"/>
  <c r="AV6" i="1"/>
  <c r="AV5" i="1"/>
  <c r="E6" i="3" s="1"/>
  <c r="AV3" i="1"/>
  <c r="E8" i="2"/>
  <c r="BA4" i="1" l="1"/>
  <c r="D5" i="3" s="1"/>
  <c r="C9" i="3"/>
  <c r="C2" i="2"/>
  <c r="F2" i="2" s="1"/>
  <c r="D3" i="3"/>
  <c r="BA24" i="1"/>
  <c r="X5" i="3" s="1"/>
  <c r="BA16" i="1"/>
  <c r="P5" i="3" s="1"/>
  <c r="AY21" i="1"/>
  <c r="U11" i="3" s="1"/>
  <c r="BA15" i="1"/>
  <c r="O5" i="3" s="1"/>
  <c r="BA14" i="1"/>
  <c r="N5" i="3" s="1"/>
  <c r="BA12" i="1"/>
  <c r="L5" i="3" s="1"/>
  <c r="AY18" i="1"/>
  <c r="R11" i="3" s="1"/>
  <c r="BA21" i="1"/>
  <c r="U5" i="3" s="1"/>
  <c r="R9" i="3"/>
  <c r="BA5" i="1"/>
  <c r="E5" i="3" s="1"/>
  <c r="AY19" i="1"/>
  <c r="S11" i="3" s="1"/>
  <c r="U3" i="3"/>
  <c r="BA25" i="1"/>
  <c r="Y5" i="3" s="1"/>
  <c r="AY25" i="1"/>
  <c r="Y11" i="3" s="1"/>
  <c r="AY9" i="1"/>
  <c r="I11" i="3" s="1"/>
  <c r="BA10" i="1"/>
  <c r="J5" i="3" s="1"/>
  <c r="AW19" i="1"/>
  <c r="S8" i="3" s="1"/>
  <c r="AY10" i="1"/>
  <c r="J11" i="3" s="1"/>
  <c r="AY5" i="1"/>
  <c r="E11" i="3" s="1"/>
  <c r="J3" i="3"/>
  <c r="AY22" i="1"/>
  <c r="V11" i="3" s="1"/>
  <c r="AY8" i="1"/>
  <c r="H11" i="3" s="1"/>
  <c r="BA23" i="1"/>
  <c r="W5" i="3" s="1"/>
  <c r="AW6" i="1"/>
  <c r="F8" i="3" s="1"/>
  <c r="AY12" i="1"/>
  <c r="L11" i="3" s="1"/>
  <c r="AW18" i="1"/>
  <c r="R8" i="3" s="1"/>
  <c r="AY17" i="1"/>
  <c r="Q11" i="3" s="1"/>
  <c r="AW11" i="1"/>
  <c r="K8" i="3" s="1"/>
  <c r="BA22" i="1"/>
  <c r="V5" i="3" s="1"/>
  <c r="AW4" i="1"/>
  <c r="D8" i="3" s="1"/>
  <c r="AW13" i="1"/>
  <c r="M8" i="3" s="1"/>
  <c r="F6" i="3"/>
  <c r="AY16" i="1"/>
  <c r="P11" i="3" s="1"/>
  <c r="AY26" i="1"/>
  <c r="Z11" i="3" s="1"/>
  <c r="W3" i="3"/>
  <c r="AY11" i="1"/>
  <c r="K11" i="3" s="1"/>
  <c r="AW8" i="1"/>
  <c r="H8" i="3" s="1"/>
  <c r="Q9" i="3"/>
  <c r="AW17" i="1"/>
  <c r="Q8" i="3" s="1"/>
  <c r="AW10" i="1"/>
  <c r="J8" i="3" s="1"/>
  <c r="R6" i="3"/>
  <c r="BA6" i="1"/>
  <c r="F5" i="3" s="1"/>
  <c r="BA18" i="1"/>
  <c r="R5" i="3" s="1"/>
  <c r="AW12" i="1"/>
  <c r="L8" i="3" s="1"/>
  <c r="BA8" i="1"/>
  <c r="H5" i="3" s="1"/>
  <c r="BA19" i="1"/>
  <c r="S5" i="3" s="1"/>
  <c r="H9" i="3"/>
  <c r="AY13" i="1"/>
  <c r="M11" i="3" s="1"/>
  <c r="BA9" i="1"/>
  <c r="I5" i="3" s="1"/>
  <c r="C4" i="2"/>
  <c r="M6" i="3"/>
  <c r="AY14" i="1"/>
  <c r="N11" i="3" s="1"/>
  <c r="BA20" i="1"/>
  <c r="T5" i="3" s="1"/>
  <c r="BA13" i="1"/>
  <c r="M5" i="3" s="1"/>
  <c r="AW20" i="1"/>
  <c r="T8" i="3" s="1"/>
  <c r="AY15" i="1"/>
  <c r="O11" i="3" s="1"/>
  <c r="AY24" i="1"/>
  <c r="X11" i="3" s="1"/>
  <c r="BA11" i="1"/>
  <c r="K5" i="3" s="1"/>
  <c r="AW5" i="1"/>
  <c r="E8" i="3" s="1"/>
  <c r="P9" i="3"/>
  <c r="Z9" i="3"/>
  <c r="G6" i="2"/>
  <c r="F6" i="2"/>
  <c r="AW25" i="1"/>
  <c r="Y8" i="3" s="1"/>
  <c r="AW26" i="1"/>
  <c r="Z8" i="3" s="1"/>
  <c r="AY6" i="1"/>
  <c r="F11" i="3" s="1"/>
  <c r="H3" i="3"/>
  <c r="M9" i="3"/>
  <c r="AY23" i="1"/>
  <c r="W11" i="3" s="1"/>
  <c r="BA7" i="1"/>
  <c r="G5" i="3" s="1"/>
  <c r="E9" i="3"/>
  <c r="BA26" i="1"/>
  <c r="Z5" i="3" s="1"/>
  <c r="J6" i="3"/>
  <c r="AY20" i="1"/>
  <c r="T11" i="3" s="1"/>
  <c r="H6" i="3"/>
  <c r="AW23" i="1"/>
  <c r="W8" i="3" s="1"/>
  <c r="AW24" i="1"/>
  <c r="X8" i="3" s="1"/>
  <c r="AW22" i="1"/>
  <c r="V8" i="3" s="1"/>
  <c r="AW14" i="1"/>
  <c r="N8" i="3" s="1"/>
  <c r="N9" i="3"/>
  <c r="R3" i="3"/>
  <c r="O9" i="3"/>
  <c r="AY7" i="1"/>
  <c r="G11" i="3" s="1"/>
  <c r="AY4" i="1"/>
  <c r="D11" i="3" s="1"/>
  <c r="C6" i="3"/>
  <c r="AW15" i="1"/>
  <c r="O8" i="3" s="1"/>
  <c r="AW16" i="1"/>
  <c r="P8" i="3" s="1"/>
  <c r="AW7" i="1"/>
  <c r="G8" i="3" s="1"/>
  <c r="AW9" i="1"/>
  <c r="I8" i="3" s="1"/>
  <c r="AW21" i="1"/>
  <c r="U8" i="3" s="1"/>
  <c r="BA17" i="1"/>
  <c r="Q5" i="3" s="1"/>
  <c r="C8" i="2" l="1"/>
  <c r="G2" i="2"/>
  <c r="G4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D13" authorId="0" shapeId="0" xr:uid="{4A965BE7-FEFF-4A8F-97CB-F2E4879DF58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ใช้การ pipette ขึ้นลง 20 ครั้ง เซลลืได้เป็น single ดี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tc={4EDC0246-B82E-E942-80EF-D22A2C5E5C7A}</author>
  </authors>
  <commentList>
    <comment ref="C1" authorId="0" shapeId="0" xr:uid="{4EDC0246-B82E-E942-80EF-D22A2C5E5C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Result of %NBD  @ sheet NBD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Kannika SIRIPATTARAPRAVAT</author>
    <author>tc={E70B04C8-142F-436E-B5DB-25F2257D31ED}</author>
  </authors>
  <commentList>
    <comment ref="Q2" authorId="0" shapeId="0" xr:uid="{43A31F5C-5223-4FB7-B2A3-AA1B5F18FD39}">
      <text>
        <r>
          <rPr>
            <b/>
            <sz val="9"/>
            <color indexed="81"/>
            <rFont val="Tahoma"/>
            <family val="2"/>
          </rPr>
          <t>Abnormal
Freeze :2025-09-22
Location: Freezer -80°C</t>
        </r>
      </text>
    </comment>
    <comment ref="S3" authorId="1" shapeId="0" xr:uid="{8872625D-80F7-4476-B651-E7A1BBBEB8B9}">
      <text>
        <r>
          <rPr>
            <sz val="11"/>
            <color theme="1"/>
            <rFont val="Aptos Narrow"/>
            <family val="2"/>
            <scheme val="minor"/>
          </rPr>
          <t>Kannika SIRIPATTARAPRAVAT:
death at day 8
Freeze 9/26/2025
Location:</t>
        </r>
      </text>
    </comment>
    <comment ref="R4" authorId="0" shapeId="0" xr:uid="{BC043B1D-F412-4DD3-8F99-28FF797FABC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R5" authorId="0" shapeId="0" xr:uid="{5B188DCC-36C0-4D9C-AB50-E790C6DA2F0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R6" authorId="0" shapeId="0" xr:uid="{0ECE00D4-33BE-45D6-B535-DF4F6868AD8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O8" authorId="0" shapeId="0" xr:uid="{FC95726C-86FD-4101-9F17-AAD531DE951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O9" authorId="0" shapeId="0" xr:uid="{5DD8A0B4-3411-415D-8BAB-6AB345E4505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:2025-10-02
Location:Freezer -80°C</t>
        </r>
      </text>
    </comment>
    <comment ref="P10" authorId="0" shapeId="0" xr:uid="{201D71D5-43CC-4176-8291-B3E7CAAF504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Alive abnormal/ degenerate at day 5
</t>
        </r>
      </text>
    </comment>
    <comment ref="U11" authorId="0" shapeId="0" xr:uid="{5CE03014-96F6-4EEB-8925-FE2FEA77B83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:2025-10-10
Location:Freezer -80°C</t>
        </r>
      </text>
    </comment>
    <comment ref="N13" authorId="0" shapeId="0" xr:uid="{DEEEF078-3BA0-4438-A0D0-00AAEF1022A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:2025-10-10
Location:Freezer -80°C</t>
        </r>
      </text>
    </comment>
    <comment ref="N14" authorId="0" shapeId="0" xr:uid="{BA59549C-007D-4FEB-8093-7FF5BBA163A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:2025-10-10
Location:Freezer -80°C</t>
        </r>
      </text>
    </comment>
    <comment ref="N16" authorId="0" shapeId="0" xr:uid="{C8DF6DC1-8AD3-43F9-9638-33309BF37ED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:2025-10-17
Location:Freezer -80°C</t>
        </r>
      </text>
    </comment>
    <comment ref="N17" authorId="0" shapeId="0" xr:uid="{8E9344F7-E939-4FBA-87B8-C4570E6341A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:2025-10-17
Location:Freezer -80°C</t>
        </r>
      </text>
    </comment>
    <comment ref="P18" authorId="0" shapeId="0" xr:uid="{86FE29DB-5A00-4C21-89FC-20886332485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:2025-10-21
Location:Freezer -80°C</t>
        </r>
      </text>
    </comment>
    <comment ref="S19" authorId="0" shapeId="0" xr:uid="{B40EA947-90BC-4C5E-9634-88352D8537D0}">
      <text>
        <r>
          <rPr>
            <b/>
            <sz val="9"/>
            <color indexed="81"/>
            <rFont val="Tahoma"/>
            <family val="2"/>
          </rPr>
          <t>DELL:
death in system A</t>
        </r>
        <r>
          <rPr>
            <sz val="9"/>
            <color indexed="81"/>
            <rFont val="Tahoma"/>
            <family val="2"/>
          </rPr>
          <t xml:space="preserve">
Freeze :2025-10-28
Location:Freezer -80°C</t>
        </r>
      </text>
    </comment>
    <comment ref="N23" authorId="0" shapeId="0" xr:uid="{3B11ACCE-F813-4797-90C9-16965C28686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:2025-10-23
Location:Freezer -80°C</t>
        </r>
      </text>
    </comment>
    <comment ref="R25" authorId="2" shapeId="0" xr:uid="{E70B04C8-142F-436E-B5DB-25F2257D31ED}">
      <text>
        <t>[Threaded comment]
Your version of Excel allows you to read this threaded comment; however, any edits to it will get removed if the file is opened in a newer version of Excel. Learn more: https://go.microsoft.com/fwlink/?linkid=870924
Comment:
    ยังดีอยู่</t>
      </text>
    </comment>
    <comment ref="S25" authorId="1" shapeId="0" xr:uid="{57B4FFAB-80E3-4725-A9F0-2FEFB67DC798}">
      <text>
        <r>
          <rPr>
            <sz val="11"/>
            <color theme="1"/>
            <rFont val="Aptos Narrow"/>
            <family val="2"/>
            <scheme val="minor"/>
          </rPr>
          <t>Kannika SIRIPATTARAPRAVAT:
Alive abnormal/ degenerate at day 8</t>
        </r>
      </text>
    </comment>
    <comment ref="Q27" authorId="0" shapeId="0" xr:uid="{CD148D79-563C-4A62-957A-40DFD123A54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:2025-11-09
Location:Freezer -80°C</t>
        </r>
      </text>
    </comment>
    <comment ref="O28" authorId="0" shapeId="0" xr:uid="{A2252D9C-B6E6-4E73-A28A-88BB5C42F1F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system
OK</t>
        </r>
      </text>
    </comment>
    <comment ref="P28" authorId="0" shapeId="0" xr:uid="{84FDD968-3D38-4DD1-AE26-ABC1FAD6C70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5
</t>
        </r>
      </text>
    </comment>
    <comment ref="O36" authorId="0" shapeId="0" xr:uid="{5C233144-6EBA-42FC-A15A-1652D9F510D2}">
      <text>
        <r>
          <rPr>
            <b/>
            <sz val="9"/>
            <color indexed="81"/>
            <rFont val="Tahoma"/>
            <family val="2"/>
          </rPr>
          <t>DELL: Degenerate at day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 xr:uid="{FD5B8C2C-8C35-4517-BA77-9450C6E6C4F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3</t>
        </r>
      </text>
    </comment>
    <comment ref="N39" authorId="0" shapeId="0" xr:uid="{38B1FCE7-A70D-4FBF-93C2-24056EDD428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3</t>
        </r>
      </text>
    </comment>
    <comment ref="M42" authorId="0" shapeId="0" xr:uid="{AE7D5724-04A1-4BA1-AEF3-1095D616022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M43" authorId="0" shapeId="0" xr:uid="{2A8A4C64-5518-47A9-B9EC-3D3740A6AA8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M44" authorId="0" shapeId="0" xr:uid="{476A4836-1AC8-4896-BE8E-74E36B0AA27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M45" authorId="0" shapeId="0" xr:uid="{BB7A1899-92DB-4F49-A081-E159514CAA7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M47" authorId="0" shapeId="0" xr:uid="{3EC7EDE7-9F44-4822-BE69-E9F98F5E5CC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Kannika SIRIPATTARAPRAVAT</author>
    <author>tc={54DDF1CA-0D07-4F53-9CCD-722E83D0B657}</author>
  </authors>
  <commentList>
    <comment ref="W2" authorId="0" shapeId="0" xr:uid="{C6B84998-B652-48C0-A09B-4A5F170169C9}">
      <text>
        <r>
          <rPr>
            <b/>
            <sz val="9"/>
            <color indexed="81"/>
            <rFont val="Tahoma"/>
            <family val="2"/>
          </rPr>
          <t>Abnormal
Freeze :2025-09-22
Location: Freezer -80°C</t>
        </r>
      </text>
    </comment>
    <comment ref="Y3" authorId="1" shapeId="0" xr:uid="{950132AB-F732-459D-9EF3-1946DF10FC3B}">
      <text>
        <r>
          <rPr>
            <sz val="11"/>
            <color theme="1"/>
            <rFont val="Aptos Narrow"/>
            <family val="2"/>
            <scheme val="minor"/>
          </rPr>
          <t>Kannika SIRIPATTARAPRAVAT:
death at day 8
Freeze 9/26/2025
Location:</t>
        </r>
      </text>
    </comment>
    <comment ref="X4" authorId="0" shapeId="0" xr:uid="{2F7C645D-4363-4D24-83FF-FE7A6CA6918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X5" authorId="0" shapeId="0" xr:uid="{87A75C31-6405-430B-BA6A-1D917670CF9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X6" authorId="0" shapeId="0" xr:uid="{28512DC6-B8C5-4CF2-9941-FD77D999F77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U8" authorId="0" shapeId="0" xr:uid="{94C933F1-C510-48E5-A0AF-8CB66305653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:2025-09-30
Location:Freezer -80°C</t>
        </r>
      </text>
    </comment>
    <comment ref="U9" authorId="0" shapeId="0" xr:uid="{D337557F-FC28-4A0C-9E8F-0380783428E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:2025-10-02
Location:Freezer -80°C</t>
        </r>
      </text>
    </comment>
    <comment ref="V10" authorId="0" shapeId="0" xr:uid="{1F38F21A-DD46-4D2E-879C-42CD7436252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Alive abnormal/ degenerate at day 5
</t>
        </r>
      </text>
    </comment>
    <comment ref="AA11" authorId="0" shapeId="0" xr:uid="{F124D90F-C7CB-4352-BEE0-E0CBFD8F0ED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:2025-10-10
Location:Freezer -80°C</t>
        </r>
      </text>
    </comment>
    <comment ref="T13" authorId="0" shapeId="0" xr:uid="{797FC0CE-A402-4C2B-8A95-2723F55A33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:2025-10-10
Location:Freezer -80°C</t>
        </r>
      </text>
    </comment>
    <comment ref="T14" authorId="0" shapeId="0" xr:uid="{B3D46B05-DBB7-4C07-B05E-BDDB32DDB92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:2025-10-10
Location:Freezer -80°C</t>
        </r>
      </text>
    </comment>
    <comment ref="T16" authorId="0" shapeId="0" xr:uid="{C7764414-9B22-43D0-AFD9-235EE2017A4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:2025-10-17
Location:Freezer -80°C</t>
        </r>
      </text>
    </comment>
    <comment ref="T17" authorId="0" shapeId="0" xr:uid="{6DFC84B9-67A5-41CD-A6BC-65F3808488D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:2025-10-17
Location:Freezer -80°C</t>
        </r>
      </text>
    </comment>
    <comment ref="V18" authorId="0" shapeId="0" xr:uid="{F5F7B463-D234-46D2-A30D-29003A96EC6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:2025-10-21
Location:Freezer -80°C</t>
        </r>
      </text>
    </comment>
    <comment ref="Y19" authorId="0" shapeId="0" xr:uid="{1356FACE-441A-4F10-8AD8-3B79F3EE27F8}">
      <text>
        <r>
          <rPr>
            <b/>
            <sz val="9"/>
            <color indexed="81"/>
            <rFont val="Tahoma"/>
            <family val="2"/>
          </rPr>
          <t>DELL:
death in system A</t>
        </r>
        <r>
          <rPr>
            <sz val="9"/>
            <color indexed="81"/>
            <rFont val="Tahoma"/>
            <family val="2"/>
          </rPr>
          <t xml:space="preserve">
Freeze :2025-10-28
Location:Freezer -80°C</t>
        </r>
      </text>
    </comment>
    <comment ref="T23" authorId="0" shapeId="0" xr:uid="{16C08E8E-206E-4728-9444-394A9E1D1D0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:2025-10-23
Location:Freezer -80°C</t>
        </r>
      </text>
    </comment>
    <comment ref="X25" authorId="2" shapeId="0" xr:uid="{54DDF1CA-0D07-4F53-9CCD-722E83D0B657}">
      <text>
        <t>[Threaded comment]
Your version of Excel allows you to read this threaded comment; however, any edits to it will get removed if the file is opened in a newer version of Excel. Learn more: https://go.microsoft.com/fwlink/?linkid=870924
Comment:
    ยังดีอยู่</t>
      </text>
    </comment>
    <comment ref="Y25" authorId="1" shapeId="0" xr:uid="{220D77E9-6494-48D0-B264-5002767B60C0}">
      <text>
        <r>
          <rPr>
            <sz val="11"/>
            <color theme="1"/>
            <rFont val="Aptos Narrow"/>
            <family val="2"/>
            <scheme val="minor"/>
          </rPr>
          <t>Kannika SIRIPATTARAPRAVAT:
Alive abnormal/ degenerate at day 8</t>
        </r>
      </text>
    </comment>
    <comment ref="W27" authorId="0" shapeId="0" xr:uid="{075C2E13-E5F7-4013-9CBC-E0D67C89267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Abnormal
Freeze :2025-11-09
Location:Freezer -80°C</t>
        </r>
      </text>
    </comment>
    <comment ref="U28" authorId="0" shapeId="0" xr:uid="{8A6AF8EA-225F-4FB5-BB83-8434B07CA69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system
OK</t>
        </r>
      </text>
    </comment>
    <comment ref="V28" authorId="0" shapeId="0" xr:uid="{735B6D3B-0694-45AF-B272-82A8E0C3669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5
</t>
        </r>
      </text>
    </comment>
    <comment ref="T36" authorId="0" shapeId="0" xr:uid="{5CC5703C-5DBA-4BA1-A18B-57F7F04B4148}">
      <text>
        <r>
          <rPr>
            <b/>
            <sz val="9"/>
            <color indexed="81"/>
            <rFont val="Tahoma"/>
            <family val="2"/>
          </rPr>
          <t>DELL: Degenerate at day 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38" authorId="0" shapeId="0" xr:uid="{70DDB9B4-7B35-4A45-B16B-3AE66B3FBC4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3</t>
        </r>
      </text>
    </comment>
    <comment ref="S39" authorId="0" shapeId="0" xr:uid="{436AD382-A496-463D-8245-76A516CF3A3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3</t>
        </r>
      </text>
    </comment>
    <comment ref="R42" authorId="0" shapeId="0" xr:uid="{9F144AFA-B3CB-4479-8995-5567776E42A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R43" authorId="0" shapeId="0" xr:uid="{2361C826-8362-4A58-8C71-D51D31D6919E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R44" authorId="0" shapeId="0" xr:uid="{0B44C68C-C9D0-4E54-8CED-4E1CD480182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R45" authorId="0" shapeId="0" xr:uid="{980CDF9B-1CFF-4B26-8F4D-E3E46268607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  <comment ref="R47" authorId="0" shapeId="0" xr:uid="{2A1D0000-B838-42E6-BE89-16585E3E7D8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Degenerate at day 2</t>
        </r>
      </text>
    </comment>
  </commentList>
</comments>
</file>

<file path=xl/sharedStrings.xml><?xml version="1.0" encoding="utf-8"?>
<sst xmlns="http://schemas.openxmlformats.org/spreadsheetml/2006/main" count="4878" uniqueCount="897">
  <si>
    <t>DATE</t>
  </si>
  <si>
    <t xml:space="preserve">Code of Egg </t>
  </si>
  <si>
    <t>Injection</t>
  </si>
  <si>
    <t>Enulceation</t>
  </si>
  <si>
    <t>LED</t>
  </si>
  <si>
    <t>Lot No.</t>
  </si>
  <si>
    <t>N</t>
  </si>
  <si>
    <t>Time</t>
  </si>
  <si>
    <t>Cell</t>
  </si>
  <si>
    <t>Remarks</t>
  </si>
  <si>
    <t xml:space="preserve">LOT </t>
  </si>
  <si>
    <t>Activated
Time</t>
  </si>
  <si>
    <t>Observation No.</t>
  </si>
  <si>
    <t>Observation Time</t>
  </si>
  <si>
    <t>Activated</t>
  </si>
  <si>
    <t>2-cell
(0.75 h)</t>
  </si>
  <si>
    <t>4-cell
(1 h)</t>
  </si>
  <si>
    <t>8-cell
(1.25 h)</t>
  </si>
  <si>
    <t>16-cell
(1.5 h)</t>
  </si>
  <si>
    <t>32-cell
(1.75 h)</t>
  </si>
  <si>
    <t>64-cell
(2 h)</t>
  </si>
  <si>
    <t>128-cell
(2.25 h)</t>
  </si>
  <si>
    <t>256-cell
(2.5 h)</t>
  </si>
  <si>
    <t>512-cell
(2.75 h)</t>
  </si>
  <si>
    <t>1k-cell
(3 h)</t>
  </si>
  <si>
    <t>High
(3.3 h)</t>
  </si>
  <si>
    <t>Oblong
(3.7 h)</t>
  </si>
  <si>
    <t>Sphere
(4 h)</t>
  </si>
  <si>
    <t>Dome
(4.3 h)</t>
  </si>
  <si>
    <t>30%epi
(4.7 h)</t>
  </si>
  <si>
    <t>50%epi
(5.3 h)</t>
  </si>
  <si>
    <t>Germ ring
(5.7 h)</t>
  </si>
  <si>
    <t>Shield
(6 h)</t>
  </si>
  <si>
    <t>75%epi
(8 h)</t>
  </si>
  <si>
    <t>90%epi
(9 h)</t>
  </si>
  <si>
    <t>Day 1</t>
  </si>
  <si>
    <t>Day 2</t>
  </si>
  <si>
    <t>Day 3</t>
  </si>
  <si>
    <t>Name
of cell</t>
  </si>
  <si>
    <t>Power (%)</t>
  </si>
  <si>
    <t>Pulse
(us)</t>
  </si>
  <si>
    <t>Start</t>
  </si>
  <si>
    <t>Finish</t>
  </si>
  <si>
    <t>Break</t>
  </si>
  <si>
    <t>no 
break</t>
  </si>
  <si>
    <t>No</t>
  </si>
  <si>
    <t>Activated time</t>
  </si>
  <si>
    <t>Day1</t>
  </si>
  <si>
    <t>Day2</t>
  </si>
  <si>
    <t>Name of cell</t>
  </si>
  <si>
    <t>Pulse (us)</t>
  </si>
  <si>
    <t>E4_2025-09-11</t>
  </si>
  <si>
    <t>TU dissociated cells-11</t>
  </si>
  <si>
    <t>0 (13.42)</t>
  </si>
  <si>
    <t>Used  Hoechst 1:1000,
หยิบมา 3 ฟอง ไม่มี mycropyle 1 ฟอง</t>
  </si>
  <si>
    <t>**ใช้ injector sunlight band</t>
  </si>
  <si>
    <t>1</t>
  </si>
  <si>
    <t>1 (normal,13.42)</t>
  </si>
  <si>
    <t>1 (normal,15.27)</t>
  </si>
  <si>
    <t>0 (18.43)</t>
  </si>
  <si>
    <t>Used  Hoechst 1:1000
หยิบมา 3 ฟอง ไม่มี mycropyle 2 ฟอง</t>
  </si>
  <si>
    <t>-</t>
  </si>
  <si>
    <t>1 (abnormal,13.42)</t>
  </si>
  <si>
    <t>1 (abnormal,15.27)</t>
  </si>
  <si>
    <t>1 (abnormal,18.43)</t>
  </si>
  <si>
    <t>Used  Hoechst 1:500
หยิบมา 5 ฟอง ไม่มี mycropyle 4 ฟอง</t>
  </si>
  <si>
    <t>Used  Hoechst 1:1000</t>
  </si>
  <si>
    <t>0 (15.27)</t>
  </si>
  <si>
    <t>E7_2025-09-16</t>
  </si>
  <si>
    <t>NHGRI dissociated cells-11</t>
  </si>
  <si>
    <t>1 (abnormal,13.15)</t>
  </si>
  <si>
    <t>ค่อนข้างแย่มาก ไข่ไม่ดี หา micropyle
ไม่เจอเลย 100% แต่หา metaphaseII เจอ
เลยต้องทำการ laser DNA จากนั้น laser บริเวณ Animal pole เพื่อสร้างรูให้ inject เซลล์</t>
  </si>
  <si>
    <t>E4_2025-09-17</t>
  </si>
  <si>
    <t>AB Chunk-01</t>
  </si>
  <si>
    <t>✖</t>
  </si>
  <si>
    <t>1 (normal,19.49)</t>
  </si>
  <si>
    <t>micropyle สวยมาก ไข่ดี</t>
  </si>
  <si>
    <t>2 (normal&amp;ab,19.49)</t>
  </si>
  <si>
    <t>โอเคดี หยิบมา 6 ฟอง ทำได้ 5 ฟอง อีกฟองไม่มี micropyle</t>
  </si>
  <si>
    <t>1 (abnormal,16.54)</t>
  </si>
  <si>
    <t>เติมเซลล์ก่อนเริ่มทำ, โอเคดี</t>
  </si>
  <si>
    <t>laser ให้พี่ผึ้ง 3 ฟอง ทำเอง 3 ฟอง</t>
  </si>
  <si>
    <t>OK</t>
  </si>
  <si>
    <t>E4_2025-09-18</t>
  </si>
  <si>
    <t>TU dissociated cells-12</t>
  </si>
  <si>
    <t>1 (normal,16.00)</t>
  </si>
  <si>
    <t>ไข่ E4 ในส่วนของจูน 50:50 คือ
ปนทั้งที่ mycropyle สวย metaphaseII สวย
ผสมกับหา micropyle ไม่เจอ แต่เห็นดีเอ็นเอ
ไข่ E6 แย่มาก แทบจะหา micropyle ไม่เจอเลย
**ใช้ injector gynemed band</t>
  </si>
  <si>
    <t>**ใช้ injector gynemed band</t>
  </si>
  <si>
    <t>E6_2025-09-18</t>
  </si>
  <si>
    <t>1 (abnormal,18.39)</t>
  </si>
  <si>
    <t>1 (normal,18.39)</t>
  </si>
  <si>
    <t>1 (normal,17.24)</t>
  </si>
  <si>
    <t>E6_2025-09-23</t>
  </si>
  <si>
    <t>NHGRI dissociated cells-12</t>
  </si>
  <si>
    <t>OK ดีมาก</t>
  </si>
  <si>
    <t>E5_2025-09-26</t>
  </si>
  <si>
    <t>AB dissociated cells-16</t>
  </si>
  <si>
    <t>หยิบมา 6 ไม่เจอ micropyle 2 ใบ เลเซอร์+ฉีด ใบต่อใบ</t>
  </si>
  <si>
    <t>E6_2025-09-26</t>
  </si>
  <si>
    <t xml:space="preserve">หยิบมา 6 ไม่เจอ micropyle 1 ใบ เลเซอร์+ฉีด ใบต่อใบ </t>
  </si>
  <si>
    <t>E2_2025-09-30</t>
  </si>
  <si>
    <t>TU dissociated cells-13</t>
  </si>
  <si>
    <t>Bee1</t>
  </si>
  <si>
    <t>Bee2</t>
  </si>
  <si>
    <t>Bee3</t>
  </si>
  <si>
    <t>Bee4</t>
  </si>
  <si>
    <t>Bee5</t>
  </si>
  <si>
    <t>Bee6</t>
  </si>
  <si>
    <t>Bee7</t>
  </si>
  <si>
    <t>E6_2025-10-02</t>
  </si>
  <si>
    <t>NHGRI dissociated cells-13</t>
  </si>
  <si>
    <t>E3_2025-10-03</t>
  </si>
  <si>
    <t>AB dissociated cells-17</t>
  </si>
  <si>
    <t>E3_2025-10-04</t>
  </si>
  <si>
    <t>E3_2025-10-05</t>
  </si>
  <si>
    <t>E3_2025-10-06</t>
  </si>
  <si>
    <t xml:space="preserve">clone no.9&amp;10 </t>
  </si>
  <si>
    <t>E3_2025-10-07</t>
  </si>
  <si>
    <t>E3_2025-10-08</t>
  </si>
  <si>
    <t>E3_2025-10-09</t>
  </si>
  <si>
    <t>E3_2025-10-10</t>
  </si>
  <si>
    <t>E3_2025-10-11</t>
  </si>
  <si>
    <t>E3_2025-10-12</t>
  </si>
  <si>
    <t>Clone no.11</t>
  </si>
  <si>
    <t>E4_2025-10-07</t>
  </si>
  <si>
    <t>TU dissociated cells-14</t>
  </si>
  <si>
    <t>Clone no. 12</t>
  </si>
  <si>
    <t>Clone no. 13</t>
  </si>
  <si>
    <t>E5_2025-10-10</t>
  </si>
  <si>
    <t>NHGRI dissociated cells-14</t>
  </si>
  <si>
    <t>Clone no.14</t>
  </si>
  <si>
    <t>E6_2025-10-14</t>
  </si>
  <si>
    <t>AB dissociated cells-18</t>
  </si>
  <si>
    <t>Stop developing at stage 14-somite and degenerate.</t>
  </si>
  <si>
    <t>Clone no.15</t>
  </si>
  <si>
    <t>Clone no.16</t>
  </si>
  <si>
    <t>NHGRI Chunks cells-01</t>
  </si>
  <si>
    <t>E7_2025-10-20</t>
  </si>
  <si>
    <t>NHGRI dissociated cells-15</t>
  </si>
  <si>
    <t>E5_2025-10-20</t>
  </si>
  <si>
    <t>Abnormal,short-tailed zebrafish</t>
  </si>
  <si>
    <t>zebrafish embryo arrested at the pharyngula stage</t>
  </si>
  <si>
    <t>E2_2025-10-22</t>
  </si>
  <si>
    <t>AB dissociated cells-19</t>
  </si>
  <si>
    <t>Bee_1</t>
  </si>
  <si>
    <t>Bee_2</t>
  </si>
  <si>
    <t>Bee_3</t>
  </si>
  <si>
    <t>Bee_4</t>
  </si>
  <si>
    <t>Bee_5</t>
  </si>
  <si>
    <t>Bee_6</t>
  </si>
  <si>
    <t>Bee_7</t>
  </si>
  <si>
    <t>E2_2025-10-24</t>
  </si>
  <si>
    <t>AB Chunks cells-02</t>
  </si>
  <si>
    <t>June_1</t>
  </si>
  <si>
    <t>June_2</t>
  </si>
  <si>
    <t>June_3</t>
  </si>
  <si>
    <t>June_4</t>
  </si>
  <si>
    <t>June_5</t>
  </si>
  <si>
    <t>June_6</t>
  </si>
  <si>
    <t>June_7</t>
  </si>
  <si>
    <t>June_8</t>
  </si>
  <si>
    <t>June_9</t>
  </si>
  <si>
    <t>June_10</t>
  </si>
  <si>
    <t>E3_2025-10-28</t>
  </si>
  <si>
    <t>AB dissociated cells-20</t>
  </si>
  <si>
    <t>11..08</t>
  </si>
  <si>
    <t>June_11</t>
  </si>
  <si>
    <t>E3_2025-10-30</t>
  </si>
  <si>
    <t>TU Chunks cells-01</t>
  </si>
  <si>
    <t>E3_2025-10-31</t>
  </si>
  <si>
    <t>AB Chunks cells-03</t>
  </si>
  <si>
    <t>E3_2025-11-03</t>
  </si>
  <si>
    <t>TU Chunks cells-02</t>
  </si>
  <si>
    <t>Bee_8</t>
  </si>
  <si>
    <t>E3_2025-11-07</t>
  </si>
  <si>
    <t>AB Chunks cells-04</t>
  </si>
  <si>
    <t>TU Chunks cells-03</t>
  </si>
  <si>
    <t>Activated(N)</t>
  </si>
  <si>
    <t>2-cell
(1 h)</t>
  </si>
  <si>
    <t>clone</t>
  </si>
  <si>
    <t>Code</t>
  </si>
  <si>
    <t>TU11-dissociated cells</t>
  </si>
  <si>
    <t>จำนวน N ที่ได้เป็นการ pick-up egg มาครั้งละ 5 ฟอง แต่เจอ micropyle แค่จำนวน N ที่ได้ทำ</t>
  </si>
  <si>
    <t>LED 80</t>
  </si>
  <si>
    <t>NHGRI11-dissociated cell</t>
  </si>
  <si>
    <t>egg ไม่มี micropyle injected ตำแหน่ง animal pole เลย</t>
  </si>
  <si>
    <t>10.36/10.37</t>
  </si>
  <si>
    <t>1(abnormal)</t>
  </si>
  <si>
    <t>✓</t>
  </si>
  <si>
    <t>No.1_Clone3-NHGRI cell-11</t>
  </si>
  <si>
    <t>AB01-crank</t>
  </si>
  <si>
    <t>na</t>
  </si>
  <si>
    <t>TU12- dissociated cells</t>
  </si>
  <si>
    <t>LED 60</t>
  </si>
  <si>
    <t>1(Normal)</t>
  </si>
  <si>
    <t>death at Day 8 Freeze</t>
  </si>
  <si>
    <t>No.2_Clone6-TU cell-12</t>
  </si>
  <si>
    <t>NHGRI12-dissociated cell</t>
  </si>
  <si>
    <t>4</t>
  </si>
  <si>
    <t>3</t>
  </si>
  <si>
    <t>2</t>
  </si>
  <si>
    <t>1(Abnormal)</t>
  </si>
  <si>
    <t>Abnormal freeze at day 3</t>
  </si>
  <si>
    <t>No.3_Clone2-NHGRI cell-12</t>
  </si>
  <si>
    <t>AB16-dissociated cell</t>
  </si>
  <si>
    <t>TU13-dissociated cell</t>
  </si>
  <si>
    <t>NHGRI13-dissociated cell</t>
  </si>
  <si>
    <t> </t>
  </si>
  <si>
    <t>No.8_Clone5-NHGRI cell-13</t>
  </si>
  <si>
    <t>AB17-dissociated cell</t>
  </si>
  <si>
    <t>TU14-dissociated cell</t>
  </si>
  <si>
    <t>NHGR14-dissociated cell</t>
  </si>
  <si>
    <t>LED 65</t>
  </si>
  <si>
    <t>AB18-dissociated cell</t>
  </si>
  <si>
    <t>E5_2025-10-16</t>
  </si>
  <si>
    <t>LED 70</t>
  </si>
  <si>
    <t>abnormal freeze at day 5</t>
  </si>
  <si>
    <t>No.17_Clone3-NHGRI cell-01</t>
  </si>
  <si>
    <t>E7_2025-10-21</t>
  </si>
  <si>
    <t>E7_2025-10-22</t>
  </si>
  <si>
    <t>Normal</t>
  </si>
  <si>
    <t>E5_2025-10-23</t>
  </si>
  <si>
    <t>E5_2025-10-24</t>
  </si>
  <si>
    <t>E5_2025-10-25</t>
  </si>
  <si>
    <t>AB dissociated cell -20</t>
  </si>
  <si>
    <t>AB03 dissociated cell</t>
  </si>
  <si>
    <t>Abnormal</t>
  </si>
  <si>
    <t>E8_2025-11-10</t>
  </si>
  <si>
    <t>E5_2025-11-18</t>
  </si>
  <si>
    <t>NHGRI dissociated cells-16</t>
  </si>
  <si>
    <t xml:space="preserve"> </t>
  </si>
  <si>
    <t>Recipient egg</t>
  </si>
  <si>
    <t>% NBD</t>
  </si>
  <si>
    <t>Lot of CSOF</t>
  </si>
  <si>
    <t>Zebrafish normal
in system</t>
  </si>
  <si>
    <t>BY</t>
  </si>
  <si>
    <t>Timepoint</t>
  </si>
  <si>
    <t>N_TU</t>
  </si>
  <si>
    <t>%N_TU</t>
  </si>
  <si>
    <t>N_NHGRI</t>
  </si>
  <si>
    <t>%N_NHGRI</t>
  </si>
  <si>
    <t>N_AB</t>
  </si>
  <si>
    <t>%N_AB</t>
  </si>
  <si>
    <t>TAB taiwan 28-6-24</t>
  </si>
  <si>
    <t>16 cell = 55%</t>
  </si>
  <si>
    <t>CSOF 2024-19</t>
  </si>
  <si>
    <t>TU</t>
  </si>
  <si>
    <t>Jan</t>
  </si>
  <si>
    <t>L</t>
  </si>
  <si>
    <t>Total number</t>
  </si>
  <si>
    <t>day 1 = 16.66 %</t>
  </si>
  <si>
    <t>O</t>
  </si>
  <si>
    <t>Q</t>
  </si>
  <si>
    <t>2-cell (1 h)</t>
  </si>
  <si>
    <t>R</t>
  </si>
  <si>
    <t>4-cell (1 h)</t>
  </si>
  <si>
    <t>S</t>
  </si>
  <si>
    <t>8-cell (1.25 h)</t>
  </si>
  <si>
    <t>T</t>
  </si>
  <si>
    <t>16-cell (1.5 h)</t>
  </si>
  <si>
    <t>June</t>
  </si>
  <si>
    <t>U</t>
  </si>
  <si>
    <t>32-cell (1.75 h)</t>
  </si>
  <si>
    <t>V</t>
  </si>
  <si>
    <t>64-cell (2 h)</t>
  </si>
  <si>
    <t>W</t>
  </si>
  <si>
    <t>128-cell (2.25 h)</t>
  </si>
  <si>
    <t>X</t>
  </si>
  <si>
    <t>256-cell (2.5 h)</t>
  </si>
  <si>
    <t>Y</t>
  </si>
  <si>
    <t>Z</t>
  </si>
  <si>
    <t>AA</t>
  </si>
  <si>
    <t>TAB taiwan 28-11-24</t>
  </si>
  <si>
    <t xml:space="preserve">2 cell = 62.5 % </t>
  </si>
  <si>
    <t>NHGRI</t>
  </si>
  <si>
    <r>
      <t xml:space="preserve">egg ไม่มี micropyle injected ตำแหน่ง animal pole เลย
</t>
    </r>
    <r>
      <rPr>
        <sz val="11"/>
        <color rgb="FF0070C0"/>
        <rFont val="Aptos Narrow"/>
        <family val="2"/>
        <scheme val="minor"/>
      </rPr>
      <t>No.1_Abnormal;Freeze-80@2025-09-30 Day6</t>
    </r>
  </si>
  <si>
    <t>AB</t>
  </si>
  <si>
    <t>day 1 =9.375 %</t>
  </si>
  <si>
    <t>AC</t>
  </si>
  <si>
    <t>AD</t>
  </si>
  <si>
    <t>AE</t>
  </si>
  <si>
    <t>AF</t>
  </si>
  <si>
    <t>AG</t>
  </si>
  <si>
    <t>AH</t>
  </si>
  <si>
    <t>AI</t>
  </si>
  <si>
    <t>TAB taiwan 20-3-25</t>
  </si>
  <si>
    <t>64 cell = 93.33%</t>
  </si>
  <si>
    <t>CSOF 6-8-25</t>
  </si>
  <si>
    <t>AJ</t>
  </si>
  <si>
    <t>day 1 = 71.66 %</t>
  </si>
  <si>
    <t>AK</t>
  </si>
  <si>
    <t>AL</t>
  </si>
  <si>
    <t>Day 1 =100 %</t>
  </si>
  <si>
    <t>No.2_Freeze 2028-09-26_death at Day 8 Freeze-80</t>
  </si>
  <si>
    <t>CSOF 2024-27</t>
  </si>
  <si>
    <t xml:space="preserve">day 1 =49.17 % </t>
  </si>
  <si>
    <t>No.3_Abnormal;Freeze-80@2025-09-30 Day7</t>
  </si>
  <si>
    <t>No.4_Abnormal ;Freeze-80@2025-09-30 Day7; Zebrafish with a curved tail</t>
  </si>
  <si>
    <t xml:space="preserve">NBD 5 4 cell = 59% </t>
  </si>
  <si>
    <t xml:space="preserve">day 1 = 45.45% </t>
  </si>
  <si>
    <t xml:space="preserve">NBD 6 128 cell = 91.22 % </t>
  </si>
  <si>
    <t xml:space="preserve">Day 1 = 74.56% </t>
  </si>
  <si>
    <t>No.5_abnormal;Freeze-80@2025-09-30 Day7</t>
  </si>
  <si>
    <t xml:space="preserve">switch injection step:
laser + inject cell </t>
  </si>
  <si>
    <t>No.6_normal Alive ; in system A@2025-09-30 Day4</t>
  </si>
  <si>
    <t>No.7_abnormal;Freeze-80@2025-09-30 Day4</t>
  </si>
  <si>
    <t>TAB Taiwan 20-3-25</t>
  </si>
  <si>
    <t>NBD 2 256 cell = 83.11 %</t>
  </si>
  <si>
    <t>Day 1 = 74.02 %</t>
  </si>
  <si>
    <t>NBD 6 512 cell = 70 %</t>
  </si>
  <si>
    <t>Day 1= 55 %</t>
  </si>
  <si>
    <t>No.8_abnormal;Freeze-80@2025-10-02 Day4</t>
  </si>
  <si>
    <t>NBD 3 256 cell = 82.92 %</t>
  </si>
  <si>
    <t>Day 1 = 76.60 %</t>
  </si>
  <si>
    <t>No.10_abnormal;Freeze-80@2025-10-10 Day7; Zebrafish with a curved tail&amp; No.9_abnormal_degenerate</t>
  </si>
  <si>
    <t xml:space="preserve">Clone no.11 _at systemA </t>
  </si>
  <si>
    <t>NBD 4 64 cell = 90 %</t>
  </si>
  <si>
    <t>Day 1 = 80 %</t>
  </si>
  <si>
    <t>No.12_abnormal;Freeze-80@2025-10-10 Day3 ; Zebrafish with a curved tail</t>
  </si>
  <si>
    <t>No.13_abnormal;Freeze-80@2025-10-10 Day3; Zebrafish with a curved tail</t>
  </si>
  <si>
    <t>NBD 5 32 cell = 100 %</t>
  </si>
  <si>
    <t>Day 1 = 97.39 %</t>
  </si>
  <si>
    <t xml:space="preserve">Clone no.14_at systemA </t>
  </si>
  <si>
    <t xml:space="preserve">NBD 6 2 cell = 96.15% </t>
  </si>
  <si>
    <t>Day 1 =88.46 %</t>
  </si>
  <si>
    <t>No.15 abnormal ;Freeze-80@2025-10-17 Day3</t>
  </si>
  <si>
    <t>No.16 abnormal ;Freeze-80@2025-10-10 Day3</t>
  </si>
  <si>
    <t>NBD 5 4 cell =63.63 %</t>
  </si>
  <si>
    <t>Day 1 = 59 %</t>
  </si>
  <si>
    <t>No.17 abnormal ;Freeze-80@2025-10-21 Day 5</t>
  </si>
  <si>
    <t>NBD 5 2 cell = 76.92 %</t>
  </si>
  <si>
    <t>CSOF 16-2021</t>
  </si>
  <si>
    <t>Day 1 38.46 %</t>
  </si>
  <si>
    <t>NBD 7 2 cell =88.70 %</t>
  </si>
  <si>
    <t xml:space="preserve">No.18 normal;Hatch day 2 </t>
  </si>
  <si>
    <t>Day 1 =87.09 %</t>
  </si>
  <si>
    <t>normal</t>
  </si>
  <si>
    <t xml:space="preserve">No.19 &amp; No.20 normal;Hatch day 2 </t>
  </si>
  <si>
    <t xml:space="preserve">No.21 normal;Hatch day 2 </t>
  </si>
  <si>
    <t>No.22 Abnormal,short-tailed zebrafish</t>
  </si>
  <si>
    <t xml:space="preserve">No.23 normal ;Hatch day 2 </t>
  </si>
  <si>
    <t>TAB Taiwan 20-3-2025</t>
  </si>
  <si>
    <t>NBD 2 4 cell =96.49 %</t>
  </si>
  <si>
    <t>No.24 normal</t>
  </si>
  <si>
    <t>Day 1 = 91.22 %</t>
  </si>
  <si>
    <t>NBD 2 2 cell = 90 %</t>
  </si>
  <si>
    <t>CSOF 19-2024</t>
  </si>
  <si>
    <t>Day 1 =90 %</t>
  </si>
  <si>
    <t>NBD 3 2 cell = 71.42 %</t>
  </si>
  <si>
    <t>Jan_1</t>
  </si>
  <si>
    <t>Day 3 = 57.14 %</t>
  </si>
  <si>
    <t>Jan_2</t>
  </si>
  <si>
    <t>Jan_3</t>
  </si>
  <si>
    <t>Jan_4</t>
  </si>
  <si>
    <t>Jan_5</t>
  </si>
  <si>
    <t>Jan_6</t>
  </si>
  <si>
    <t>Jan_7</t>
  </si>
  <si>
    <t>Jan_8</t>
  </si>
  <si>
    <t>Jan_9</t>
  </si>
  <si>
    <t>Jan_10</t>
  </si>
  <si>
    <t>NBD 3 2 cell= 93.75 %</t>
  </si>
  <si>
    <t>Day 1 = 93.75 %</t>
  </si>
  <si>
    <t>No.25 normal</t>
  </si>
  <si>
    <t>NBD 3 2 cell =83.33 %</t>
  </si>
  <si>
    <t>Day 3 =83.33 %</t>
  </si>
  <si>
    <t>NBD 2 2 cell = 100 %</t>
  </si>
  <si>
    <t>Day 3 = 90.325 %</t>
  </si>
  <si>
    <t>No.26 abnormal</t>
  </si>
  <si>
    <t>No.27 normal</t>
  </si>
  <si>
    <t>No.28 normal</t>
  </si>
  <si>
    <t>No.29 normal</t>
  </si>
  <si>
    <t>NBD 3 2 cell = 81.4 %</t>
  </si>
  <si>
    <t>CSOF 3-2021</t>
  </si>
  <si>
    <t>Day 3 =81.42 %</t>
  </si>
  <si>
    <t>No.30 normal</t>
  </si>
  <si>
    <t>No.31 normal</t>
  </si>
  <si>
    <t>NBD 8 4 cell = 88 %</t>
  </si>
  <si>
    <t>Day 3 =14.28 %</t>
  </si>
  <si>
    <t>Name 
of cell</t>
  </si>
  <si>
    <t>Number of
Section (50 section)</t>
  </si>
  <si>
    <t>No.
of embryo</t>
  </si>
  <si>
    <t>No. of 
clone embryo</t>
  </si>
  <si>
    <t>% of normal</t>
  </si>
  <si>
    <t>% of abnormal</t>
  </si>
  <si>
    <t xml:space="preserve">normal in system </t>
  </si>
  <si>
    <t>Total</t>
  </si>
  <si>
    <t>DOB</t>
  </si>
  <si>
    <t>Date of Freeze -20</t>
  </si>
  <si>
    <t>Lot.CSOF</t>
  </si>
  <si>
    <t>Status (@2025-11-11)</t>
  </si>
  <si>
    <t>Zebrafish box</t>
  </si>
  <si>
    <t>alive/abnormal freeze at Day 6</t>
  </si>
  <si>
    <t>Freeze</t>
  </si>
  <si>
    <t>death at day 8</t>
  </si>
  <si>
    <t>alive/abnormal freeze at  Day 7</t>
  </si>
  <si>
    <t>No.4_Clone3-NHGRI cell-12</t>
  </si>
  <si>
    <t>No.5_Clone1-AB cell-16</t>
  </si>
  <si>
    <t>No.6_Clone3-AB cell-16</t>
  </si>
  <si>
    <t>Alive</t>
  </si>
  <si>
    <t>Normal alive at fish room 2025-09-29</t>
  </si>
  <si>
    <t>Day 46</t>
  </si>
  <si>
    <t>No.7_Clone5-AB cell-16</t>
  </si>
  <si>
    <t>alive/abnormal freeze at Day 4</t>
  </si>
  <si>
    <t>No.9_Clone4-AB cell-17</t>
  </si>
  <si>
    <t>Alive abnormal/degenerate</t>
  </si>
  <si>
    <t>Disscard</t>
  </si>
  <si>
    <t>No.10_Clone4-AB cell-17</t>
  </si>
  <si>
    <t>No.11_Clone4-AB cell-17</t>
  </si>
  <si>
    <t>Alive normal / fish room</t>
  </si>
  <si>
    <t>Day 39</t>
  </si>
  <si>
    <t>No.12_Clone2-TU cell-13</t>
  </si>
  <si>
    <t>alive/abnormal freeze at Day 3</t>
  </si>
  <si>
    <t>No.13_Clone5-TU cell-13</t>
  </si>
  <si>
    <t>No.14_Clone4-NHGRI-14</t>
  </si>
  <si>
    <t>Normal alive at fish room 2025-10-13</t>
  </si>
  <si>
    <t>Day 32</t>
  </si>
  <si>
    <t>No.15_Clone5-AB cell-18</t>
  </si>
  <si>
    <t>No.16_Clone6-AB cell-18</t>
  </si>
  <si>
    <t>NHGRI Chunks cells-1</t>
  </si>
  <si>
    <t>alive/abnormal freeze at Day 5</t>
  </si>
  <si>
    <t>No.18_Clone3-NHGRI cell-15</t>
  </si>
  <si>
    <t>CSOF 2021-16</t>
  </si>
  <si>
    <t xml:space="preserve">Alive normal </t>
  </si>
  <si>
    <t>Day 22</t>
  </si>
  <si>
    <t>Box-4
There were 5 fish. 
One died, so 4 are left.</t>
  </si>
  <si>
    <t>No.19_Clone1-NHGRI cell-15</t>
  </si>
  <si>
    <t>Alive normal</t>
  </si>
  <si>
    <t>No.20_Clone1-NHGRI cell-15</t>
  </si>
  <si>
    <t>No.21_Clone4-NHGRI cell-15</t>
  </si>
  <si>
    <t>No.22_Clone5-NHGRI cell-15</t>
  </si>
  <si>
    <t>No.23_Clone1-NHGRI cell-15</t>
  </si>
  <si>
    <t>No.24_Clone6-AB cell-19</t>
  </si>
  <si>
    <t>Alive abnormal/ degenerate at day 8</t>
  </si>
  <si>
    <t>No.25_Clone7-TU cell-01</t>
  </si>
  <si>
    <t>Day 12</t>
  </si>
  <si>
    <t>No.26_Clone4-TU cell-02</t>
  </si>
  <si>
    <t>alive/abnormal freeze at Day  6</t>
  </si>
  <si>
    <t>No.27_Clone1-TU cell-02</t>
  </si>
  <si>
    <t>Day 8</t>
  </si>
  <si>
    <t>Box-6
There were 3 fish.
One died, so 2 are left.</t>
  </si>
  <si>
    <t>No.28_Clone1-TU cell-02</t>
  </si>
  <si>
    <t>No.29_Clone8-TU cell-02</t>
  </si>
  <si>
    <t>No.30_Clone2-AB cell-04</t>
  </si>
  <si>
    <t>Day 4</t>
  </si>
  <si>
    <t>No.31_Clone5-AB cell-04</t>
  </si>
  <si>
    <t>STATUS</t>
  </si>
  <si>
    <t>AGE of clone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</si>
  <si>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</si>
  <si>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</si>
  <si>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</si>
  <si>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</si>
  <si>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</si>
  <si>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</si>
  <si>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</si>
  <si>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</si>
  <si>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</si>
  <si>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</si>
  <si>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</si>
  <si>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</si>
  <si>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</si>
  <si>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</si>
  <si>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</si>
  <si>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</si>
  <si>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</si>
  <si>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</si>
  <si>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</si>
  <si>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</si>
  <si>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</si>
  <si>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</si>
  <si>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</si>
  <si>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</si>
  <si>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</si>
  <si>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</si>
  <si>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</si>
  <si>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</si>
  <si>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</si>
  <si>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</si>
  <si>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</si>
  <si>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</si>
  <si>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</si>
  <si>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</si>
  <si>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</si>
  <si>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</si>
  <si>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</si>
  <si>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</si>
  <si>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</si>
  <si>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</si>
  <si>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</si>
  <si>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</si>
  <si>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</si>
  <si>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</si>
  <si>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</si>
  <si>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</si>
  <si>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</si>
  <si>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</si>
  <si>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</si>
  <si>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</si>
  <si>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</si>
  <si>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</si>
  <si>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</si>
  <si>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</si>
  <si>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</si>
  <si>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</si>
  <si>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</si>
  <si>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</si>
  <si>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</si>
  <si>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</si>
  <si>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</si>
  <si>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</si>
  <si>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</si>
  <si>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</si>
  <si>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Frozen</t>
  </si>
  <si>
    <t>Discarded</t>
  </si>
  <si>
    <t>degenerate at day 5 in system (2025-11-08)</t>
  </si>
  <si>
    <t>No.28_Clone2-TU cell-02</t>
  </si>
  <si>
    <t>CSOF 2021-3</t>
  </si>
  <si>
    <t>No.</t>
  </si>
  <si>
    <t>Total
Egg</t>
  </si>
  <si>
    <t xml:space="preserve">2-cell
</t>
  </si>
  <si>
    <t xml:space="preserve">4-cell
</t>
  </si>
  <si>
    <t xml:space="preserve">8-cell
</t>
  </si>
  <si>
    <t xml:space="preserve">16-cell
</t>
  </si>
  <si>
    <t xml:space="preserve">32-cell
</t>
  </si>
  <si>
    <t xml:space="preserve">64-cell
</t>
  </si>
  <si>
    <t xml:space="preserve">128-cell
</t>
  </si>
  <si>
    <t xml:space="preserve">256-cell
</t>
  </si>
  <si>
    <t xml:space="preserve">512-cell
</t>
  </si>
  <si>
    <t xml:space="preserve">1k-cell
</t>
  </si>
  <si>
    <t xml:space="preserve">High
</t>
  </si>
  <si>
    <t xml:space="preserve">Oblong
</t>
  </si>
  <si>
    <t xml:space="preserve">Sphere
</t>
  </si>
  <si>
    <t xml:space="preserve">Dome
</t>
  </si>
  <si>
    <t xml:space="preserve">30%epi
</t>
  </si>
  <si>
    <t xml:space="preserve">50%epi
</t>
  </si>
  <si>
    <t>Germ ring</t>
  </si>
  <si>
    <t xml:space="preserve">Shield
</t>
  </si>
  <si>
    <t xml:space="preserve">75%epi
</t>
  </si>
  <si>
    <t xml:space="preserve">90%epi
</t>
  </si>
  <si>
    <t>%</t>
  </si>
  <si>
    <t xml:space="preserve">NHGRI </t>
  </si>
  <si>
    <t>E2_2025-11-20</t>
  </si>
  <si>
    <t>NHGRI dissociated cells-17</t>
  </si>
  <si>
    <t>normal ลง system แล้ว</t>
  </si>
  <si>
    <t>E9_2025-11-25</t>
  </si>
  <si>
    <t>NHGRI dissociated cells-18</t>
  </si>
  <si>
    <t xml:space="preserve">       </t>
  </si>
  <si>
    <t>NHGRI dissociated cells-19</t>
  </si>
  <si>
    <t xml:space="preserve">CSOF 2021-3 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</si>
  <si>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</si>
  <si>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</si>
  <si>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</si>
  <si>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</si>
  <si>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</si>
  <si>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</si>
  <si>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</si>
  <si>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</si>
  <si>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</si>
  <si>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</si>
  <si>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</si>
  <si>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</si>
  <si>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</si>
  <si>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</si>
  <si>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</si>
  <si>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</si>
  <si>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</si>
  <si>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</si>
  <si>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</si>
  <si>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</si>
  <si>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</si>
  <si>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</si>
  <si>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</si>
  <si>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</si>
  <si>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</si>
  <si>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</si>
  <si>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</si>
  <si>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</si>
  <si>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</si>
  <si>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</si>
  <si>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</si>
  <si>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</si>
  <si>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</si>
  <si>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</si>
  <si>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</si>
  <si>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</si>
  <si>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No.32 normal</t>
  </si>
  <si>
    <t>No.37 abnormal</t>
  </si>
  <si>
    <t>No.39 normal</t>
  </si>
  <si>
    <t>No.41 abnormal</t>
  </si>
  <si>
    <t>No.42 abnormal</t>
  </si>
  <si>
    <t>No.43 abnormal</t>
  </si>
  <si>
    <t>No.33 &amp;34 normal</t>
  </si>
  <si>
    <t>No.35 abnormal</t>
  </si>
  <si>
    <t>No.36 normal</t>
  </si>
  <si>
    <t>No.38 abnormal</t>
  </si>
  <si>
    <t>No.40 normal</t>
  </si>
  <si>
    <t>No.44 abnormal</t>
  </si>
  <si>
    <t>No.45 normal</t>
  </si>
  <si>
    <t>No.46 abnormal</t>
  </si>
  <si>
    <t xml:space="preserve">    </t>
  </si>
  <si>
    <t>NBD 5 4 cell =90.72 %</t>
  </si>
  <si>
    <t>Day 3 =86.59 %</t>
  </si>
  <si>
    <t>NBD 2 2 cell =59.09 %</t>
  </si>
  <si>
    <t>Day 2 = 59.09 %</t>
  </si>
  <si>
    <t>Long Fin 23-5-25</t>
  </si>
  <si>
    <t>NBD 9 4 cell = 100 %</t>
  </si>
  <si>
    <t>Day 3 = 81.25 %</t>
  </si>
  <si>
    <t>NBD 1 4 cell = 84.21 %</t>
  </si>
  <si>
    <t>Day 3 = 75.43 %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</si>
  <si>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</si>
  <si>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</si>
  <si>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</si>
  <si>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</si>
  <si>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</si>
  <si>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</si>
  <si>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</si>
  <si>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</si>
  <si>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</si>
  <si>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</si>
  <si>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</si>
  <si>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</si>
  <si>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</si>
  <si>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</si>
  <si>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</si>
  <si>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</si>
  <si>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</si>
  <si>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</si>
  <si>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</si>
  <si>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</si>
  <si>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</si>
  <si>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</si>
  <si>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</si>
  <si>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</si>
  <si>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</si>
  <si>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</si>
  <si>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</si>
  <si>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</si>
  <si>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</si>
  <si>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</si>
  <si>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</si>
  <si>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</si>
  <si>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</si>
  <si>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</si>
  <si>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</si>
  <si>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</si>
  <si>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</si>
  <si>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</si>
  <si>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</si>
  <si>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</si>
  <si>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</si>
  <si>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</si>
  <si>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</si>
  <si>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</si>
  <si>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</si>
  <si>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</si>
  <si>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</si>
  <si>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</si>
  <si>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</si>
  <si>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</si>
  <si>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</si>
  <si>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</si>
  <si>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</si>
  <si>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</si>
  <si>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</si>
  <si>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</si>
  <si>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</si>
  <si>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</si>
  <si>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</si>
  <si>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</si>
  <si>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</si>
  <si>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</si>
  <si>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</si>
  <si>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</si>
  <si>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</si>
  <si>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</si>
  <si>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</si>
  <si>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</si>
  <si>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</si>
  <si>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</si>
  <si>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</si>
  <si>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</si>
  <si>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</si>
  <si>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</si>
  <si>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</si>
  <si>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</si>
  <si>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</si>
  <si>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</si>
  <si>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</si>
  <si>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</si>
  <si>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No.32_Clone1-NHGRI_cell-17</t>
  </si>
  <si>
    <t>No.33_Clone1-NHGRI_cell-18</t>
  </si>
  <si>
    <t>No.34_Clone1-NHGRI_cell-18</t>
  </si>
  <si>
    <t>No.36_Clone6-NHGRI_cell-18</t>
  </si>
  <si>
    <t>No.45_Clone1-NHGRI_cell-19</t>
  </si>
  <si>
    <t>SEX</t>
  </si>
  <si>
    <t>cut tail</t>
  </si>
  <si>
    <t>F</t>
  </si>
  <si>
    <t>M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</si>
  <si>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</si>
  <si>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</si>
  <si>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</si>
  <si>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</si>
  <si>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</si>
  <si>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</si>
  <si>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</si>
  <si>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</si>
  <si>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</si>
  <si>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</si>
  <si>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</si>
  <si>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</si>
  <si>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</si>
  <si>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</si>
  <si>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</si>
  <si>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</si>
  <si>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</si>
  <si>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</si>
  <si>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</si>
  <si>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</si>
  <si>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</si>
  <si>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</si>
  <si>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</si>
  <si>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</si>
  <si>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</si>
  <si>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</si>
  <si>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</si>
  <si>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</si>
  <si>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</si>
  <si>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</si>
  <si>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</si>
  <si>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</si>
  <si>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</si>
  <si>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</si>
  <si>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</si>
  <si>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</si>
  <si>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</si>
  <si>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</si>
  <si>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</si>
  <si>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</si>
  <si>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% IVF</t>
  </si>
  <si>
    <t>CODE: Clone(CL)</t>
  </si>
  <si>
    <t>CODE: Recipient tail(RT)</t>
  </si>
  <si>
    <t>CODE: Donor cell(DC)</t>
  </si>
  <si>
    <t>DOB of clone</t>
  </si>
  <si>
    <t>Recipient breed</t>
  </si>
  <si>
    <t>No of recipient egg</t>
  </si>
  <si>
    <t>Donor cell</t>
  </si>
  <si>
    <t>Status</t>
  </si>
  <si>
    <t>Specimen type</t>
  </si>
  <si>
    <t>Sex</t>
  </si>
  <si>
    <t>Fin clip</t>
  </si>
  <si>
    <t>Age of clone</t>
  </si>
  <si>
    <t>CL1</t>
  </si>
  <si>
    <t>RT1</t>
  </si>
  <si>
    <t>DC1</t>
  </si>
  <si>
    <t>TAB Taiwan 28-11-24</t>
  </si>
  <si>
    <t>E7</t>
  </si>
  <si>
    <t>Whole embryo</t>
  </si>
  <si>
    <t>CL2</t>
  </si>
  <si>
    <t>RT2</t>
  </si>
  <si>
    <t>DC2</t>
  </si>
  <si>
    <t>TAB Taiwan 20-03-25</t>
  </si>
  <si>
    <t>E4</t>
  </si>
  <si>
    <t>CL3</t>
  </si>
  <si>
    <t>RT3</t>
  </si>
  <si>
    <t>DC3</t>
  </si>
  <si>
    <t>E6</t>
  </si>
  <si>
    <t>CL4</t>
  </si>
  <si>
    <t>CL5</t>
  </si>
  <si>
    <t>RT4</t>
  </si>
  <si>
    <t>DC4</t>
  </si>
  <si>
    <t>E5</t>
  </si>
  <si>
    <t>CL6</t>
  </si>
  <si>
    <t>Caudal fin clip</t>
  </si>
  <si>
    <t>CL7</t>
  </si>
  <si>
    <t>CL8</t>
  </si>
  <si>
    <t>RT5</t>
  </si>
  <si>
    <t>DC5</t>
  </si>
  <si>
    <t>RT6</t>
  </si>
  <si>
    <t>DC6</t>
  </si>
  <si>
    <t>E3</t>
  </si>
  <si>
    <t>CL9</t>
  </si>
  <si>
    <t>CL10</t>
  </si>
  <si>
    <t>CL11</t>
  </si>
  <si>
    <t>RT7</t>
  </si>
  <si>
    <t>DC7</t>
  </si>
  <si>
    <t>CL12</t>
  </si>
  <si>
    <t>RT8</t>
  </si>
  <si>
    <t>DC8</t>
  </si>
  <si>
    <t>CL13</t>
  </si>
  <si>
    <t>RT9</t>
  </si>
  <si>
    <t>DC9</t>
  </si>
  <si>
    <t>CL14</t>
  </si>
  <si>
    <t>CL15</t>
  </si>
  <si>
    <t>RT10</t>
  </si>
  <si>
    <t>DC10</t>
  </si>
  <si>
    <t>CL16</t>
  </si>
  <si>
    <t>DC12</t>
  </si>
  <si>
    <t>CL17</t>
  </si>
  <si>
    <t>CL18</t>
  </si>
  <si>
    <t>CL19</t>
  </si>
  <si>
    <t>RT11</t>
  </si>
  <si>
    <t>CL20</t>
  </si>
  <si>
    <t>RT12</t>
  </si>
  <si>
    <t>DC13</t>
  </si>
  <si>
    <t>E2</t>
  </si>
  <si>
    <t>CL21</t>
  </si>
  <si>
    <t>RT13</t>
  </si>
  <si>
    <t>DC14</t>
  </si>
  <si>
    <t>CL22</t>
  </si>
  <si>
    <t>DC15</t>
  </si>
  <si>
    <t>CL23</t>
  </si>
  <si>
    <t>RT14</t>
  </si>
  <si>
    <t>DC16</t>
  </si>
  <si>
    <t>CL24</t>
  </si>
  <si>
    <t>CL25</t>
  </si>
  <si>
    <t>RT15</t>
  </si>
  <si>
    <t>DC17</t>
  </si>
  <si>
    <t>CL26</t>
  </si>
  <si>
    <t>RT16</t>
  </si>
  <si>
    <t>DC18</t>
  </si>
  <si>
    <t>LongFin 23-05-25</t>
  </si>
  <si>
    <t>E9</t>
  </si>
  <si>
    <t>Anal fin clip</t>
  </si>
  <si>
    <t>CL27</t>
  </si>
  <si>
    <t>CL28</t>
  </si>
  <si>
    <t>RT17</t>
  </si>
  <si>
    <t>DC19</t>
  </si>
  <si>
    <t>E1</t>
  </si>
  <si>
    <t>CL29</t>
  </si>
  <si>
    <t>CODE</t>
  </si>
  <si>
    <t>Definition</t>
  </si>
  <si>
    <t xml:space="preserve">CL = Clone </t>
  </si>
  <si>
    <t>RT = Recipient Tail</t>
  </si>
  <si>
    <t>DC = Donor cell</t>
  </si>
  <si>
    <t>left over cells</t>
  </si>
  <si>
    <t>CL30</t>
  </si>
  <si>
    <t>CL31</t>
  </si>
  <si>
    <t>Day 1 =72 %</t>
  </si>
  <si>
    <t xml:space="preserve">IVF 2 before  64 cell = 90 % </t>
  </si>
  <si>
    <t>Day 1 =70 %</t>
  </si>
  <si>
    <t>Day 1 = 52 %</t>
  </si>
  <si>
    <t>IVF 2 after 30% epiboly 80 %</t>
  </si>
  <si>
    <t>IVF 6 before 16 cell = 76 %</t>
  </si>
  <si>
    <t>IVF 6 after sphere 54 %</t>
  </si>
  <si>
    <t>IVF 3 before 30% epiboly = 85 %</t>
  </si>
  <si>
    <t>Day 1 =</t>
  </si>
  <si>
    <t>IVF 3 after sphere = 80 %</t>
  </si>
  <si>
    <t>IVF 7  before sphere = 10 %</t>
  </si>
  <si>
    <t>Day 1 = 10 %</t>
  </si>
  <si>
    <t>IVF 7 after higt =24 %</t>
  </si>
  <si>
    <t>Day 1 = 4 %</t>
  </si>
  <si>
    <t>IVF 4 before 4 cell = 74 %</t>
  </si>
  <si>
    <t>Day 1 = 54 %</t>
  </si>
  <si>
    <t>IVF 4 after 64 cell = 74 %</t>
  </si>
  <si>
    <t>Day 1 = 60 %</t>
  </si>
  <si>
    <t>NBD 4 128 cell =100 %</t>
  </si>
  <si>
    <t>NBD 6 40.90 %</t>
  </si>
  <si>
    <t xml:space="preserve">Day 1 = </t>
  </si>
  <si>
    <t>IVF 4 before 16 cell = 40 %</t>
  </si>
  <si>
    <t>IVF 4 after high = 42 cell</t>
  </si>
  <si>
    <t>IVF 6 before sphere = 56 %</t>
  </si>
  <si>
    <t>IVF 6 after high = 28 %</t>
  </si>
  <si>
    <t xml:space="preserve"> NBD 6 64 cell = 65.57 %</t>
  </si>
  <si>
    <t>IVF 6 before 2 cell = 100 %</t>
  </si>
  <si>
    <t>IVF 6 after sphere 60 %</t>
  </si>
  <si>
    <t>IVF 5 before  16 cell = 32 %</t>
  </si>
  <si>
    <t>IVF 5 after oblong =16 %</t>
  </si>
  <si>
    <t>IVF 6 before 4 cell = 100 %</t>
  </si>
  <si>
    <t>IVF 6 after oblong = 80 %</t>
  </si>
  <si>
    <t>IVF 4 before sphere = 96 %</t>
  </si>
  <si>
    <t>Day 1 = 88 %</t>
  </si>
  <si>
    <t>IVF 4 after high = 70 %</t>
  </si>
  <si>
    <t>Day 1 = 64 %</t>
  </si>
  <si>
    <t>IVF 5 before 30% epiboly =96 %</t>
  </si>
  <si>
    <t>IVF 5 after high =84 %</t>
  </si>
  <si>
    <t>IVF 6 before shield = 84 %</t>
  </si>
  <si>
    <t>Day 1 =76 %</t>
  </si>
  <si>
    <t>Day 1 =60 %</t>
  </si>
  <si>
    <t>IVF 5 before 30% epiboly =62 %</t>
  </si>
  <si>
    <t>IVF 5 after oblong = 64 %</t>
  </si>
  <si>
    <t>Day 1 = 40 %</t>
  </si>
  <si>
    <t>RT20</t>
  </si>
  <si>
    <t>RT18</t>
  </si>
  <si>
    <t>RT19</t>
  </si>
  <si>
    <t>Day3</t>
  </si>
  <si>
    <t>Day4-5</t>
  </si>
  <si>
    <t>Group</t>
  </si>
  <si>
    <t>No.35_Clone5-NHGRI_cell-18</t>
  </si>
  <si>
    <t>No.39_Clone2-NHGRI_cell-19</t>
  </si>
  <si>
    <t>No.40_Clone3-NHGRI_cell-19</t>
  </si>
  <si>
    <t>No.37_Clone2-NHGRI_cell-18</t>
  </si>
  <si>
    <t>No.38_Clone3-NHGRI_cell-18</t>
  </si>
  <si>
    <t>No.41_Clone4-NHGRI_cell-19</t>
  </si>
  <si>
    <t>No.42_Clone5-NHGRI_cell-19</t>
  </si>
  <si>
    <t>No.43_Clone6-NHGRI_cell-19</t>
  </si>
  <si>
    <t>No.44_Clone7-NHGRI_cell-19</t>
  </si>
  <si>
    <t>No.46_Clone3-NHGRI_cell-19</t>
  </si>
  <si>
    <t>abnormal clone ที่เพิ่มเมื่อวันที่ 17 April 2026 by June น่าจะลืมใส่ by some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</si>
</sst>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h:mm;@"/>
    <numFmt numFmtId="166" formatCode="[$-D00041E]0"/>
  </numFmts>
  <fonts count="44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CCCC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charset val="22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9" tint="-0.499984740745262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20"/>
      <color theme="1"/>
      <name val="Aptos Narrow"/>
      <family val="2"/>
      <scheme val="minor"/>
    </font>
    <font>
      <b/>
      <sz val="20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375375"/>
      <name val="Inter"/>
    </font>
    <font>
      <b/>
      <sz val="11"/>
      <color rgb="FF7030A0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theme="3" tint="0.499984740745262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</font>
    <font>
      <sz val="11"/>
      <color theme="10"/>
      <name val="Aptos Narrow"/>
      <family val="2"/>
      <scheme val="minor"/>
    </font>
    <font>
      <sz val="11"/>
      <color theme="1"/>
      <name val="Tahoma"/>
      <family val="2"/>
    </font>
    <font>
      <sz val="11"/>
      <color theme="1"/>
      <name val="Wingdings"/>
      <charset val="2"/>
    </font>
    <font>
      <b/>
      <sz val="12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Tahoma"/>
      <family val="2"/>
    </font>
    <font>
      <sz val="11"/>
      <color rgb="FF0070C0"/>
      <name val="Wingdings"/>
      <charset val="2"/>
    </font>
    <font>
      <sz val="11"/>
      <color rgb="FF7030A0"/>
      <name val="Aptos Narrow"/>
      <family val="2"/>
      <scheme val="minor"/>
    </font>
    <font>
      <b/>
      <sz val="12"/>
      <color rgb="FF0A0A0A"/>
      <name val="Arial"/>
      <family val="2"/>
    </font>
    <font>
      <sz val="8"/>
      <color rgb="FF000000"/>
      <name val="Segoe UI"/>
      <family val="2"/>
    </font>
    <font>
      <sz val="1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rgb="FF3F3F3F"/>
      </top>
      <bottom/>
      <diagonal/>
    </border>
    <border>
      <left style="thin">
        <color indexed="64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3F3F3F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3F3F3F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/>
      <top style="medium">
        <color indexed="64"/>
      </top>
      <bottom/>
      <diagonal/>
    </border>
    <border>
      <left/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/>
      <top style="medium">
        <color indexed="64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0" fillId="0" borderId="0" applyNumberFormat="0" applyFill="0" applyBorder="0" applyAlignment="0" applyProtection="0"/>
  </cellStyleXfs>
  <cellXfs count="751">
    <xf numFmtId="0" fontId="0" fillId="0" borderId="0" xfId="0"/>
    <xf numFmtId="0" fontId="1" fillId="2" borderId="3" xfId="1" applyBorder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1" fillId="2" borderId="14" xfId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26" xfId="0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6" xfId="0" applyFont="1" applyBorder="1" applyAlignment="1">
      <alignment vertical="center"/>
    </xf>
    <xf numFmtId="0" fontId="0" fillId="3" borderId="19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164" fontId="0" fillId="0" borderId="30" xfId="0" applyNumberFormat="1" applyBorder="1" applyAlignment="1">
      <alignment horizontal="center"/>
    </xf>
    <xf numFmtId="2" fontId="0" fillId="0" borderId="21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4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1" fillId="2" borderId="14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2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6" xfId="0" applyFill="1" applyBorder="1" applyAlignment="1">
      <alignment horizontal="center" vertical="center"/>
    </xf>
    <xf numFmtId="0" fontId="0" fillId="0" borderId="26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 applyAlignment="1">
      <alignment horizontal="center"/>
    </xf>
    <xf numFmtId="0" fontId="0" fillId="0" borderId="26" xfId="0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0" borderId="26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6" xfId="0" applyFill="1" applyBorder="1" applyAlignment="1">
      <alignment horizontal="center"/>
    </xf>
    <xf numFmtId="0" fontId="1" fillId="2" borderId="1" xfId="1"/>
    <xf numFmtId="0" fontId="3" fillId="0" borderId="22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6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21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7" fillId="0" borderId="26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6" xfId="0" applyFont="1" applyBorder="1"/>
    <xf numFmtId="0" fontId="8" fillId="0" borderId="25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26" xfId="0" applyNumberFormat="1" applyFont="1" applyBorder="1" applyAlignment="1">
      <alignment horizontal="center"/>
    </xf>
    <xf numFmtId="0" fontId="0" fillId="0" borderId="22" xfId="0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0" borderId="28" xfId="0" applyBorder="1" applyAlignment="1">
      <alignment horizontal="center"/>
    </xf>
    <xf numFmtId="0" fontId="0" fillId="8" borderId="28" xfId="0" applyFill="1" applyBorder="1" applyAlignment="1">
      <alignment horizontal="center"/>
    </xf>
    <xf numFmtId="164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15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8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28" xfId="0" applyFill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" fillId="2" borderId="3" xfId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" fillId="2" borderId="38" xfId="1" applyBorder="1" applyAlignment="1">
      <alignment horizontal="center" vertical="center" wrapText="1"/>
    </xf>
    <xf numFmtId="0" fontId="17" fillId="0" borderId="0" xfId="0" applyFont="1"/>
    <xf numFmtId="0" fontId="17" fillId="0" borderId="26" xfId="0" applyFont="1" applyBorder="1"/>
    <xf numFmtId="0" fontId="17" fillId="0" borderId="2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12" borderId="25" xfId="0" applyFont="1" applyFill="1" applyBorder="1" applyAlignment="1">
      <alignment horizontal="center"/>
    </xf>
    <xf numFmtId="0" fontId="17" fillId="12" borderId="26" xfId="0" applyFont="1" applyFill="1" applyBorder="1" applyAlignment="1">
      <alignment horizontal="center"/>
    </xf>
    <xf numFmtId="0" fontId="0" fillId="0" borderId="31" xfId="0" applyBorder="1" applyAlignment="1">
      <alignment vertical="center"/>
    </xf>
    <xf numFmtId="0" fontId="0" fillId="0" borderId="28" xfId="0" applyBorder="1" applyAlignment="1">
      <alignment vertical="center"/>
    </xf>
    <xf numFmtId="0" fontId="17" fillId="0" borderId="25" xfId="0" applyFont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5" fillId="0" borderId="1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26" xfId="0" applyFont="1" applyBorder="1" applyAlignment="1">
      <alignment horizontal="center"/>
    </xf>
    <xf numFmtId="0" fontId="1" fillId="2" borderId="30" xfId="1" applyNumberFormat="1" applyBorder="1" applyAlignment="1">
      <alignment vertical="center" wrapText="1"/>
    </xf>
    <xf numFmtId="0" fontId="1" fillId="2" borderId="30" xfId="1" applyBorder="1" applyAlignment="1">
      <alignment vertical="center" wrapText="1"/>
    </xf>
    <xf numFmtId="0" fontId="3" fillId="0" borderId="30" xfId="0" applyFont="1" applyBorder="1" applyAlignment="1">
      <alignment vertical="center"/>
    </xf>
    <xf numFmtId="0" fontId="21" fillId="0" borderId="0" xfId="0" applyFont="1"/>
    <xf numFmtId="0" fontId="22" fillId="0" borderId="54" xfId="0" applyFont="1" applyBorder="1" applyAlignment="1">
      <alignment horizontal="center" vertical="center"/>
    </xf>
    <xf numFmtId="0" fontId="3" fillId="0" borderId="41" xfId="0" applyFont="1" applyBorder="1"/>
    <xf numFmtId="0" fontId="3" fillId="0" borderId="55" xfId="0" applyFont="1" applyBorder="1"/>
    <xf numFmtId="0" fontId="22" fillId="0" borderId="24" xfId="0" applyFont="1" applyBorder="1" applyAlignment="1">
      <alignment horizontal="center" vertical="center"/>
    </xf>
    <xf numFmtId="0" fontId="3" fillId="0" borderId="23" xfId="0" applyFont="1" applyBorder="1"/>
    <xf numFmtId="0" fontId="3" fillId="0" borderId="56" xfId="0" applyFont="1" applyBorder="1"/>
    <xf numFmtId="0" fontId="22" fillId="0" borderId="31" xfId="0" applyFont="1" applyBorder="1" applyAlignment="1">
      <alignment horizontal="center" vertical="center"/>
    </xf>
    <xf numFmtId="0" fontId="3" fillId="0" borderId="29" xfId="0" applyFont="1" applyBorder="1"/>
    <xf numFmtId="0" fontId="3" fillId="0" borderId="52" xfId="0" applyFont="1" applyBorder="1"/>
    <xf numFmtId="0" fontId="22" fillId="0" borderId="20" xfId="0" applyFont="1" applyBorder="1" applyAlignment="1">
      <alignment horizontal="center" vertical="center"/>
    </xf>
    <xf numFmtId="0" fontId="3" fillId="0" borderId="19" xfId="0" applyFont="1" applyBorder="1"/>
    <xf numFmtId="0" fontId="3" fillId="0" borderId="57" xfId="0" applyFont="1" applyBorder="1"/>
    <xf numFmtId="0" fontId="22" fillId="0" borderId="59" xfId="0" applyFont="1" applyBorder="1"/>
    <xf numFmtId="0" fontId="3" fillId="0" borderId="60" xfId="0" applyFont="1" applyBorder="1"/>
    <xf numFmtId="0" fontId="3" fillId="0" borderId="61" xfId="0" applyFont="1" applyBorder="1"/>
    <xf numFmtId="0" fontId="20" fillId="2" borderId="30" xfId="1" applyFont="1" applyBorder="1" applyAlignment="1">
      <alignment horizontal="center" vertical="center"/>
    </xf>
    <xf numFmtId="0" fontId="20" fillId="2" borderId="30" xfId="1" applyFont="1" applyBorder="1" applyAlignment="1">
      <alignment horizontal="center" vertical="center" wrapText="1"/>
    </xf>
    <xf numFmtId="0" fontId="20" fillId="2" borderId="40" xfId="1" applyFont="1" applyBorder="1" applyAlignment="1">
      <alignment horizontal="center" vertical="center"/>
    </xf>
    <xf numFmtId="0" fontId="1" fillId="2" borderId="30" xfId="1" applyNumberFormat="1" applyBorder="1" applyAlignment="1">
      <alignment horizontal="center" vertical="center" wrapText="1"/>
    </xf>
    <xf numFmtId="0" fontId="1" fillId="3" borderId="30" xfId="1" applyNumberFormat="1" applyFill="1" applyBorder="1" applyAlignment="1">
      <alignment horizontal="center" vertical="center" wrapText="1"/>
    </xf>
    <xf numFmtId="2" fontId="1" fillId="2" borderId="30" xfId="1" applyNumberFormat="1" applyBorder="1" applyAlignment="1">
      <alignment horizontal="center" vertical="center" wrapText="1"/>
    </xf>
    <xf numFmtId="164" fontId="0" fillId="0" borderId="18" xfId="0" applyNumberFormat="1" applyBorder="1" applyAlignment="1">
      <alignment horizontal="left" vertical="center"/>
    </xf>
    <xf numFmtId="164" fontId="0" fillId="0" borderId="19" xfId="0" applyNumberForma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" fillId="2" borderId="8" xfId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164" fontId="17" fillId="0" borderId="26" xfId="0" applyNumberFormat="1" applyFont="1" applyBorder="1" applyAlignment="1">
      <alignment horizontal="center"/>
    </xf>
    <xf numFmtId="2" fontId="17" fillId="0" borderId="21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164" fontId="0" fillId="0" borderId="34" xfId="0" applyNumberFormat="1" applyBorder="1" applyAlignment="1">
      <alignment horizontal="center"/>
    </xf>
    <xf numFmtId="0" fontId="0" fillId="0" borderId="33" xfId="0" applyBorder="1" applyAlignment="1">
      <alignment horizontal="left" vertical="center"/>
    </xf>
    <xf numFmtId="0" fontId="0" fillId="0" borderId="71" xfId="0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12" borderId="2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0" fillId="3" borderId="21" xfId="0" applyNumberForma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5" borderId="19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2" fontId="23" fillId="6" borderId="23" xfId="0" applyNumberFormat="1" applyFont="1" applyFill="1" applyBorder="1" applyAlignment="1">
      <alignment horizontal="center" vertical="center"/>
    </xf>
    <xf numFmtId="2" fontId="23" fillId="6" borderId="25" xfId="0" applyNumberFormat="1" applyFont="1" applyFill="1" applyBorder="1" applyAlignment="1">
      <alignment horizontal="center" vertical="center"/>
    </xf>
    <xf numFmtId="2" fontId="23" fillId="0" borderId="32" xfId="0" applyNumberFormat="1" applyFont="1" applyBorder="1" applyAlignment="1">
      <alignment horizontal="center" vertical="center"/>
    </xf>
    <xf numFmtId="0" fontId="0" fillId="14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8" fillId="14" borderId="0" xfId="0" applyFont="1" applyFill="1" applyAlignment="1">
      <alignment vertical="center"/>
    </xf>
    <xf numFmtId="2" fontId="0" fillId="0" borderId="26" xfId="0" applyNumberForma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0" fillId="8" borderId="34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0" fillId="0" borderId="72" xfId="0" applyBorder="1" applyAlignment="1">
      <alignment horizontal="left" vertical="center"/>
    </xf>
    <xf numFmtId="0" fontId="24" fillId="14" borderId="0" xfId="0" applyFont="1" applyFill="1"/>
    <xf numFmtId="164" fontId="0" fillId="0" borderId="29" xfId="0" applyNumberFormat="1" applyBorder="1" applyAlignment="1">
      <alignment horizontal="center"/>
    </xf>
    <xf numFmtId="0" fontId="10" fillId="15" borderId="30" xfId="0" applyFont="1" applyFill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3" fillId="0" borderId="28" xfId="0" applyFont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9" xfId="0" applyBorder="1" applyAlignment="1">
      <alignment horizontal="left"/>
    </xf>
    <xf numFmtId="0" fontId="25" fillId="0" borderId="30" xfId="0" applyFont="1" applyBorder="1" applyAlignment="1">
      <alignment vertical="center"/>
    </xf>
    <xf numFmtId="0" fontId="3" fillId="0" borderId="30" xfId="0" applyFont="1" applyBorder="1" applyAlignment="1">
      <alignment horizontal="left" vertical="center"/>
    </xf>
    <xf numFmtId="164" fontId="0" fillId="0" borderId="30" xfId="0" applyNumberFormat="1" applyBorder="1" applyAlignment="1">
      <alignment horizontal="center" vertical="center"/>
    </xf>
    <xf numFmtId="0" fontId="26" fillId="0" borderId="30" xfId="0" applyFont="1" applyBorder="1" applyAlignment="1">
      <alignment vertical="center"/>
    </xf>
    <xf numFmtId="0" fontId="25" fillId="0" borderId="29" xfId="0" applyFont="1" applyBorder="1" applyAlignment="1">
      <alignment vertical="center"/>
    </xf>
    <xf numFmtId="0" fontId="3" fillId="0" borderId="30" xfId="0" applyFont="1" applyBorder="1" applyAlignment="1">
      <alignment horizontal="left"/>
    </xf>
    <xf numFmtId="0" fontId="3" fillId="3" borderId="23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2" fontId="0" fillId="0" borderId="29" xfId="0" applyNumberFormat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16" fillId="0" borderId="2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14" borderId="21" xfId="0" applyFill="1" applyBorder="1" applyAlignment="1">
      <alignment vertical="center"/>
    </xf>
    <xf numFmtId="0" fontId="1" fillId="2" borderId="23" xfId="1" applyNumberFormat="1" applyBorder="1" applyAlignment="1">
      <alignment vertical="center" wrapText="1"/>
    </xf>
    <xf numFmtId="0" fontId="1" fillId="2" borderId="23" xfId="1" applyNumberFormat="1" applyBorder="1" applyAlignment="1">
      <alignment horizontal="center" vertical="center" wrapText="1"/>
    </xf>
    <xf numFmtId="2" fontId="1" fillId="2" borderId="23" xfId="1" applyNumberForma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/>
    </xf>
    <xf numFmtId="164" fontId="0" fillId="0" borderId="60" xfId="0" applyNumberForma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8" xfId="0" applyBorder="1" applyAlignment="1">
      <alignment horizontal="left" vertical="center"/>
    </xf>
    <xf numFmtId="0" fontId="0" fillId="0" borderId="73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" fontId="0" fillId="0" borderId="73" xfId="0" applyNumberFormat="1" applyBorder="1" applyAlignment="1">
      <alignment horizontal="center" vertical="center"/>
    </xf>
    <xf numFmtId="0" fontId="0" fillId="0" borderId="73" xfId="0" applyBorder="1" applyAlignment="1">
      <alignment vertical="center"/>
    </xf>
    <xf numFmtId="0" fontId="1" fillId="2" borderId="70" xfId="1" applyNumberFormat="1" applyBorder="1" applyAlignment="1">
      <alignment vertical="center" wrapText="1"/>
    </xf>
    <xf numFmtId="0" fontId="1" fillId="2" borderId="70" xfId="1" applyNumberFormat="1" applyBorder="1" applyAlignment="1">
      <alignment horizontal="center" vertical="center" wrapText="1"/>
    </xf>
    <xf numFmtId="2" fontId="1" fillId="2" borderId="70" xfId="1" applyNumberForma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5" fillId="0" borderId="73" xfId="0" applyFont="1" applyBorder="1" applyAlignment="1">
      <alignment vertical="center"/>
    </xf>
    <xf numFmtId="0" fontId="0" fillId="0" borderId="59" xfId="0" applyBorder="1" applyAlignment="1">
      <alignment vertical="center"/>
    </xf>
    <xf numFmtId="0" fontId="8" fillId="0" borderId="73" xfId="0" applyFont="1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73" xfId="0" applyBorder="1" applyAlignment="1">
      <alignment horizontal="left" vertical="center"/>
    </xf>
    <xf numFmtId="0" fontId="0" fillId="0" borderId="73" xfId="0" applyBorder="1" applyAlignment="1">
      <alignment horizontal="center"/>
    </xf>
    <xf numFmtId="0" fontId="0" fillId="0" borderId="60" xfId="0" applyBorder="1" applyAlignment="1">
      <alignment horizontal="left"/>
    </xf>
    <xf numFmtId="0" fontId="0" fillId="0" borderId="60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5" fillId="3" borderId="73" xfId="0" applyFont="1" applyFill="1" applyBorder="1" applyAlignment="1">
      <alignment horizontal="center" vertical="center"/>
    </xf>
    <xf numFmtId="0" fontId="15" fillId="3" borderId="58" xfId="0" applyFont="1" applyFill="1" applyBorder="1" applyAlignment="1">
      <alignment horizontal="center" vertical="center"/>
    </xf>
    <xf numFmtId="0" fontId="15" fillId="3" borderId="60" xfId="0" applyFont="1" applyFill="1" applyBorder="1" applyAlignment="1">
      <alignment horizontal="center" vertical="center"/>
    </xf>
    <xf numFmtId="0" fontId="15" fillId="0" borderId="73" xfId="0" applyFont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7" borderId="73" xfId="0" applyFill="1" applyBorder="1" applyAlignment="1">
      <alignment vertical="center"/>
    </xf>
    <xf numFmtId="0" fontId="0" fillId="3" borderId="31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4" fontId="3" fillId="9" borderId="34" xfId="0" applyNumberFormat="1" applyFont="1" applyFill="1" applyBorder="1" applyAlignment="1">
      <alignment horizontal="center" vertical="center"/>
    </xf>
    <xf numFmtId="164" fontId="3" fillId="9" borderId="31" xfId="0" applyNumberFormat="1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vertical="center"/>
    </xf>
    <xf numFmtId="0" fontId="3" fillId="9" borderId="29" xfId="0" applyFont="1" applyFill="1" applyBorder="1" applyAlignment="1">
      <alignment horizontal="center" vertical="center"/>
    </xf>
    <xf numFmtId="0" fontId="3" fillId="9" borderId="72" xfId="0" applyFont="1" applyFill="1" applyBorder="1" applyAlignment="1">
      <alignment horizontal="left" vertical="center"/>
    </xf>
    <xf numFmtId="0" fontId="3" fillId="9" borderId="30" xfId="0" applyFont="1" applyFill="1" applyBorder="1" applyAlignment="1">
      <alignment horizontal="center" vertical="center"/>
    </xf>
    <xf numFmtId="0" fontId="3" fillId="9" borderId="72" xfId="0" applyFont="1" applyFill="1" applyBorder="1" applyAlignment="1">
      <alignment vertical="center"/>
    </xf>
    <xf numFmtId="164" fontId="3" fillId="9" borderId="30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0" fillId="8" borderId="73" xfId="0" applyFill="1" applyBorder="1" applyAlignment="1">
      <alignment horizontal="center"/>
    </xf>
    <xf numFmtId="0" fontId="0" fillId="0" borderId="7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left"/>
    </xf>
    <xf numFmtId="0" fontId="0" fillId="0" borderId="26" xfId="0" applyBorder="1" applyAlignment="1">
      <alignment horizontal="left"/>
    </xf>
    <xf numFmtId="0" fontId="0" fillId="0" borderId="5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9" fillId="17" borderId="30" xfId="0" applyFont="1" applyFill="1" applyBorder="1" applyAlignment="1">
      <alignment horizontal="left" vertical="center"/>
    </xf>
    <xf numFmtId="0" fontId="0" fillId="17" borderId="30" xfId="0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26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17" fillId="12" borderId="26" xfId="0" applyFont="1" applyFill="1" applyBorder="1"/>
    <xf numFmtId="0" fontId="2" fillId="3" borderId="2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0" xfId="0" applyFont="1" applyFill="1"/>
    <xf numFmtId="0" fontId="3" fillId="0" borderId="53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29" fillId="12" borderId="26" xfId="0" applyFont="1" applyFill="1" applyBorder="1" applyAlignment="1">
      <alignment horizontal="center"/>
    </xf>
    <xf numFmtId="0" fontId="29" fillId="3" borderId="26" xfId="0" applyFont="1" applyFill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66" fontId="0" fillId="0" borderId="73" xfId="0" applyNumberFormat="1" applyBorder="1" applyAlignment="1">
      <alignment horizontal="center"/>
    </xf>
    <xf numFmtId="0" fontId="0" fillId="0" borderId="41" xfId="0" applyBorder="1"/>
    <xf numFmtId="0" fontId="0" fillId="0" borderId="41" xfId="0" applyBorder="1" applyAlignment="1">
      <alignment horizontal="left"/>
    </xf>
    <xf numFmtId="0" fontId="0" fillId="3" borderId="59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73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0" fillId="10" borderId="21" xfId="0" applyFill="1" applyBorder="1" applyAlignment="1">
      <alignment vertical="center"/>
    </xf>
    <xf numFmtId="0" fontId="0" fillId="10" borderId="73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9" borderId="30" xfId="0" applyFill="1" applyBorder="1" applyAlignment="1">
      <alignment horizontal="left" vertical="center"/>
    </xf>
    <xf numFmtId="0" fontId="0" fillId="9" borderId="30" xfId="0" applyFill="1" applyBorder="1" applyAlignment="1">
      <alignment horizontal="center" vertical="center"/>
    </xf>
    <xf numFmtId="0" fontId="0" fillId="9" borderId="29" xfId="0" applyFill="1" applyBorder="1" applyAlignment="1">
      <alignment horizontal="left" vertical="center"/>
    </xf>
    <xf numFmtId="164" fontId="3" fillId="0" borderId="30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left" vertical="center"/>
    </xf>
    <xf numFmtId="0" fontId="0" fillId="8" borderId="31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1" fillId="2" borderId="1" xfId="1" applyAlignment="1">
      <alignment horizontal="center"/>
    </xf>
    <xf numFmtId="0" fontId="28" fillId="2" borderId="1" xfId="1" applyNumberFormat="1" applyFont="1" applyAlignment="1">
      <alignment horizontal="center" vertical="center" wrapText="1"/>
    </xf>
    <xf numFmtId="0" fontId="28" fillId="2" borderId="1" xfId="1" applyNumberFormat="1" applyFont="1" applyAlignment="1">
      <alignment horizontal="center" wrapText="1"/>
    </xf>
    <xf numFmtId="164" fontId="1" fillId="2" borderId="1" xfId="1" applyNumberFormat="1" applyAlignment="1">
      <alignment horizontal="center"/>
    </xf>
    <xf numFmtId="0" fontId="28" fillId="2" borderId="1" xfId="1" applyFont="1" applyAlignment="1">
      <alignment horizontal="center" wrapText="1"/>
    </xf>
    <xf numFmtId="0" fontId="3" fillId="0" borderId="34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1" fillId="2" borderId="21" xfId="1" applyBorder="1" applyAlignment="1">
      <alignment horizontal="center" vertical="center" wrapText="1"/>
    </xf>
    <xf numFmtId="0" fontId="1" fillId="2" borderId="19" xfId="1" applyBorder="1" applyAlignment="1">
      <alignment horizontal="center"/>
    </xf>
    <xf numFmtId="0" fontId="1" fillId="2" borderId="0" xfId="1" applyBorder="1" applyAlignment="1">
      <alignment horizontal="center" vertical="center"/>
    </xf>
    <xf numFmtId="0" fontId="1" fillId="2" borderId="21" xfId="1" applyBorder="1" applyAlignment="1">
      <alignment horizontal="center" vertical="center"/>
    </xf>
    <xf numFmtId="0" fontId="28" fillId="2" borderId="0" xfId="1" applyNumberFormat="1" applyFont="1" applyBorder="1" applyAlignment="1">
      <alignment horizontal="center" wrapText="1"/>
    </xf>
    <xf numFmtId="0" fontId="28" fillId="2" borderId="0" xfId="1" applyNumberFormat="1" applyFont="1" applyBorder="1" applyAlignment="1">
      <alignment horizontal="center" vertical="center" wrapText="1"/>
    </xf>
    <xf numFmtId="0" fontId="28" fillId="2" borderId="0" xfId="1" applyFont="1" applyBorder="1" applyAlignment="1">
      <alignment horizontal="center" vertical="center"/>
    </xf>
    <xf numFmtId="0" fontId="3" fillId="0" borderId="74" xfId="0" applyFont="1" applyBorder="1" applyAlignment="1">
      <alignment horizontal="center"/>
    </xf>
    <xf numFmtId="164" fontId="0" fillId="0" borderId="74" xfId="0" applyNumberFormat="1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4" xfId="0" applyBorder="1"/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28" fillId="0" borderId="74" xfId="0" applyFont="1" applyBorder="1" applyAlignment="1">
      <alignment horizontal="center"/>
    </xf>
    <xf numFmtId="0" fontId="0" fillId="0" borderId="74" xfId="0" applyBorder="1" applyAlignment="1">
      <alignment horizontal="center" vertical="center"/>
    </xf>
    <xf numFmtId="0" fontId="30" fillId="9" borderId="30" xfId="2" applyFill="1" applyBorder="1" applyAlignment="1">
      <alignment horizontal="left" vertical="center"/>
    </xf>
    <xf numFmtId="0" fontId="30" fillId="9" borderId="0" xfId="2" applyFill="1"/>
    <xf numFmtId="0" fontId="30" fillId="9" borderId="29" xfId="2" applyFill="1" applyBorder="1" applyAlignment="1">
      <alignment horizontal="left" vertical="center"/>
    </xf>
    <xf numFmtId="17" fontId="0" fillId="0" borderId="19" xfId="0" applyNumberFormat="1" applyBorder="1" applyAlignment="1">
      <alignment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7" fillId="12" borderId="21" xfId="0" applyFont="1" applyFill="1" applyBorder="1" applyAlignment="1">
      <alignment horizontal="center" vertical="center"/>
    </xf>
    <xf numFmtId="0" fontId="18" fillId="12" borderId="19" xfId="0" applyFont="1" applyFill="1" applyBorder="1" applyAlignment="1">
      <alignment horizontal="center" vertical="center"/>
    </xf>
    <xf numFmtId="0" fontId="18" fillId="12" borderId="21" xfId="0" applyFont="1" applyFill="1" applyBorder="1" applyAlignment="1">
      <alignment horizontal="center" vertical="center"/>
    </xf>
    <xf numFmtId="0" fontId="18" fillId="12" borderId="20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8" fillId="2" borderId="21" xfId="1" applyFont="1" applyBorder="1" applyAlignment="1">
      <alignment horizontal="center" vertical="center" wrapText="1"/>
    </xf>
    <xf numFmtId="0" fontId="28" fillId="2" borderId="19" xfId="1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1" fillId="0" borderId="25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3" borderId="21" xfId="0" applyFont="1" applyFill="1" applyBorder="1" applyAlignment="1">
      <alignment horizontal="center"/>
    </xf>
    <xf numFmtId="2" fontId="31" fillId="3" borderId="19" xfId="0" applyNumberFormat="1" applyFont="1" applyFill="1" applyBorder="1" applyAlignment="1">
      <alignment horizontal="center"/>
    </xf>
    <xf numFmtId="2" fontId="31" fillId="0" borderId="19" xfId="0" applyNumberFormat="1" applyFont="1" applyBorder="1" applyAlignment="1">
      <alignment horizontal="center"/>
    </xf>
    <xf numFmtId="0" fontId="31" fillId="3" borderId="19" xfId="0" applyFont="1" applyFill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2" fillId="12" borderId="25" xfId="0" applyFont="1" applyFill="1" applyBorder="1" applyAlignment="1">
      <alignment horizontal="center"/>
    </xf>
    <xf numFmtId="2" fontId="32" fillId="0" borderId="21" xfId="0" applyNumberFormat="1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2" fontId="31" fillId="0" borderId="23" xfId="0" applyNumberFormat="1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0" xfId="0" applyBorder="1"/>
    <xf numFmtId="0" fontId="3" fillId="0" borderId="30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26" xfId="0" applyBorder="1" applyAlignment="1">
      <alignment horizontal="left" vertical="center"/>
    </xf>
    <xf numFmtId="0" fontId="33" fillId="9" borderId="30" xfId="2" applyFont="1" applyFill="1" applyBorder="1" applyAlignment="1">
      <alignment horizontal="left" vertical="center"/>
    </xf>
    <xf numFmtId="0" fontId="34" fillId="0" borderId="30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1" fillId="2" borderId="18" xfId="1" applyNumberFormat="1" applyBorder="1" applyAlignment="1">
      <alignment horizontal="center" vertical="center"/>
    </xf>
    <xf numFmtId="164" fontId="1" fillId="2" borderId="36" xfId="1" applyNumberFormat="1" applyBorder="1" applyAlignment="1">
      <alignment horizontal="center" vertical="center"/>
    </xf>
    <xf numFmtId="0" fontId="22" fillId="14" borderId="73" xfId="0" applyFont="1" applyFill="1" applyBorder="1" applyAlignment="1">
      <alignment horizontal="center" vertical="center"/>
    </xf>
    <xf numFmtId="0" fontId="22" fillId="14" borderId="58" xfId="0" applyFont="1" applyFill="1" applyBorder="1" applyAlignment="1">
      <alignment horizontal="center" vertical="center"/>
    </xf>
    <xf numFmtId="0" fontId="36" fillId="18" borderId="73" xfId="0" applyFont="1" applyFill="1" applyBorder="1" applyAlignment="1">
      <alignment horizontal="center" vertical="center"/>
    </xf>
    <xf numFmtId="0" fontId="36" fillId="8" borderId="73" xfId="0" applyFont="1" applyFill="1" applyBorder="1" applyAlignment="1">
      <alignment horizontal="center" vertical="center"/>
    </xf>
    <xf numFmtId="0" fontId="22" fillId="8" borderId="73" xfId="0" applyFont="1" applyFill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73" xfId="0" applyFont="1" applyBorder="1"/>
    <xf numFmtId="49" fontId="0" fillId="0" borderId="0" xfId="0" applyNumberForma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21" xfId="0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2" applyFont="1" applyFill="1" applyBorder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7" fillId="9" borderId="0" xfId="0" applyNumberFormat="1" applyFont="1" applyFill="1" applyAlignment="1">
      <alignment horizontal="center" vertical="center"/>
    </xf>
    <xf numFmtId="0" fontId="37" fillId="9" borderId="0" xfId="0" applyFont="1" applyFill="1" applyAlignment="1">
      <alignment vertical="center"/>
    </xf>
    <xf numFmtId="0" fontId="37" fillId="9" borderId="0" xfId="0" applyFont="1" applyFill="1" applyAlignment="1">
      <alignment horizontal="center" vertical="center"/>
    </xf>
    <xf numFmtId="0" fontId="12" fillId="0" borderId="0" xfId="0" applyFont="1"/>
    <xf numFmtId="0" fontId="9" fillId="19" borderId="0" xfId="0" applyFont="1" applyFill="1" applyAlignment="1">
      <alignment horizontal="center"/>
    </xf>
    <xf numFmtId="0" fontId="9" fillId="19" borderId="21" xfId="0" applyFont="1" applyFill="1" applyBorder="1" applyAlignment="1">
      <alignment horizontal="center"/>
    </xf>
    <xf numFmtId="164" fontId="9" fillId="19" borderId="0" xfId="0" applyNumberFormat="1" applyFont="1" applyFill="1" applyAlignment="1">
      <alignment horizontal="center"/>
    </xf>
    <xf numFmtId="0" fontId="9" fillId="19" borderId="0" xfId="0" applyFont="1" applyFill="1" applyAlignment="1">
      <alignment horizontal="left" vertical="center"/>
    </xf>
    <xf numFmtId="0" fontId="9" fillId="19" borderId="0" xfId="0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19" borderId="0" xfId="0" applyNumberFormat="1" applyFill="1" applyAlignment="1">
      <alignment horizontal="center" vertical="center"/>
    </xf>
    <xf numFmtId="0" fontId="0" fillId="19" borderId="0" xfId="0" applyFill="1" applyAlignment="1">
      <alignment horizontal="left" vertical="center"/>
    </xf>
    <xf numFmtId="0" fontId="10" fillId="19" borderId="0" xfId="0" applyFont="1" applyFill="1" applyAlignment="1">
      <alignment horizontal="center" vertical="center"/>
    </xf>
    <xf numFmtId="0" fontId="0" fillId="19" borderId="0" xfId="0" applyFill="1"/>
    <xf numFmtId="0" fontId="12" fillId="0" borderId="0" xfId="0" applyFont="1" applyAlignment="1">
      <alignment horizontal="left" vertical="center"/>
    </xf>
    <xf numFmtId="0" fontId="12" fillId="0" borderId="0" xfId="2" applyFont="1" applyFill="1" applyBorder="1" applyAlignment="1">
      <alignment horizontal="left" vertical="center"/>
    </xf>
    <xf numFmtId="0" fontId="37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7" fillId="9" borderId="0" xfId="0" applyFont="1" applyFill="1" applyAlignment="1">
      <alignment horizontal="left" vertical="center"/>
    </xf>
    <xf numFmtId="0" fontId="9" fillId="19" borderId="0" xfId="0" applyFont="1" applyFill="1" applyAlignment="1">
      <alignment vertical="center"/>
    </xf>
    <xf numFmtId="0" fontId="9" fillId="19" borderId="0" xfId="2" applyFont="1" applyFill="1" applyBorder="1" applyAlignment="1">
      <alignment horizontal="left" vertical="center"/>
    </xf>
    <xf numFmtId="164" fontId="3" fillId="19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/>
    </xf>
    <xf numFmtId="0" fontId="12" fillId="9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9" fillId="19" borderId="0" xfId="0" applyNumberFormat="1" applyFont="1" applyFill="1" applyAlignment="1">
      <alignment horizontal="center" vertical="center"/>
    </xf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33" fillId="0" borderId="0" xfId="2" applyFont="1" applyFill="1" applyBorder="1" applyAlignment="1">
      <alignment horizontal="left" vertical="center"/>
    </xf>
    <xf numFmtId="0" fontId="3" fillId="14" borderId="58" xfId="0" applyFont="1" applyFill="1" applyBorder="1" applyAlignment="1">
      <alignment horizontal="center" vertical="center"/>
    </xf>
    <xf numFmtId="0" fontId="3" fillId="14" borderId="60" xfId="0" applyFont="1" applyFill="1" applyBorder="1" applyAlignment="1">
      <alignment horizontal="center" vertical="center"/>
    </xf>
    <xf numFmtId="0" fontId="27" fillId="18" borderId="60" xfId="0" applyFont="1" applyFill="1" applyBorder="1" applyAlignment="1">
      <alignment horizontal="center" vertical="center"/>
    </xf>
    <xf numFmtId="0" fontId="41" fillId="0" borderId="0" xfId="0" applyFont="1"/>
    <xf numFmtId="0" fontId="9" fillId="0" borderId="21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/>
    </xf>
    <xf numFmtId="0" fontId="9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164" fontId="0" fillId="3" borderId="30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25" fillId="3" borderId="30" xfId="0" applyFont="1" applyFill="1" applyBorder="1" applyAlignment="1">
      <alignment vertical="center"/>
    </xf>
    <xf numFmtId="0" fontId="25" fillId="3" borderId="30" xfId="0" applyFont="1" applyFill="1" applyBorder="1" applyAlignment="1">
      <alignment horizontal="center" vertical="center"/>
    </xf>
    <xf numFmtId="0" fontId="33" fillId="3" borderId="30" xfId="2" applyFont="1" applyFill="1" applyBorder="1" applyAlignment="1">
      <alignment horizontal="left" vertical="center"/>
    </xf>
    <xf numFmtId="0" fontId="34" fillId="3" borderId="30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30" xfId="0" applyFont="1" applyFill="1" applyBorder="1" applyAlignment="1">
      <alignment horizontal="center" vertical="center"/>
    </xf>
    <xf numFmtId="0" fontId="0" fillId="3" borderId="30" xfId="0" applyFill="1" applyBorder="1"/>
    <xf numFmtId="0" fontId="0" fillId="3" borderId="0" xfId="0" applyFill="1"/>
    <xf numFmtId="164" fontId="0" fillId="3" borderId="30" xfId="0" applyNumberForma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3" borderId="33" xfId="0" applyFill="1" applyBorder="1" applyAlignment="1">
      <alignment horizontal="center"/>
    </xf>
    <xf numFmtId="0" fontId="27" fillId="19" borderId="0" xfId="0" applyFont="1" applyFill="1" applyAlignment="1">
      <alignment vertical="center"/>
    </xf>
    <xf numFmtId="0" fontId="27" fillId="19" borderId="0" xfId="0" applyFont="1" applyFill="1" applyAlignment="1">
      <alignment horizontal="center" vertical="center"/>
    </xf>
    <xf numFmtId="0" fontId="43" fillId="19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19" borderId="0" xfId="0" applyFont="1" applyFill="1" applyAlignment="1">
      <alignment horizontal="center"/>
    </xf>
    <xf numFmtId="0" fontId="12" fillId="19" borderId="0" xfId="0" applyFont="1" applyFill="1" applyAlignment="1">
      <alignment horizontal="center" vertical="center"/>
    </xf>
    <xf numFmtId="0" fontId="12" fillId="19" borderId="0" xfId="0" applyFont="1" applyFill="1"/>
    <xf numFmtId="0" fontId="12" fillId="19" borderId="21" xfId="0" applyFont="1" applyFill="1" applyBorder="1" applyAlignment="1">
      <alignment horizontal="center"/>
    </xf>
    <xf numFmtId="0" fontId="12" fillId="19" borderId="26" xfId="0" applyFont="1" applyFill="1" applyBorder="1" applyAlignment="1">
      <alignment horizontal="center"/>
    </xf>
    <xf numFmtId="0" fontId="12" fillId="19" borderId="25" xfId="0" applyFont="1" applyFill="1" applyBorder="1" applyAlignment="1">
      <alignment horizontal="center"/>
    </xf>
    <xf numFmtId="164" fontId="9" fillId="19" borderId="26" xfId="0" applyNumberFormat="1" applyFont="1" applyFill="1" applyBorder="1" applyAlignment="1">
      <alignment horizontal="center" vertical="center"/>
    </xf>
    <xf numFmtId="0" fontId="9" fillId="19" borderId="26" xfId="0" applyFont="1" applyFill="1" applyBorder="1" applyAlignment="1">
      <alignment horizontal="center"/>
    </xf>
    <xf numFmtId="0" fontId="27" fillId="19" borderId="26" xfId="0" applyFont="1" applyFill="1" applyBorder="1" applyAlignment="1">
      <alignment vertical="center"/>
    </xf>
    <xf numFmtId="0" fontId="27" fillId="19" borderId="26" xfId="0" applyFont="1" applyFill="1" applyBorder="1" applyAlignment="1">
      <alignment horizontal="center" vertical="center"/>
    </xf>
    <xf numFmtId="0" fontId="9" fillId="19" borderId="26" xfId="2" applyFont="1" applyFill="1" applyBorder="1" applyAlignment="1">
      <alignment horizontal="left" vertical="center"/>
    </xf>
    <xf numFmtId="0" fontId="9" fillId="19" borderId="26" xfId="0" applyFont="1" applyFill="1" applyBorder="1" applyAlignment="1">
      <alignment horizontal="center" vertical="center"/>
    </xf>
    <xf numFmtId="0" fontId="9" fillId="19" borderId="26" xfId="0" applyFont="1" applyFill="1" applyBorder="1"/>
    <xf numFmtId="0" fontId="27" fillId="19" borderId="26" xfId="0" applyFont="1" applyFill="1" applyBorder="1" applyAlignment="1">
      <alignment horizontal="center"/>
    </xf>
    <xf numFmtId="0" fontId="12" fillId="19" borderId="26" xfId="0" applyFont="1" applyFill="1" applyBorder="1" applyAlignment="1">
      <alignment horizontal="center" vertical="center"/>
    </xf>
    <xf numFmtId="0" fontId="12" fillId="19" borderId="26" xfId="0" applyFont="1" applyFill="1" applyBorder="1"/>
    <xf numFmtId="0" fontId="9" fillId="0" borderId="0" xfId="0" applyFont="1"/>
    <xf numFmtId="164" fontId="1" fillId="2" borderId="18" xfId="1" applyNumberFormat="1" applyBorder="1" applyAlignment="1">
      <alignment horizontal="center" vertical="center"/>
    </xf>
    <xf numFmtId="164" fontId="1" fillId="2" borderId="36" xfId="1" applyNumberFormat="1" applyBorder="1" applyAlignment="1">
      <alignment horizontal="center" vertical="center"/>
    </xf>
    <xf numFmtId="0" fontId="1" fillId="2" borderId="9" xfId="1" applyNumberFormat="1" applyBorder="1" applyAlignment="1">
      <alignment horizontal="center" vertical="center" wrapText="1"/>
    </xf>
    <xf numFmtId="0" fontId="1" fillId="2" borderId="15" xfId="1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2" borderId="10" xfId="1" applyBorder="1" applyAlignment="1">
      <alignment horizontal="center" vertical="center" wrapText="1"/>
    </xf>
    <xf numFmtId="0" fontId="1" fillId="2" borderId="16" xfId="1" applyBorder="1" applyAlignment="1">
      <alignment horizontal="center" vertical="center" wrapText="1"/>
    </xf>
    <xf numFmtId="0" fontId="1" fillId="2" borderId="1" xfId="1" applyNumberFormat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1" fillId="2" borderId="11" xfId="1" applyBorder="1" applyAlignment="1">
      <alignment horizontal="center" vertical="center" wrapText="1"/>
    </xf>
    <xf numFmtId="0" fontId="1" fillId="2" borderId="14" xfId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26" xfId="0" applyFill="1" applyBorder="1" applyAlignment="1">
      <alignment horizontal="center" vertical="center" wrapText="1"/>
    </xf>
    <xf numFmtId="0" fontId="1" fillId="2" borderId="18" xfId="1" applyBorder="1" applyAlignment="1">
      <alignment horizontal="center" vertical="center"/>
    </xf>
    <xf numFmtId="0" fontId="1" fillId="2" borderId="2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9" xfId="1" applyBorder="1" applyAlignment="1">
      <alignment horizontal="center" vertical="center" wrapText="1"/>
    </xf>
    <xf numFmtId="0" fontId="1" fillId="2" borderId="15" xfId="1" applyBorder="1" applyAlignment="1">
      <alignment horizontal="center" vertical="center" wrapText="1"/>
    </xf>
    <xf numFmtId="0" fontId="1" fillId="2" borderId="12" xfId="1" applyBorder="1" applyAlignment="1">
      <alignment horizontal="center" vertical="center"/>
    </xf>
    <xf numFmtId="0" fontId="1" fillId="2" borderId="17" xfId="1" applyBorder="1" applyAlignment="1">
      <alignment horizontal="center" vertical="center"/>
    </xf>
    <xf numFmtId="0" fontId="3" fillId="16" borderId="19" xfId="0" applyFont="1" applyFill="1" applyBorder="1" applyAlignment="1">
      <alignment horizontal="center" vertical="center" wrapText="1"/>
    </xf>
    <xf numFmtId="0" fontId="3" fillId="16" borderId="60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164" fontId="1" fillId="2" borderId="2" xfId="1" applyNumberFormat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30" xfId="1" applyBorder="1" applyAlignment="1">
      <alignment horizontal="center" vertical="center" wrapText="1"/>
    </xf>
    <xf numFmtId="0" fontId="1" fillId="0" borderId="30" xfId="1" applyFill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1" fillId="2" borderId="8" xfId="1" applyBorder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1" fillId="2" borderId="3" xfId="1" applyNumberFormat="1" applyBorder="1" applyAlignment="1">
      <alignment horizontal="center" vertical="center" wrapText="1"/>
    </xf>
    <xf numFmtId="0" fontId="20" fillId="3" borderId="43" xfId="1" applyNumberFormat="1" applyFont="1" applyFill="1" applyBorder="1" applyAlignment="1">
      <alignment horizontal="center" vertical="center" wrapText="1"/>
    </xf>
    <xf numFmtId="0" fontId="20" fillId="3" borderId="9" xfId="1" applyNumberFormat="1" applyFont="1" applyFill="1" applyBorder="1" applyAlignment="1">
      <alignment horizontal="center" vertical="center" wrapText="1"/>
    </xf>
    <xf numFmtId="0" fontId="20" fillId="3" borderId="47" xfId="1" applyNumberFormat="1" applyFont="1" applyFill="1" applyBorder="1" applyAlignment="1">
      <alignment horizontal="center" vertical="center" wrapText="1"/>
    </xf>
    <xf numFmtId="0" fontId="20" fillId="3" borderId="51" xfId="1" applyNumberFormat="1" applyFont="1" applyFill="1" applyBorder="1" applyAlignment="1">
      <alignment horizontal="center" vertical="center" wrapText="1"/>
    </xf>
    <xf numFmtId="0" fontId="19" fillId="13" borderId="40" xfId="0" applyFont="1" applyFill="1" applyBorder="1" applyAlignment="1">
      <alignment horizontal="center" vertical="center"/>
    </xf>
    <xf numFmtId="0" fontId="19" fillId="13" borderId="29" xfId="0" applyFont="1" applyFill="1" applyBorder="1" applyAlignment="1">
      <alignment horizontal="center" vertical="center"/>
    </xf>
    <xf numFmtId="0" fontId="19" fillId="13" borderId="48" xfId="0" applyFont="1" applyFill="1" applyBorder="1" applyAlignment="1">
      <alignment horizontal="center" vertical="center"/>
    </xf>
    <xf numFmtId="0" fontId="19" fillId="13" borderId="52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20" fillId="11" borderId="43" xfId="1" applyNumberFormat="1" applyFont="1" applyFill="1" applyBorder="1" applyAlignment="1">
      <alignment horizontal="center" vertical="center" wrapText="1"/>
    </xf>
    <xf numFmtId="0" fontId="20" fillId="11" borderId="9" xfId="1" applyNumberFormat="1" applyFont="1" applyFill="1" applyBorder="1" applyAlignment="1">
      <alignment horizontal="center" wrapText="1"/>
    </xf>
    <xf numFmtId="0" fontId="20" fillId="11" borderId="44" xfId="1" applyNumberFormat="1" applyFont="1" applyFill="1" applyBorder="1" applyAlignment="1">
      <alignment horizontal="center" vertical="center" wrapText="1"/>
    </xf>
    <xf numFmtId="0" fontId="20" fillId="11" borderId="37" xfId="1" applyNumberFormat="1" applyFont="1" applyFill="1" applyBorder="1" applyAlignment="1">
      <alignment horizontal="center" vertical="center" wrapText="1"/>
    </xf>
    <xf numFmtId="0" fontId="20" fillId="3" borderId="45" xfId="1" applyNumberFormat="1" applyFont="1" applyFill="1" applyBorder="1" applyAlignment="1">
      <alignment horizontal="center" vertical="center" wrapText="1"/>
    </xf>
    <xf numFmtId="0" fontId="20" fillId="3" borderId="49" xfId="1" applyNumberFormat="1" applyFont="1" applyFill="1" applyBorder="1" applyAlignment="1">
      <alignment horizontal="center" vertical="center" wrapText="1"/>
    </xf>
    <xf numFmtId="0" fontId="20" fillId="3" borderId="41" xfId="1" applyNumberFormat="1" applyFont="1" applyFill="1" applyBorder="1" applyAlignment="1">
      <alignment horizontal="center" vertical="center" wrapText="1"/>
    </xf>
    <xf numFmtId="0" fontId="20" fillId="3" borderId="19" xfId="1" applyNumberFormat="1" applyFont="1" applyFill="1" applyBorder="1" applyAlignment="1">
      <alignment horizontal="center" vertical="center" wrapText="1"/>
    </xf>
    <xf numFmtId="0" fontId="20" fillId="3" borderId="46" xfId="1" applyNumberFormat="1" applyFont="1" applyFill="1" applyBorder="1" applyAlignment="1">
      <alignment horizontal="center" vertical="center" wrapText="1"/>
    </xf>
    <xf numFmtId="0" fontId="20" fillId="3" borderId="50" xfId="1" applyNumberFormat="1" applyFont="1" applyFill="1" applyBorder="1" applyAlignment="1">
      <alignment horizontal="center" vertical="center" wrapText="1"/>
    </xf>
    <xf numFmtId="0" fontId="20" fillId="10" borderId="41" xfId="1" applyFont="1" applyFill="1" applyBorder="1" applyAlignment="1">
      <alignment horizontal="center" vertical="center" wrapText="1"/>
    </xf>
    <xf numFmtId="0" fontId="20" fillId="10" borderId="19" xfId="1" applyFont="1" applyFill="1" applyBorder="1" applyAlignment="1">
      <alignment horizontal="center" vertical="center" wrapText="1"/>
    </xf>
    <xf numFmtId="0" fontId="20" fillId="10" borderId="42" xfId="1" applyNumberFormat="1" applyFont="1" applyFill="1" applyBorder="1" applyAlignment="1">
      <alignment horizontal="center" vertical="center" wrapText="1"/>
    </xf>
    <xf numFmtId="0" fontId="20" fillId="10" borderId="12" xfId="1" applyNumberFormat="1" applyFont="1" applyFill="1" applyBorder="1" applyAlignment="1">
      <alignment horizontal="center" wrapText="1"/>
    </xf>
    <xf numFmtId="0" fontId="20" fillId="10" borderId="43" xfId="1" applyNumberFormat="1" applyFont="1" applyFill="1" applyBorder="1" applyAlignment="1">
      <alignment horizontal="center" vertical="center" wrapText="1"/>
    </xf>
    <xf numFmtId="0" fontId="20" fillId="10" borderId="9" xfId="1" applyNumberFormat="1" applyFont="1" applyFill="1" applyBorder="1" applyAlignment="1">
      <alignment horizontal="center" wrapText="1"/>
    </xf>
    <xf numFmtId="0" fontId="20" fillId="10" borderId="44" xfId="1" applyNumberFormat="1" applyFont="1" applyFill="1" applyBorder="1" applyAlignment="1">
      <alignment horizontal="center" vertical="center" wrapText="1"/>
    </xf>
    <xf numFmtId="0" fontId="20" fillId="10" borderId="37" xfId="1" applyNumberFormat="1" applyFont="1" applyFill="1" applyBorder="1" applyAlignment="1">
      <alignment horizontal="center" vertical="center" wrapText="1"/>
    </xf>
    <xf numFmtId="0" fontId="20" fillId="10" borderId="9" xfId="1" applyNumberFormat="1" applyFont="1" applyFill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19" fillId="0" borderId="40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20" fillId="2" borderId="65" xfId="1" applyFont="1" applyBorder="1" applyAlignment="1">
      <alignment horizontal="center" vertical="center"/>
    </xf>
    <xf numFmtId="0" fontId="20" fillId="2" borderId="66" xfId="1" applyFont="1" applyBorder="1" applyAlignment="1">
      <alignment horizontal="center"/>
    </xf>
    <xf numFmtId="0" fontId="20" fillId="2" borderId="40" xfId="1" applyFont="1" applyBorder="1" applyAlignment="1">
      <alignment horizontal="center" vertical="center"/>
    </xf>
    <xf numFmtId="0" fontId="20" fillId="2" borderId="30" xfId="1" applyFont="1" applyBorder="1" applyAlignment="1">
      <alignment horizontal="center"/>
    </xf>
    <xf numFmtId="0" fontId="20" fillId="2" borderId="40" xfId="1" applyFont="1" applyBorder="1" applyAlignment="1">
      <alignment horizontal="center"/>
    </xf>
    <xf numFmtId="0" fontId="20" fillId="2" borderId="30" xfId="1" applyFont="1" applyBorder="1" applyAlignment="1">
      <alignment horizontal="center" vertical="center"/>
    </xf>
    <xf numFmtId="0" fontId="20" fillId="2" borderId="40" xfId="1" applyFont="1" applyBorder="1" applyAlignment="1">
      <alignment horizontal="center" vertical="center" wrapText="1"/>
    </xf>
    <xf numFmtId="0" fontId="20" fillId="2" borderId="30" xfId="1" applyFont="1" applyBorder="1" applyAlignment="1">
      <alignment horizontal="center" vertical="center" wrapText="1"/>
    </xf>
    <xf numFmtId="0" fontId="20" fillId="0" borderId="40" xfId="1" applyFont="1" applyFill="1" applyBorder="1" applyAlignment="1">
      <alignment horizontal="center" vertical="center"/>
    </xf>
    <xf numFmtId="0" fontId="20" fillId="0" borderId="30" xfId="1" applyFont="1" applyFill="1" applyBorder="1" applyAlignment="1">
      <alignment horizontal="center"/>
    </xf>
    <xf numFmtId="0" fontId="19" fillId="0" borderId="48" xfId="0" applyFont="1" applyBorder="1" applyAlignment="1">
      <alignment horizontal="center" vertical="center"/>
    </xf>
    <xf numFmtId="0" fontId="19" fillId="0" borderId="67" xfId="0" applyFont="1" applyBorder="1" applyAlignment="1">
      <alignment horizontal="center" vertical="center"/>
    </xf>
    <xf numFmtId="0" fontId="0" fillId="0" borderId="6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69" xfId="0" applyBorder="1" applyAlignment="1">
      <alignment horizontal="center"/>
    </xf>
    <xf numFmtId="0" fontId="1" fillId="2" borderId="1" xfId="1" applyNumberFormat="1" applyAlignment="1">
      <alignment horizontal="center" wrapText="1"/>
    </xf>
    <xf numFmtId="0" fontId="1" fillId="2" borderId="37" xfId="1" applyBorder="1" applyAlignment="1">
      <alignment horizontal="center" vertical="center" wrapText="1"/>
    </xf>
    <xf numFmtId="0" fontId="1" fillId="3" borderId="1" xfId="1" applyNumberFormat="1" applyFill="1" applyAlignment="1">
      <alignment horizontal="center" vertical="center" wrapText="1"/>
    </xf>
    <xf numFmtId="0" fontId="1" fillId="11" borderId="9" xfId="1" applyNumberFormat="1" applyFill="1" applyBorder="1" applyAlignment="1">
      <alignment horizontal="center" vertical="center" wrapText="1"/>
    </xf>
    <xf numFmtId="0" fontId="1" fillId="11" borderId="15" xfId="1" applyNumberFormat="1" applyFill="1" applyBorder="1" applyAlignment="1">
      <alignment horizontal="center" vertical="center" wrapText="1"/>
    </xf>
    <xf numFmtId="0" fontId="1" fillId="11" borderId="1" xfId="1" applyNumberFormat="1" applyFill="1" applyAlignment="1">
      <alignment horizontal="center" vertical="center" wrapText="1"/>
    </xf>
    <xf numFmtId="0" fontId="1" fillId="11" borderId="1" xfId="1" applyNumberFormat="1" applyFill="1" applyAlignment="1">
      <alignment horizontal="center" wrapText="1"/>
    </xf>
    <xf numFmtId="0" fontId="1" fillId="3" borderId="9" xfId="1" applyNumberFormat="1" applyFill="1" applyBorder="1" applyAlignment="1">
      <alignment horizontal="center" vertical="center" wrapText="1"/>
    </xf>
    <xf numFmtId="0" fontId="1" fillId="3" borderId="15" xfId="1" applyNumberFormat="1" applyFill="1" applyBorder="1" applyAlignment="1">
      <alignment horizontal="center" vertical="center" wrapText="1"/>
    </xf>
    <xf numFmtId="0" fontId="1" fillId="2" borderId="3" xfId="1" applyBorder="1" applyAlignment="1">
      <alignment horizontal="center" vertical="center"/>
    </xf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1" fillId="10" borderId="1" xfId="1" applyNumberFormat="1" applyFill="1" applyAlignment="1">
      <alignment horizontal="center" vertical="center" wrapText="1"/>
    </xf>
    <xf numFmtId="0" fontId="1" fillId="10" borderId="1" xfId="1" applyNumberFormat="1" applyFill="1" applyAlignment="1">
      <alignment horizontal="center" wrapText="1"/>
    </xf>
    <xf numFmtId="0" fontId="1" fillId="10" borderId="9" xfId="1" applyNumberFormat="1" applyFill="1" applyBorder="1" applyAlignment="1">
      <alignment horizontal="center" vertical="center" wrapText="1"/>
    </xf>
    <xf numFmtId="0" fontId="1" fillId="10" borderId="15" xfId="1" applyNumberFormat="1" applyFill="1" applyBorder="1" applyAlignment="1">
      <alignment horizontal="center" vertical="center" wrapText="1"/>
    </xf>
    <xf numFmtId="0" fontId="1" fillId="10" borderId="9" xfId="1" applyFill="1" applyBorder="1" applyAlignment="1">
      <alignment horizontal="center" vertical="center" wrapText="1"/>
    </xf>
    <xf numFmtId="0" fontId="1" fillId="10" borderId="15" xfId="1" applyFill="1" applyBorder="1" applyAlignment="1">
      <alignment horizontal="center" vertical="center" wrapText="1"/>
    </xf>
    <xf numFmtId="0" fontId="1" fillId="8" borderId="1" xfId="1" applyFill="1" applyAlignment="1">
      <alignment horizontal="center" vertical="center"/>
    </xf>
    <xf numFmtId="0" fontId="1" fillId="8" borderId="1" xfId="1" applyFill="1" applyAlignment="1">
      <alignment horizontal="center"/>
    </xf>
    <xf numFmtId="0" fontId="1" fillId="2" borderId="9" xfId="1" applyBorder="1" applyAlignment="1">
      <alignment horizontal="center" vertical="center"/>
    </xf>
    <xf numFmtId="0" fontId="1" fillId="2" borderId="15" xfId="1" applyBorder="1" applyAlignment="1">
      <alignment horizontal="center" vertical="center"/>
    </xf>
    <xf numFmtId="0" fontId="1" fillId="2" borderId="1" xfId="1" applyAlignment="1">
      <alignment horizontal="center"/>
    </xf>
    <xf numFmtId="0" fontId="17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28" fillId="2" borderId="1" xfId="1" applyNumberFormat="1" applyFont="1" applyAlignment="1">
      <alignment horizontal="center" vertical="center" wrapText="1"/>
    </xf>
    <xf numFmtId="0" fontId="28" fillId="2" borderId="1" xfId="1" applyNumberFormat="1" applyFont="1" applyAlignment="1">
      <alignment horizontal="center" wrapText="1"/>
    </xf>
    <xf numFmtId="0" fontId="28" fillId="2" borderId="1" xfId="1" applyFont="1" applyAlignment="1">
      <alignment horizontal="center" vertical="center" wrapText="1"/>
    </xf>
    <xf numFmtId="0" fontId="28" fillId="2" borderId="1" xfId="1" applyFont="1" applyAlignment="1">
      <alignment horizontal="center" wrapText="1"/>
    </xf>
    <xf numFmtId="0" fontId="28" fillId="2" borderId="9" xfId="1" applyNumberFormat="1" applyFont="1" applyBorder="1" applyAlignment="1">
      <alignment horizontal="center" vertical="center" wrapText="1"/>
    </xf>
    <xf numFmtId="0" fontId="28" fillId="2" borderId="15" xfId="1" applyNumberFormat="1" applyFont="1" applyBorder="1" applyAlignment="1">
      <alignment horizontal="center" vertical="center" wrapText="1"/>
    </xf>
    <xf numFmtId="0" fontId="28" fillId="2" borderId="9" xfId="1" applyFont="1" applyBorder="1" applyAlignment="1">
      <alignment horizontal="center" vertical="center"/>
    </xf>
    <xf numFmtId="0" fontId="28" fillId="2" borderId="15" xfId="1" applyFont="1" applyBorder="1" applyAlignment="1">
      <alignment horizontal="center" vertical="center"/>
    </xf>
    <xf numFmtId="164" fontId="1" fillId="2" borderId="1" xfId="1" applyNumberFormat="1" applyAlignment="1">
      <alignment horizontal="center" vertical="center"/>
    </xf>
    <xf numFmtId="164" fontId="1" fillId="2" borderId="1" xfId="1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28" fillId="2" borderId="3" xfId="1" applyNumberFormat="1" applyFont="1" applyBorder="1" applyAlignment="1">
      <alignment horizontal="center" vertical="center" wrapText="1"/>
    </xf>
    <xf numFmtId="0" fontId="28" fillId="2" borderId="3" xfId="1" applyNumberFormat="1" applyFont="1" applyBorder="1" applyAlignment="1">
      <alignment horizontal="center" wrapText="1"/>
    </xf>
    <xf numFmtId="0" fontId="1" fillId="2" borderId="8" xfId="1" applyBorder="1" applyAlignment="1">
      <alignment horizontal="center" vertical="center"/>
    </xf>
    <xf numFmtId="0" fontId="28" fillId="2" borderId="8" xfId="1" applyFont="1" applyBorder="1" applyAlignment="1">
      <alignment horizontal="center" vertical="center" wrapText="1"/>
    </xf>
    <xf numFmtId="0" fontId="28" fillId="2" borderId="2" xfId="1" applyFont="1" applyBorder="1" applyAlignment="1">
      <alignment horizontal="center" vertical="center" wrapText="1"/>
    </xf>
    <xf numFmtId="0" fontId="1" fillId="2" borderId="2" xfId="1" applyBorder="1" applyAlignment="1">
      <alignment horizontal="center"/>
    </xf>
    <xf numFmtId="0" fontId="0" fillId="0" borderId="26" xfId="0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5" borderId="13" xfId="1" applyNumberFormat="1" applyFill="1" applyBorder="1" applyAlignment="1">
      <alignment horizontal="center" wrapText="1"/>
    </xf>
    <xf numFmtId="0" fontId="1" fillId="5" borderId="18" xfId="1" applyNumberFormat="1" applyFill="1" applyBorder="1" applyAlignment="1">
      <alignment horizontal="center" wrapText="1"/>
    </xf>
    <xf numFmtId="0" fontId="1" fillId="5" borderId="29" xfId="1" applyNumberFormat="1" applyFill="1" applyBorder="1" applyAlignment="1">
      <alignment horizontal="center" wrapText="1"/>
    </xf>
    <xf numFmtId="0" fontId="1" fillId="5" borderId="19" xfId="1" applyNumberFormat="1" applyFill="1" applyBorder="1" applyAlignment="1">
      <alignment horizontal="center" wrapText="1"/>
    </xf>
    <xf numFmtId="0" fontId="3" fillId="0" borderId="30" xfId="0" applyFont="1" applyBorder="1" applyAlignment="1">
      <alignment horizontal="center" vertical="center"/>
    </xf>
    <xf numFmtId="0" fontId="1" fillId="2" borderId="33" xfId="1" applyBorder="1" applyAlignment="1">
      <alignment horizontal="center" vertical="center" wrapText="1"/>
    </xf>
    <xf numFmtId="0" fontId="1" fillId="2" borderId="32" xfId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1" fillId="5" borderId="35" xfId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1" fillId="5" borderId="29" xfId="1" applyNumberFormat="1" applyFill="1" applyBorder="1" applyAlignment="1">
      <alignment horizontal="center" vertical="center" wrapText="1"/>
    </xf>
    <xf numFmtId="0" fontId="1" fillId="5" borderId="19" xfId="1" applyNumberFormat="1" applyFill="1" applyBorder="1" applyAlignment="1">
      <alignment horizontal="center" vertical="center" wrapText="1"/>
    </xf>
    <xf numFmtId="0" fontId="1" fillId="5" borderId="13" xfId="1" applyFill="1" applyBorder="1" applyAlignment="1">
      <alignment horizontal="center" vertical="center" wrapText="1"/>
    </xf>
    <xf numFmtId="0" fontId="1" fillId="5" borderId="18" xfId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19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/>
    </xf>
  </cellXfs>
  <cellStyles count="3">
    <cellStyle name="Hyperlink" xfId="2" builtinId="8"/>
    <cellStyle name="Normal" xfId="0" builtinId="0"/>
    <cellStyle name="Output" xfId="1" builtinId="2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  <color rgb="FFCCFFCC"/>
      <color rgb="FFFFCCCC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8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 b="1">
                <a:solidFill>
                  <a:sysClr val="windowText" lastClr="000000"/>
                </a:solidFill>
              </a:rPr>
              <a:t>Zebrafish Cloning Service : USA</a:t>
            </a:r>
          </a:p>
        </c:rich>
      </c:tx>
      <c:layout>
        <c:manualLayout>
          <c:xMode val="edge"/>
          <c:yMode val="edge"/>
          <c:x val="0.33928041557579125"/>
          <c:y val="2.0459179943910753E-2"/>
        </c:manualLayout>
      </c:layout>
      <c:overlay val="0"/>
      <c:spPr>
        <a:solidFill>
          <a:schemeClr val="accent6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8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61749878806919E-2"/>
          <c:y val="0.138418839159128"/>
          <c:w val="0.89266708006191164"/>
          <c:h val="0.69573356357264748"/>
        </c:manualLayout>
      </c:layout>
      <c:lineChart>
        <c:grouping val="standard"/>
        <c:varyColors val="0"/>
        <c:ser>
          <c:idx val="0"/>
          <c:order val="0"/>
          <c:tx>
            <c:v>AB-Cell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 of development'!$D$1:$Z$2</c:f>
              <c:strCache>
                <c:ptCount val="23"/>
                <c:pt idx="0">
                  <c:v>Activated</c:v>
                </c:pt>
                <c:pt idx="1">
                  <c:v>2-cell
</c:v>
                </c:pt>
                <c:pt idx="2">
                  <c:v>4-cell
</c:v>
                </c:pt>
                <c:pt idx="3">
                  <c:v>8-cell
</c:v>
                </c:pt>
                <c:pt idx="4">
                  <c:v>16-cell
</c:v>
                </c:pt>
                <c:pt idx="5">
                  <c:v>32-cell
</c:v>
                </c:pt>
                <c:pt idx="6">
                  <c:v>64-cell
</c:v>
                </c:pt>
                <c:pt idx="7">
                  <c:v>128-cell
</c:v>
                </c:pt>
                <c:pt idx="8">
                  <c:v>256-cell
</c:v>
                </c:pt>
                <c:pt idx="9">
                  <c:v>512-cell
</c:v>
                </c:pt>
                <c:pt idx="10">
                  <c:v>1k-cell
</c:v>
                </c:pt>
                <c:pt idx="11">
                  <c:v>High
</c:v>
                </c:pt>
                <c:pt idx="12">
                  <c:v>Oblong
</c:v>
                </c:pt>
                <c:pt idx="13">
                  <c:v>Sphere
</c:v>
                </c:pt>
                <c:pt idx="14">
                  <c:v>Dome
</c:v>
                </c:pt>
                <c:pt idx="15">
                  <c:v>30%epi
</c:v>
                </c:pt>
                <c:pt idx="16">
                  <c:v>50%epi
</c:v>
                </c:pt>
                <c:pt idx="17">
                  <c:v>Germ ring</c:v>
                </c:pt>
                <c:pt idx="18">
                  <c:v>Shield
</c:v>
                </c:pt>
                <c:pt idx="19">
                  <c:v>75%epi
</c:v>
                </c:pt>
                <c:pt idx="20">
                  <c:v>90%epi
</c:v>
                </c:pt>
                <c:pt idx="21">
                  <c:v>Day1</c:v>
                </c:pt>
                <c:pt idx="22">
                  <c:v>Day2</c:v>
                </c:pt>
              </c:strCache>
            </c:strRef>
          </c:cat>
          <c:val>
            <c:numRef>
              <c:f>'% of development'!$D$5:$Z$5</c:f>
              <c:numCache>
                <c:formatCode>0.00</c:formatCode>
                <c:ptCount val="23"/>
                <c:pt idx="0">
                  <c:v>100</c:v>
                </c:pt>
                <c:pt idx="1">
                  <c:v>47.717842323651453</c:v>
                </c:pt>
                <c:pt idx="2">
                  <c:v>44.190871369294605</c:v>
                </c:pt>
                <c:pt idx="3">
                  <c:v>41.286307053941911</c:v>
                </c:pt>
                <c:pt idx="4">
                  <c:v>37.136929460580916</c:v>
                </c:pt>
                <c:pt idx="5">
                  <c:v>36.099585062240664</c:v>
                </c:pt>
                <c:pt idx="6">
                  <c:v>35.892116182572614</c:v>
                </c:pt>
                <c:pt idx="7">
                  <c:v>35.062240663900418</c:v>
                </c:pt>
                <c:pt idx="8">
                  <c:v>35.062240663900418</c:v>
                </c:pt>
                <c:pt idx="9">
                  <c:v>34.024896265560166</c:v>
                </c:pt>
                <c:pt idx="10">
                  <c:v>32.572614107883815</c:v>
                </c:pt>
                <c:pt idx="11">
                  <c:v>30.497925311203318</c:v>
                </c:pt>
                <c:pt idx="12">
                  <c:v>27.178423236514522</c:v>
                </c:pt>
                <c:pt idx="13">
                  <c:v>23.651452282157678</c:v>
                </c:pt>
                <c:pt idx="14">
                  <c:v>16.390041493775932</c:v>
                </c:pt>
                <c:pt idx="15">
                  <c:v>11.203319502074688</c:v>
                </c:pt>
                <c:pt idx="16">
                  <c:v>7.8838174273858925</c:v>
                </c:pt>
                <c:pt idx="17">
                  <c:v>7.4688796680497926</c:v>
                </c:pt>
                <c:pt idx="18">
                  <c:v>6.0165975103734439</c:v>
                </c:pt>
                <c:pt idx="19">
                  <c:v>3.9419087136929463</c:v>
                </c:pt>
                <c:pt idx="20">
                  <c:v>2.904564315352697</c:v>
                </c:pt>
                <c:pt idx="21">
                  <c:v>2.2821576763485476</c:v>
                </c:pt>
                <c:pt idx="22">
                  <c:v>2.2821576763485476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7-4309-A215-CD1ACD666817}"/>
            </c:ext>
          </c:extLst>
        </c:ser>
        <c:ser>
          <c:idx val="1"/>
          <c:order val="1"/>
          <c:tx>
            <c:v>TU-Cell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 of development'!$D$1:$Z$2</c:f>
              <c:strCache>
                <c:ptCount val="23"/>
                <c:pt idx="0">
                  <c:v>Activated</c:v>
                </c:pt>
                <c:pt idx="1">
                  <c:v>2-cell
</c:v>
                </c:pt>
                <c:pt idx="2">
                  <c:v>4-cell
</c:v>
                </c:pt>
                <c:pt idx="3">
                  <c:v>8-cell
</c:v>
                </c:pt>
                <c:pt idx="4">
                  <c:v>16-cell
</c:v>
                </c:pt>
                <c:pt idx="5">
                  <c:v>32-cell
</c:v>
                </c:pt>
                <c:pt idx="6">
                  <c:v>64-cell
</c:v>
                </c:pt>
                <c:pt idx="7">
                  <c:v>128-cell
</c:v>
                </c:pt>
                <c:pt idx="8">
                  <c:v>256-cell
</c:v>
                </c:pt>
                <c:pt idx="9">
                  <c:v>512-cell
</c:v>
                </c:pt>
                <c:pt idx="10">
                  <c:v>1k-cell
</c:v>
                </c:pt>
                <c:pt idx="11">
                  <c:v>High
</c:v>
                </c:pt>
                <c:pt idx="12">
                  <c:v>Oblong
</c:v>
                </c:pt>
                <c:pt idx="13">
                  <c:v>Sphere
</c:v>
                </c:pt>
                <c:pt idx="14">
                  <c:v>Dome
</c:v>
                </c:pt>
                <c:pt idx="15">
                  <c:v>30%epi
</c:v>
                </c:pt>
                <c:pt idx="16">
                  <c:v>50%epi
</c:v>
                </c:pt>
                <c:pt idx="17">
                  <c:v>Germ ring</c:v>
                </c:pt>
                <c:pt idx="18">
                  <c:v>Shield
</c:v>
                </c:pt>
                <c:pt idx="19">
                  <c:v>75%epi
</c:v>
                </c:pt>
                <c:pt idx="20">
                  <c:v>90%epi
</c:v>
                </c:pt>
                <c:pt idx="21">
                  <c:v>Day1</c:v>
                </c:pt>
                <c:pt idx="22">
                  <c:v>Day2</c:v>
                </c:pt>
              </c:strCache>
            </c:strRef>
          </c:cat>
          <c:val>
            <c:numRef>
              <c:f>'% of development'!$D$8:$Z$8</c:f>
              <c:numCache>
                <c:formatCode>0.00</c:formatCode>
                <c:ptCount val="23"/>
                <c:pt idx="0">
                  <c:v>100</c:v>
                </c:pt>
                <c:pt idx="1">
                  <c:v>45.111111111111114</c:v>
                </c:pt>
                <c:pt idx="2">
                  <c:v>41.111111111111114</c:v>
                </c:pt>
                <c:pt idx="3">
                  <c:v>37.555555555555557</c:v>
                </c:pt>
                <c:pt idx="4">
                  <c:v>34.666666666666664</c:v>
                </c:pt>
                <c:pt idx="5">
                  <c:v>32.222222222222221</c:v>
                </c:pt>
                <c:pt idx="6">
                  <c:v>32</c:v>
                </c:pt>
                <c:pt idx="7">
                  <c:v>31.777777777777779</c:v>
                </c:pt>
                <c:pt idx="8">
                  <c:v>31.111111111111111</c:v>
                </c:pt>
                <c:pt idx="9">
                  <c:v>30</c:v>
                </c:pt>
                <c:pt idx="10">
                  <c:v>29.777777777777779</c:v>
                </c:pt>
                <c:pt idx="11">
                  <c:v>26.666666666666668</c:v>
                </c:pt>
                <c:pt idx="12">
                  <c:v>24.444444444444443</c:v>
                </c:pt>
                <c:pt idx="13">
                  <c:v>22.666666666666668</c:v>
                </c:pt>
                <c:pt idx="14">
                  <c:v>14.222222222222221</c:v>
                </c:pt>
                <c:pt idx="15">
                  <c:v>8.6666666666666661</c:v>
                </c:pt>
                <c:pt idx="16">
                  <c:v>5.333333333333333</c:v>
                </c:pt>
                <c:pt idx="17">
                  <c:v>4.8888888888888893</c:v>
                </c:pt>
                <c:pt idx="18">
                  <c:v>4.4444444444444446</c:v>
                </c:pt>
                <c:pt idx="19">
                  <c:v>2.4444444444444446</c:v>
                </c:pt>
                <c:pt idx="20">
                  <c:v>1.7777777777777777</c:v>
                </c:pt>
                <c:pt idx="21">
                  <c:v>1.7777777777777777</c:v>
                </c:pt>
                <c:pt idx="22">
                  <c:v>1.7777777777777777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57-4309-A215-CD1ACD666817}"/>
            </c:ext>
          </c:extLst>
        </c:ser>
        <c:ser>
          <c:idx val="2"/>
          <c:order val="2"/>
          <c:tx>
            <c:v>NHGRI-Cell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 of development'!$D$1:$Z$2</c:f>
              <c:strCache>
                <c:ptCount val="23"/>
                <c:pt idx="0">
                  <c:v>Activated</c:v>
                </c:pt>
                <c:pt idx="1">
                  <c:v>2-cell
</c:v>
                </c:pt>
                <c:pt idx="2">
                  <c:v>4-cell
</c:v>
                </c:pt>
                <c:pt idx="3">
                  <c:v>8-cell
</c:v>
                </c:pt>
                <c:pt idx="4">
                  <c:v>16-cell
</c:v>
                </c:pt>
                <c:pt idx="5">
                  <c:v>32-cell
</c:v>
                </c:pt>
                <c:pt idx="6">
                  <c:v>64-cell
</c:v>
                </c:pt>
                <c:pt idx="7">
                  <c:v>128-cell
</c:v>
                </c:pt>
                <c:pt idx="8">
                  <c:v>256-cell
</c:v>
                </c:pt>
                <c:pt idx="9">
                  <c:v>512-cell
</c:v>
                </c:pt>
                <c:pt idx="10">
                  <c:v>1k-cell
</c:v>
                </c:pt>
                <c:pt idx="11">
                  <c:v>High
</c:v>
                </c:pt>
                <c:pt idx="12">
                  <c:v>Oblong
</c:v>
                </c:pt>
                <c:pt idx="13">
                  <c:v>Sphere
</c:v>
                </c:pt>
                <c:pt idx="14">
                  <c:v>Dome
</c:v>
                </c:pt>
                <c:pt idx="15">
                  <c:v>30%epi
</c:v>
                </c:pt>
                <c:pt idx="16">
                  <c:v>50%epi
</c:v>
                </c:pt>
                <c:pt idx="17">
                  <c:v>Germ ring</c:v>
                </c:pt>
                <c:pt idx="18">
                  <c:v>Shield
</c:v>
                </c:pt>
                <c:pt idx="19">
                  <c:v>75%epi
</c:v>
                </c:pt>
                <c:pt idx="20">
                  <c:v>90%epi
</c:v>
                </c:pt>
                <c:pt idx="21">
                  <c:v>Day1</c:v>
                </c:pt>
                <c:pt idx="22">
                  <c:v>Day2</c:v>
                </c:pt>
              </c:strCache>
            </c:strRef>
          </c:cat>
          <c:val>
            <c:numRef>
              <c:f>'% of development'!$D$11:$Z$11</c:f>
              <c:numCache>
                <c:formatCode>0.00</c:formatCode>
                <c:ptCount val="23"/>
                <c:pt idx="0">
                  <c:v>100</c:v>
                </c:pt>
                <c:pt idx="1">
                  <c:v>48.347107438016529</c:v>
                </c:pt>
                <c:pt idx="2">
                  <c:v>45.454545454545453</c:v>
                </c:pt>
                <c:pt idx="3">
                  <c:v>43.388429752066116</c:v>
                </c:pt>
                <c:pt idx="4">
                  <c:v>41.528925619834709</c:v>
                </c:pt>
                <c:pt idx="5">
                  <c:v>39.876033057851238</c:v>
                </c:pt>
                <c:pt idx="6">
                  <c:v>39.256198347107436</c:v>
                </c:pt>
                <c:pt idx="7">
                  <c:v>37.190082644628099</c:v>
                </c:pt>
                <c:pt idx="8">
                  <c:v>36.776859504132233</c:v>
                </c:pt>
                <c:pt idx="9">
                  <c:v>35.537190082644628</c:v>
                </c:pt>
                <c:pt idx="10">
                  <c:v>34.710743801652896</c:v>
                </c:pt>
                <c:pt idx="11">
                  <c:v>33.471074380165291</c:v>
                </c:pt>
                <c:pt idx="12">
                  <c:v>30.165289256198346</c:v>
                </c:pt>
                <c:pt idx="13">
                  <c:v>26.239669421487605</c:v>
                </c:pt>
                <c:pt idx="14">
                  <c:v>19.214876033057852</c:v>
                </c:pt>
                <c:pt idx="15">
                  <c:v>16.322314049586776</c:v>
                </c:pt>
                <c:pt idx="16">
                  <c:v>14.049586776859504</c:v>
                </c:pt>
                <c:pt idx="17">
                  <c:v>14.049586776859504</c:v>
                </c:pt>
                <c:pt idx="18">
                  <c:v>11.570247933884298</c:v>
                </c:pt>
                <c:pt idx="19">
                  <c:v>10.537190082644628</c:v>
                </c:pt>
                <c:pt idx="20">
                  <c:v>7.0247933884297522</c:v>
                </c:pt>
                <c:pt idx="21">
                  <c:v>5.5785123966942152</c:v>
                </c:pt>
                <c:pt idx="22">
                  <c:v>5.5785123966942152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57-4309-A215-CD1ACD666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739608"/>
        <c:axId val="989738528"/>
      </c:lineChart>
      <c:catAx>
        <c:axId val="989739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</a:rPr>
                  <a:t>Developmental stages</a:t>
                </a:r>
              </a:p>
            </c:rich>
          </c:tx>
          <c:layout>
            <c:manualLayout>
              <c:xMode val="edge"/>
              <c:yMode val="edge"/>
              <c:x val="0.41834311653898282"/>
              <c:y val="0.921048964058455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89738528"/>
        <c:crosses val="autoZero"/>
        <c:auto val="1"/>
        <c:lblAlgn val="ctr"/>
        <c:lblOffset val="100"/>
        <c:noMultiLvlLbl val="0"/>
      </c:catAx>
      <c:valAx>
        <c:axId val="9897385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2400" b="1">
                    <a:solidFill>
                      <a:sysClr val="windowText" lastClr="000000"/>
                    </a:solidFill>
                  </a:rPr>
                  <a:t>% of development</a:t>
                </a:r>
                <a:endParaRPr lang="en-TH" sz="24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8.3462338667618739E-3"/>
              <c:y val="0.30219670635217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T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89739608"/>
        <c:crosses val="autoZero"/>
        <c:crossBetween val="between"/>
        <c:majorUnit val="10"/>
        <c:min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4885080555276482"/>
          <c:y val="8.6979975092561695E-2"/>
          <c:w val="0.30565250422237178"/>
          <c:h val="3.9608152291194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730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323850</xdr:colOff>
          <xdr:row>3</xdr:row>
          <xdr:rowOff>180975</xdr:rowOff>
        </xdr:from>
        <xdr:to>
          <xdr:col>35</xdr:col>
          <xdr:colOff>76200</xdr:colOff>
          <xdr:row>5</xdr:row>
          <xdr:rowOff>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2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642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323850</xdr:colOff>
          <xdr:row>4</xdr:row>
          <xdr:rowOff>180975</xdr:rowOff>
        </xdr:from>
        <xdr:to>
          <xdr:col>35</xdr:col>
          <xdr:colOff>76200</xdr:colOff>
          <xdr:row>6</xdr:row>
          <xdr:rowOff>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2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642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323850</xdr:colOff>
          <xdr:row>5</xdr:row>
          <xdr:rowOff>180975</xdr:rowOff>
        </xdr:from>
        <xdr:to>
          <xdr:col>35</xdr:col>
          <xdr:colOff>76200</xdr:colOff>
          <xdr:row>7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2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642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323850</xdr:colOff>
          <xdr:row>6</xdr:row>
          <xdr:rowOff>180975</xdr:rowOff>
        </xdr:from>
        <xdr:to>
          <xdr:col>35</xdr:col>
          <xdr:colOff>76200</xdr:colOff>
          <xdr:row>8</xdr:row>
          <xdr:rowOff>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2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642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323850</xdr:colOff>
          <xdr:row>7</xdr:row>
          <xdr:rowOff>180975</xdr:rowOff>
        </xdr:from>
        <xdr:to>
          <xdr:col>35</xdr:col>
          <xdr:colOff>76200</xdr:colOff>
          <xdr:row>9</xdr:row>
          <xdr:rowOff>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2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642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524686</xdr:colOff>
      <xdr:row>11</xdr:row>
      <xdr:rowOff>130197</xdr:rowOff>
    </xdr:from>
    <xdr:to>
      <xdr:col>25</xdr:col>
      <xdr:colOff>355865</xdr:colOff>
      <xdr:row>53</xdr:row>
      <xdr:rowOff>101599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CD69EAEE-496C-C396-3511-E79E8F3D2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Yanika PIYASANTI" id="{DAEB6B9F-8F5C-EC49-B19D-2C01ED1A9EF8}" userId="S::yanika.p@kuvacb.com::4ab95fee-2da3-48a3-9912-6b701b45d797" providerId="AD"/>
  <person displayName="Kannika SIRIPATTARAPRAVAT" id="{45238B6B-5560-4F15-98C8-0865049EB3B7}" userId="S::kannika.si@kuvacb.com::19e2ba2c-f611-420e-b785-88736dce2e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5-09-30T02:42:30.53" personId="{DAEB6B9F-8F5C-EC49-B19D-2C01ED1A9EF8}" id="{4EDC0246-B82E-E942-80EF-D22A2C5E5C7A}">
    <text>Result of %NBD  @ sheet NBD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25" dT="2025-11-12T01:32:22.41" personId="{45238B6B-5560-4F15-98C8-0865049EB3B7}" id="{E70B04C8-142F-436E-B5DB-25F2257D31ED}">
    <text>ยังดีอยู่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X25" dT="2025-11-12T01:32:22.41" personId="{45238B6B-5560-4F15-98C8-0865049EB3B7}" id="{54DDF1CA-0D07-4F53-9CCD-722E83D0B657}">
    <text>ยังดีอยู่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../Picture/No.25_Clone7-TU%20cell-01.tif" TargetMode="External"/><Relationship Id="rId13" Type="http://schemas.openxmlformats.org/officeDocument/2006/relationships/vmlDrawing" Target="../drawings/vmlDrawing4.vml"/><Relationship Id="rId3" Type="http://schemas.openxmlformats.org/officeDocument/2006/relationships/hyperlink" Target="../Picture/No.14_Clone4-NHGRI-14.tif" TargetMode="External"/><Relationship Id="rId7" Type="http://schemas.openxmlformats.org/officeDocument/2006/relationships/hyperlink" Target="../Picture/No.23_Clone1-NHGRI%20cell-15.tif" TargetMode="External"/><Relationship Id="rId12" Type="http://schemas.openxmlformats.org/officeDocument/2006/relationships/hyperlink" Target="../Picture/No.31_Clone5-AB%20cell-04.tif" TargetMode="External"/><Relationship Id="rId2" Type="http://schemas.openxmlformats.org/officeDocument/2006/relationships/hyperlink" Target="../Picture/No.11_Clone4-AB%20cell-17.tif" TargetMode="External"/><Relationship Id="rId1" Type="http://schemas.openxmlformats.org/officeDocument/2006/relationships/hyperlink" Target="../Picture/No.6_Clone3-AB%20cell-16.tif" TargetMode="External"/><Relationship Id="rId6" Type="http://schemas.openxmlformats.org/officeDocument/2006/relationships/hyperlink" Target="../Picture/No.21_Clone4-NHGRI%20cell-15.tif" TargetMode="External"/><Relationship Id="rId11" Type="http://schemas.openxmlformats.org/officeDocument/2006/relationships/hyperlink" Target="../Picture/No.30_Clone2-AB%20cell-04.tif" TargetMode="External"/><Relationship Id="rId5" Type="http://schemas.openxmlformats.org/officeDocument/2006/relationships/hyperlink" Target="../Picture/No.20_Clone1-NHGRI%20cell-15.tif" TargetMode="External"/><Relationship Id="rId15" Type="http://schemas.microsoft.com/office/2017/10/relationships/threadedComment" Target="../threadedComments/threadedComment2.xml"/><Relationship Id="rId10" Type="http://schemas.openxmlformats.org/officeDocument/2006/relationships/hyperlink" Target="../Picture/No.29_Clone8-TU%20cell-02.tif" TargetMode="External"/><Relationship Id="rId4" Type="http://schemas.openxmlformats.org/officeDocument/2006/relationships/hyperlink" Target="../Picture/No.19_Clone1-NHGRI%20cell-15.tif" TargetMode="External"/><Relationship Id="rId9" Type="http://schemas.openxmlformats.org/officeDocument/2006/relationships/hyperlink" Target="../Picture/No.28_Clone2-TU%20cell-02.tif" TargetMode="External"/><Relationship Id="rId1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../Picture/No.25_Clone7-TU%20cell-01.tif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../Picture/No.14_Clone4-NHGRI-14.tif" TargetMode="External"/><Relationship Id="rId7" Type="http://schemas.openxmlformats.org/officeDocument/2006/relationships/hyperlink" Target="../Picture/No.23_Clone1-NHGRI%20cell-15.tif" TargetMode="External"/><Relationship Id="rId12" Type="http://schemas.openxmlformats.org/officeDocument/2006/relationships/hyperlink" Target="../Picture/No.31_Clone5-AB%20cell-04.tif" TargetMode="External"/><Relationship Id="rId2" Type="http://schemas.openxmlformats.org/officeDocument/2006/relationships/hyperlink" Target="../Picture/No.11_Clone4-AB%20cell-17.tif" TargetMode="External"/><Relationship Id="rId16" Type="http://schemas.microsoft.com/office/2017/10/relationships/threadedComment" Target="../threadedComments/threadedComment3.xml"/><Relationship Id="rId1" Type="http://schemas.openxmlformats.org/officeDocument/2006/relationships/hyperlink" Target="../Picture/No.6_Clone3-AB%20cell-16.tif" TargetMode="External"/><Relationship Id="rId6" Type="http://schemas.openxmlformats.org/officeDocument/2006/relationships/hyperlink" Target="../Picture/No.21_Clone4-NHGRI%20cell-15.tif" TargetMode="External"/><Relationship Id="rId11" Type="http://schemas.openxmlformats.org/officeDocument/2006/relationships/hyperlink" Target="../Picture/No.30_Clone2-AB%20cell-04.tif" TargetMode="External"/><Relationship Id="rId5" Type="http://schemas.openxmlformats.org/officeDocument/2006/relationships/hyperlink" Target="../Picture/No.20_Clone1-NHGRI%20cell-15.tif" TargetMode="External"/><Relationship Id="rId15" Type="http://schemas.openxmlformats.org/officeDocument/2006/relationships/comments" Target="../comments4.xml"/><Relationship Id="rId10" Type="http://schemas.openxmlformats.org/officeDocument/2006/relationships/hyperlink" Target="../Picture/No.29_Clone8-TU%20cell-02.tif" TargetMode="External"/><Relationship Id="rId4" Type="http://schemas.openxmlformats.org/officeDocument/2006/relationships/hyperlink" Target="../Picture/No.19_Clone1-NHGRI%20cell-15.tif" TargetMode="External"/><Relationship Id="rId9" Type="http://schemas.openxmlformats.org/officeDocument/2006/relationships/hyperlink" Target="../Picture/No.28_Clone2-TU%20cell-02.tif" TargetMode="External"/><Relationship Id="rId14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14CC-24F5-41DD-8ECB-2D4672AC62CB}">
  <sheetPr>
    <tabColor rgb="FF00B0F0"/>
  </sheetPr>
  <dimension ref="A1:AP74"/>
  <sheetViews>
    <sheetView topLeftCell="A2" zoomScale="70" zoomScaleNormal="70" workbookViewId="0">
      <selection activeCell="A3" sqref="A3:A14"/>
    </sheetView>
  </sheetViews>
  <sheetFormatPr defaultRowHeight="15"/>
  <cols>
    <col min="1" max="1" width="16" customWidth="1"/>
    <col min="2" max="2" width="19.7109375" customWidth="1"/>
    <col min="3" max="3" width="22.28515625" customWidth="1"/>
    <col min="4" max="5" width="15" customWidth="1"/>
    <col min="6" max="7" width="12.28515625" customWidth="1"/>
    <col min="9" max="12" width="16.140625" customWidth="1"/>
    <col min="13" max="13" width="38.7109375" customWidth="1"/>
    <col min="14" max="14" width="13.28515625" customWidth="1"/>
    <col min="15" max="15" width="21.7109375" customWidth="1"/>
    <col min="16" max="16" width="19.85546875" customWidth="1"/>
    <col min="17" max="17" width="20.140625" customWidth="1"/>
    <col min="19" max="19" width="18.85546875" customWidth="1"/>
    <col min="20" max="35" width="14.85546875" customWidth="1"/>
    <col min="36" max="36" width="17.85546875" customWidth="1"/>
    <col min="37" max="42" width="14.85546875" customWidth="1"/>
  </cols>
  <sheetData>
    <row r="1" spans="1:42" s="193" customFormat="1" ht="30.75" customHeight="1">
      <c r="A1" s="661" t="s">
        <v>0</v>
      </c>
      <c r="B1" s="663" t="s">
        <v>1</v>
      </c>
      <c r="C1" s="211" t="s">
        <v>2</v>
      </c>
      <c r="D1" s="663" t="s">
        <v>3</v>
      </c>
      <c r="E1" s="665"/>
      <c r="F1" s="663" t="s">
        <v>4</v>
      </c>
      <c r="G1" s="667" t="s">
        <v>5</v>
      </c>
      <c r="H1" s="669" t="s">
        <v>6</v>
      </c>
      <c r="I1" s="663" t="s">
        <v>7</v>
      </c>
      <c r="J1" s="663"/>
      <c r="K1" s="663" t="s">
        <v>8</v>
      </c>
      <c r="L1" s="663"/>
      <c r="M1" s="671" t="s">
        <v>9</v>
      </c>
      <c r="N1" s="650" t="s">
        <v>10</v>
      </c>
      <c r="O1" s="652" t="s">
        <v>11</v>
      </c>
      <c r="P1" s="654" t="s">
        <v>12</v>
      </c>
      <c r="Q1" s="654" t="s">
        <v>13</v>
      </c>
      <c r="R1" s="659" t="s">
        <v>6</v>
      </c>
      <c r="S1" s="659" t="s">
        <v>14</v>
      </c>
      <c r="T1" s="641" t="s">
        <v>15</v>
      </c>
      <c r="U1" s="643" t="s">
        <v>16</v>
      </c>
      <c r="V1" s="645" t="s">
        <v>17</v>
      </c>
      <c r="W1" s="647" t="s">
        <v>18</v>
      </c>
      <c r="X1" s="647" t="s">
        <v>19</v>
      </c>
      <c r="Y1" s="645" t="s">
        <v>20</v>
      </c>
      <c r="Z1" s="633" t="s">
        <v>21</v>
      </c>
      <c r="AA1" s="633" t="s">
        <v>22</v>
      </c>
      <c r="AB1" s="633" t="s">
        <v>23</v>
      </c>
      <c r="AC1" s="633" t="s">
        <v>24</v>
      </c>
      <c r="AD1" s="631" t="s">
        <v>25</v>
      </c>
      <c r="AE1" s="631" t="s">
        <v>26</v>
      </c>
      <c r="AF1" s="631" t="s">
        <v>27</v>
      </c>
      <c r="AG1" s="633" t="s">
        <v>28</v>
      </c>
      <c r="AH1" s="633" t="s">
        <v>29</v>
      </c>
      <c r="AI1" s="635" t="s">
        <v>30</v>
      </c>
      <c r="AJ1" s="637" t="s">
        <v>31</v>
      </c>
      <c r="AK1" s="639" t="s">
        <v>32</v>
      </c>
      <c r="AL1" s="617" t="s">
        <v>33</v>
      </c>
      <c r="AM1" s="619" t="s">
        <v>34</v>
      </c>
      <c r="AN1" s="621" t="s">
        <v>35</v>
      </c>
      <c r="AO1" s="621" t="s">
        <v>36</v>
      </c>
      <c r="AP1" s="623" t="s">
        <v>37</v>
      </c>
    </row>
    <row r="2" spans="1:42" s="193" customFormat="1" ht="60" customHeight="1" thickBot="1">
      <c r="A2" s="662"/>
      <c r="B2" s="664"/>
      <c r="C2" s="210" t="s">
        <v>38</v>
      </c>
      <c r="D2" s="210" t="s">
        <v>39</v>
      </c>
      <c r="E2" s="210" t="s">
        <v>40</v>
      </c>
      <c r="F2" s="666"/>
      <c r="G2" s="668"/>
      <c r="H2" s="670"/>
      <c r="I2" s="209" t="s">
        <v>41</v>
      </c>
      <c r="J2" s="209" t="s">
        <v>42</v>
      </c>
      <c r="K2" s="209" t="s">
        <v>43</v>
      </c>
      <c r="L2" s="210" t="s">
        <v>44</v>
      </c>
      <c r="M2" s="672"/>
      <c r="N2" s="651"/>
      <c r="O2" s="653"/>
      <c r="P2" s="655"/>
      <c r="Q2" s="655"/>
      <c r="R2" s="660"/>
      <c r="S2" s="660"/>
      <c r="T2" s="642"/>
      <c r="U2" s="644"/>
      <c r="V2" s="646"/>
      <c r="W2" s="648"/>
      <c r="X2" s="648"/>
      <c r="Y2" s="649"/>
      <c r="Z2" s="634"/>
      <c r="AA2" s="634"/>
      <c r="AB2" s="634"/>
      <c r="AC2" s="634"/>
      <c r="AD2" s="632"/>
      <c r="AE2" s="632"/>
      <c r="AF2" s="632"/>
      <c r="AG2" s="634"/>
      <c r="AH2" s="634"/>
      <c r="AI2" s="636"/>
      <c r="AJ2" s="638"/>
      <c r="AK2" s="640"/>
      <c r="AL2" s="618"/>
      <c r="AM2" s="620"/>
      <c r="AN2" s="622"/>
      <c r="AO2" s="622"/>
      <c r="AP2" s="624"/>
    </row>
    <row r="3" spans="1:42" ht="21.6" customHeight="1">
      <c r="A3" s="675"/>
      <c r="B3" s="674"/>
      <c r="C3" s="674"/>
      <c r="D3" s="674"/>
      <c r="E3" s="674"/>
      <c r="F3" s="674"/>
      <c r="G3" s="674"/>
      <c r="H3" s="674"/>
      <c r="I3" s="674"/>
      <c r="J3" s="674"/>
      <c r="K3" s="674"/>
      <c r="L3" s="674"/>
      <c r="M3" s="673"/>
      <c r="N3" s="625"/>
      <c r="O3" s="628"/>
      <c r="P3" s="194">
        <v>1</v>
      </c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6"/>
    </row>
    <row r="4" spans="1:42" ht="21.6" customHeight="1">
      <c r="A4" s="675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3"/>
      <c r="N4" s="626"/>
      <c r="O4" s="629"/>
      <c r="P4" s="197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9"/>
    </row>
    <row r="5" spans="1:42" ht="21.6" customHeight="1">
      <c r="A5" s="675"/>
      <c r="B5" s="674"/>
      <c r="C5" s="674"/>
      <c r="D5" s="674"/>
      <c r="E5" s="674"/>
      <c r="F5" s="674"/>
      <c r="G5" s="674"/>
      <c r="H5" s="674"/>
      <c r="I5" s="674"/>
      <c r="J5" s="674"/>
      <c r="K5" s="674"/>
      <c r="L5" s="674"/>
      <c r="M5" s="673"/>
      <c r="N5" s="626"/>
      <c r="O5" s="629"/>
      <c r="P5" s="200">
        <v>2</v>
      </c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2"/>
    </row>
    <row r="6" spans="1:42" ht="21.6" customHeight="1">
      <c r="A6" s="675"/>
      <c r="B6" s="674"/>
      <c r="C6" s="674"/>
      <c r="D6" s="674"/>
      <c r="E6" s="674"/>
      <c r="F6" s="674"/>
      <c r="G6" s="674"/>
      <c r="H6" s="674"/>
      <c r="I6" s="674"/>
      <c r="J6" s="674"/>
      <c r="K6" s="674"/>
      <c r="L6" s="674"/>
      <c r="M6" s="673"/>
      <c r="N6" s="626"/>
      <c r="O6" s="629"/>
      <c r="P6" s="197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9"/>
    </row>
    <row r="7" spans="1:42" ht="21.6" customHeight="1">
      <c r="A7" s="675"/>
      <c r="B7" s="674"/>
      <c r="C7" s="674"/>
      <c r="D7" s="674"/>
      <c r="E7" s="674"/>
      <c r="F7" s="674"/>
      <c r="G7" s="674"/>
      <c r="H7" s="674"/>
      <c r="I7" s="674"/>
      <c r="J7" s="674"/>
      <c r="K7" s="674"/>
      <c r="L7" s="674"/>
      <c r="M7" s="673"/>
      <c r="N7" s="626"/>
      <c r="O7" s="629"/>
      <c r="P7" s="200">
        <v>3</v>
      </c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2"/>
    </row>
    <row r="8" spans="1:42" ht="21.6" customHeight="1">
      <c r="A8" s="675"/>
      <c r="B8" s="674"/>
      <c r="C8" s="674"/>
      <c r="D8" s="674"/>
      <c r="E8" s="674"/>
      <c r="F8" s="674"/>
      <c r="G8" s="674"/>
      <c r="H8" s="674"/>
      <c r="I8" s="674"/>
      <c r="J8" s="674"/>
      <c r="K8" s="674"/>
      <c r="L8" s="674"/>
      <c r="M8" s="673"/>
      <c r="N8" s="626"/>
      <c r="O8" s="629"/>
      <c r="P8" s="197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9"/>
    </row>
    <row r="9" spans="1:42" ht="21.6" customHeight="1">
      <c r="A9" s="675"/>
      <c r="B9" s="674"/>
      <c r="C9" s="674"/>
      <c r="D9" s="674"/>
      <c r="E9" s="674"/>
      <c r="F9" s="674"/>
      <c r="G9" s="674"/>
      <c r="H9" s="674"/>
      <c r="I9" s="674"/>
      <c r="J9" s="674"/>
      <c r="K9" s="674"/>
      <c r="L9" s="674"/>
      <c r="M9" s="673"/>
      <c r="N9" s="626"/>
      <c r="O9" s="629"/>
      <c r="P9" s="200">
        <v>4</v>
      </c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  <c r="AD9" s="201"/>
      <c r="AE9" s="201"/>
      <c r="AF9" s="201"/>
      <c r="AG9" s="201"/>
      <c r="AH9" s="201"/>
      <c r="AI9" s="201"/>
      <c r="AJ9" s="201"/>
      <c r="AK9" s="201"/>
      <c r="AL9" s="201"/>
      <c r="AM9" s="201"/>
      <c r="AN9" s="201"/>
      <c r="AO9" s="201"/>
      <c r="AP9" s="202"/>
    </row>
    <row r="10" spans="1:42" ht="21.6" customHeight="1">
      <c r="A10" s="675"/>
      <c r="B10" s="674"/>
      <c r="C10" s="674"/>
      <c r="D10" s="674"/>
      <c r="E10" s="674"/>
      <c r="F10" s="674"/>
      <c r="G10" s="674"/>
      <c r="H10" s="674"/>
      <c r="I10" s="674"/>
      <c r="J10" s="674"/>
      <c r="K10" s="674"/>
      <c r="L10" s="674"/>
      <c r="M10" s="673"/>
      <c r="N10" s="626"/>
      <c r="O10" s="629"/>
      <c r="P10" s="197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9"/>
    </row>
    <row r="11" spans="1:42" ht="21.6" customHeight="1">
      <c r="A11" s="675"/>
      <c r="B11" s="674"/>
      <c r="C11" s="674"/>
      <c r="D11" s="674"/>
      <c r="E11" s="674"/>
      <c r="F11" s="674"/>
      <c r="G11" s="674"/>
      <c r="H11" s="674"/>
      <c r="I11" s="674"/>
      <c r="J11" s="674"/>
      <c r="K11" s="674"/>
      <c r="L11" s="674"/>
      <c r="M11" s="673"/>
      <c r="N11" s="626"/>
      <c r="O11" s="629"/>
      <c r="P11" s="200">
        <v>5</v>
      </c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2"/>
    </row>
    <row r="12" spans="1:42" ht="21.6" customHeight="1">
      <c r="A12" s="675"/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3"/>
      <c r="N12" s="626"/>
      <c r="O12" s="629"/>
      <c r="P12" s="203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5"/>
    </row>
    <row r="13" spans="1:42" ht="21.6" customHeight="1">
      <c r="A13" s="675"/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3"/>
      <c r="N13" s="626"/>
      <c r="O13" s="629"/>
      <c r="P13" s="200">
        <v>6</v>
      </c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201"/>
      <c r="AF13" s="201"/>
      <c r="AG13" s="201"/>
      <c r="AH13" s="201"/>
      <c r="AI13" s="201"/>
      <c r="AJ13" s="201"/>
      <c r="AK13" s="201"/>
      <c r="AL13" s="201"/>
      <c r="AM13" s="201"/>
      <c r="AN13" s="201"/>
      <c r="AO13" s="201"/>
      <c r="AP13" s="202"/>
    </row>
    <row r="14" spans="1:42" ht="21.6" customHeight="1" thickBot="1">
      <c r="A14" s="675"/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3"/>
      <c r="N14" s="627"/>
      <c r="O14" s="630"/>
      <c r="P14" s="206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8"/>
    </row>
    <row r="15" spans="1:42" ht="21.6" customHeight="1">
      <c r="A15" s="675"/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3"/>
      <c r="N15" s="625"/>
      <c r="O15" s="656"/>
      <c r="P15" s="194">
        <v>1</v>
      </c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6"/>
    </row>
    <row r="16" spans="1:42" ht="21.6" customHeight="1">
      <c r="A16" s="675"/>
      <c r="B16" s="674"/>
      <c r="C16" s="674"/>
      <c r="D16" s="674"/>
      <c r="E16" s="674"/>
      <c r="F16" s="674"/>
      <c r="G16" s="674"/>
      <c r="H16" s="674"/>
      <c r="I16" s="674"/>
      <c r="J16" s="674"/>
      <c r="K16" s="674"/>
      <c r="L16" s="674"/>
      <c r="M16" s="673"/>
      <c r="N16" s="626"/>
      <c r="O16" s="657"/>
      <c r="P16" s="197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9"/>
    </row>
    <row r="17" spans="1:42" ht="21.6" customHeight="1">
      <c r="A17" s="675"/>
      <c r="B17" s="674"/>
      <c r="C17" s="674"/>
      <c r="D17" s="674"/>
      <c r="E17" s="674"/>
      <c r="F17" s="674"/>
      <c r="G17" s="674"/>
      <c r="H17" s="674"/>
      <c r="I17" s="674"/>
      <c r="J17" s="674"/>
      <c r="K17" s="674"/>
      <c r="L17" s="674"/>
      <c r="M17" s="673"/>
      <c r="N17" s="626"/>
      <c r="O17" s="657"/>
      <c r="P17" s="200">
        <v>2</v>
      </c>
      <c r="Q17" s="201"/>
      <c r="R17" s="201"/>
      <c r="S17" s="201"/>
      <c r="T17" s="201"/>
      <c r="U17" s="201"/>
      <c r="V17" s="201"/>
      <c r="W17" s="201"/>
      <c r="X17" s="201"/>
      <c r="Y17" s="201"/>
      <c r="Z17" s="201"/>
      <c r="AA17" s="201"/>
      <c r="AB17" s="201"/>
      <c r="AC17" s="201"/>
      <c r="AD17" s="201"/>
      <c r="AE17" s="201"/>
      <c r="AF17" s="201"/>
      <c r="AG17" s="201"/>
      <c r="AH17" s="201"/>
      <c r="AI17" s="201"/>
      <c r="AJ17" s="201"/>
      <c r="AK17" s="201"/>
      <c r="AL17" s="201"/>
      <c r="AM17" s="201"/>
      <c r="AN17" s="201"/>
      <c r="AO17" s="201"/>
      <c r="AP17" s="202"/>
    </row>
    <row r="18" spans="1:42" ht="21.6" customHeight="1">
      <c r="A18" s="675"/>
      <c r="B18" s="674"/>
      <c r="C18" s="674"/>
      <c r="D18" s="674"/>
      <c r="E18" s="674"/>
      <c r="F18" s="674"/>
      <c r="G18" s="674"/>
      <c r="H18" s="674"/>
      <c r="I18" s="674"/>
      <c r="J18" s="674"/>
      <c r="K18" s="674"/>
      <c r="L18" s="674"/>
      <c r="M18" s="673"/>
      <c r="N18" s="626"/>
      <c r="O18" s="657"/>
      <c r="P18" s="197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9"/>
    </row>
    <row r="19" spans="1:42" ht="21.6" customHeight="1">
      <c r="A19" s="675"/>
      <c r="B19" s="674"/>
      <c r="C19" s="674"/>
      <c r="D19" s="674"/>
      <c r="E19" s="674"/>
      <c r="F19" s="674"/>
      <c r="G19" s="674"/>
      <c r="H19" s="674"/>
      <c r="I19" s="674"/>
      <c r="J19" s="674"/>
      <c r="K19" s="674"/>
      <c r="L19" s="674"/>
      <c r="M19" s="673"/>
      <c r="N19" s="626"/>
      <c r="O19" s="657"/>
      <c r="P19" s="200">
        <v>3</v>
      </c>
      <c r="Q19" s="201"/>
      <c r="R19" s="201"/>
      <c r="S19" s="201"/>
      <c r="T19" s="201"/>
      <c r="U19" s="201"/>
      <c r="V19" s="201"/>
      <c r="W19" s="201"/>
      <c r="X19" s="201"/>
      <c r="Y19" s="201"/>
      <c r="Z19" s="201"/>
      <c r="AA19" s="201"/>
      <c r="AB19" s="201"/>
      <c r="AC19" s="201"/>
      <c r="AD19" s="201"/>
      <c r="AE19" s="201"/>
      <c r="AF19" s="201"/>
      <c r="AG19" s="201"/>
      <c r="AH19" s="201"/>
      <c r="AI19" s="201"/>
      <c r="AJ19" s="201"/>
      <c r="AK19" s="201"/>
      <c r="AL19" s="201"/>
      <c r="AM19" s="201"/>
      <c r="AN19" s="201"/>
      <c r="AO19" s="201"/>
      <c r="AP19" s="202"/>
    </row>
    <row r="20" spans="1:42" ht="21.6" customHeight="1">
      <c r="A20" s="675"/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3"/>
      <c r="N20" s="626"/>
      <c r="O20" s="657"/>
      <c r="P20" s="197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9"/>
    </row>
    <row r="21" spans="1:42" ht="21.6" customHeight="1">
      <c r="A21" s="675"/>
      <c r="B21" s="674"/>
      <c r="C21" s="674"/>
      <c r="D21" s="674"/>
      <c r="E21" s="674"/>
      <c r="F21" s="674"/>
      <c r="G21" s="674"/>
      <c r="H21" s="674"/>
      <c r="I21" s="674"/>
      <c r="J21" s="674"/>
      <c r="K21" s="674"/>
      <c r="L21" s="674"/>
      <c r="M21" s="673"/>
      <c r="N21" s="626"/>
      <c r="O21" s="657"/>
      <c r="P21" s="200">
        <v>4</v>
      </c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1"/>
      <c r="AF21" s="201"/>
      <c r="AG21" s="201"/>
      <c r="AH21" s="201"/>
      <c r="AI21" s="201"/>
      <c r="AJ21" s="201"/>
      <c r="AK21" s="201"/>
      <c r="AL21" s="201"/>
      <c r="AM21" s="201"/>
      <c r="AN21" s="201"/>
      <c r="AO21" s="201"/>
      <c r="AP21" s="202"/>
    </row>
    <row r="22" spans="1:42" ht="21.6" customHeight="1">
      <c r="A22" s="675"/>
      <c r="B22" s="674"/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3"/>
      <c r="N22" s="626"/>
      <c r="O22" s="657"/>
      <c r="P22" s="197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9"/>
    </row>
    <row r="23" spans="1:42" ht="21.6" customHeight="1">
      <c r="A23" s="675"/>
      <c r="B23" s="674"/>
      <c r="C23" s="674"/>
      <c r="D23" s="674"/>
      <c r="E23" s="674"/>
      <c r="F23" s="674"/>
      <c r="G23" s="674"/>
      <c r="H23" s="674"/>
      <c r="I23" s="674"/>
      <c r="J23" s="674"/>
      <c r="K23" s="674"/>
      <c r="L23" s="674"/>
      <c r="M23" s="673"/>
      <c r="N23" s="626"/>
      <c r="O23" s="657"/>
      <c r="P23" s="200">
        <v>5</v>
      </c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2"/>
    </row>
    <row r="24" spans="1:42" ht="21.6" customHeight="1">
      <c r="A24" s="675"/>
      <c r="B24" s="674"/>
      <c r="C24" s="674"/>
      <c r="D24" s="674"/>
      <c r="E24" s="674"/>
      <c r="F24" s="674"/>
      <c r="G24" s="674"/>
      <c r="H24" s="674"/>
      <c r="I24" s="674"/>
      <c r="J24" s="674"/>
      <c r="K24" s="674"/>
      <c r="L24" s="674"/>
      <c r="M24" s="673"/>
      <c r="N24" s="626"/>
      <c r="O24" s="657"/>
      <c r="P24" s="203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  <c r="AO24" s="204"/>
      <c r="AP24" s="205"/>
    </row>
    <row r="25" spans="1:42" ht="21.6" customHeight="1">
      <c r="A25" s="675"/>
      <c r="B25" s="674"/>
      <c r="C25" s="674"/>
      <c r="D25" s="674"/>
      <c r="E25" s="674"/>
      <c r="F25" s="674"/>
      <c r="G25" s="674"/>
      <c r="H25" s="674"/>
      <c r="I25" s="674"/>
      <c r="J25" s="674"/>
      <c r="K25" s="674"/>
      <c r="L25" s="674"/>
      <c r="M25" s="673"/>
      <c r="N25" s="626"/>
      <c r="O25" s="657"/>
      <c r="P25" s="200">
        <v>6</v>
      </c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  <c r="AG25" s="201"/>
      <c r="AH25" s="201"/>
      <c r="AI25" s="201"/>
      <c r="AJ25" s="201"/>
      <c r="AK25" s="201"/>
      <c r="AL25" s="201"/>
      <c r="AM25" s="201"/>
      <c r="AN25" s="201"/>
      <c r="AO25" s="201"/>
      <c r="AP25" s="202"/>
    </row>
    <row r="26" spans="1:42" ht="21.6" customHeight="1" thickBot="1">
      <c r="A26" s="675"/>
      <c r="B26" s="674"/>
      <c r="C26" s="674"/>
      <c r="D26" s="674"/>
      <c r="E26" s="674"/>
      <c r="F26" s="674"/>
      <c r="G26" s="674"/>
      <c r="H26" s="674"/>
      <c r="I26" s="674"/>
      <c r="J26" s="674"/>
      <c r="K26" s="674"/>
      <c r="L26" s="674"/>
      <c r="M26" s="673"/>
      <c r="N26" s="627"/>
      <c r="O26" s="658"/>
      <c r="P26" s="206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8"/>
    </row>
    <row r="27" spans="1:42" ht="21.6" customHeight="1">
      <c r="A27" s="675"/>
      <c r="B27" s="674"/>
      <c r="C27" s="674"/>
      <c r="D27" s="674"/>
      <c r="E27" s="674"/>
      <c r="F27" s="674"/>
      <c r="G27" s="674"/>
      <c r="H27" s="674"/>
      <c r="I27" s="674"/>
      <c r="J27" s="674"/>
      <c r="K27" s="674"/>
      <c r="L27" s="674"/>
      <c r="M27" s="673"/>
      <c r="N27" s="625"/>
      <c r="O27" s="656"/>
      <c r="P27" s="194">
        <v>1</v>
      </c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6"/>
    </row>
    <row r="28" spans="1:42" ht="21.6" customHeight="1">
      <c r="A28" s="675"/>
      <c r="B28" s="674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673"/>
      <c r="N28" s="626"/>
      <c r="O28" s="657"/>
      <c r="P28" s="197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9"/>
    </row>
    <row r="29" spans="1:42" ht="21.6" customHeight="1">
      <c r="A29" s="675"/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673"/>
      <c r="N29" s="626"/>
      <c r="O29" s="657"/>
      <c r="P29" s="200">
        <v>2</v>
      </c>
      <c r="Q29" s="201"/>
      <c r="R29" s="201"/>
      <c r="S29" s="201"/>
      <c r="T29" s="201"/>
      <c r="U29" s="201"/>
      <c r="V29" s="201"/>
      <c r="W29" s="201"/>
      <c r="X29" s="201"/>
      <c r="Y29" s="201"/>
      <c r="Z29" s="201"/>
      <c r="AA29" s="201"/>
      <c r="AB29" s="201"/>
      <c r="AC29" s="201"/>
      <c r="AD29" s="201"/>
      <c r="AE29" s="201"/>
      <c r="AF29" s="201"/>
      <c r="AG29" s="201"/>
      <c r="AH29" s="201"/>
      <c r="AI29" s="201"/>
      <c r="AJ29" s="201"/>
      <c r="AK29" s="201"/>
      <c r="AL29" s="201"/>
      <c r="AM29" s="201"/>
      <c r="AN29" s="201"/>
      <c r="AO29" s="201"/>
      <c r="AP29" s="202"/>
    </row>
    <row r="30" spans="1:42" ht="21.6" customHeight="1">
      <c r="A30" s="675"/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M30" s="673"/>
      <c r="N30" s="626"/>
      <c r="O30" s="657"/>
      <c r="P30" s="197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9"/>
    </row>
    <row r="31" spans="1:42" ht="21.6" customHeight="1">
      <c r="A31" s="675"/>
      <c r="B31" s="674"/>
      <c r="C31" s="674"/>
      <c r="D31" s="674"/>
      <c r="E31" s="674"/>
      <c r="F31" s="674"/>
      <c r="G31" s="674"/>
      <c r="H31" s="674"/>
      <c r="I31" s="674"/>
      <c r="J31" s="674"/>
      <c r="K31" s="674"/>
      <c r="L31" s="674"/>
      <c r="M31" s="673"/>
      <c r="N31" s="626"/>
      <c r="O31" s="657"/>
      <c r="P31" s="200">
        <v>3</v>
      </c>
      <c r="Q31" s="201"/>
      <c r="R31" s="201"/>
      <c r="S31" s="201"/>
      <c r="T31" s="201"/>
      <c r="U31" s="201"/>
      <c r="V31" s="201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2"/>
    </row>
    <row r="32" spans="1:42" ht="21.6" customHeight="1">
      <c r="A32" s="675"/>
      <c r="B32" s="674"/>
      <c r="C32" s="674"/>
      <c r="D32" s="674"/>
      <c r="E32" s="674"/>
      <c r="F32" s="674"/>
      <c r="G32" s="674"/>
      <c r="H32" s="674"/>
      <c r="I32" s="674"/>
      <c r="J32" s="674"/>
      <c r="K32" s="674"/>
      <c r="L32" s="674"/>
      <c r="M32" s="673"/>
      <c r="N32" s="626"/>
      <c r="O32" s="657"/>
      <c r="P32" s="197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9"/>
    </row>
    <row r="33" spans="1:42" ht="21.6" customHeight="1">
      <c r="A33" s="675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3"/>
      <c r="N33" s="626"/>
      <c r="O33" s="657"/>
      <c r="P33" s="200">
        <v>4</v>
      </c>
      <c r="Q33" s="201"/>
      <c r="R33" s="201"/>
      <c r="S33" s="201"/>
      <c r="T33" s="201"/>
      <c r="U33" s="201"/>
      <c r="V33" s="201"/>
      <c r="W33" s="201"/>
      <c r="X33" s="201"/>
      <c r="Y33" s="201"/>
      <c r="Z33" s="201"/>
      <c r="AA33" s="201"/>
      <c r="AB33" s="201"/>
      <c r="AC33" s="201"/>
      <c r="AD33" s="201"/>
      <c r="AE33" s="201"/>
      <c r="AF33" s="201"/>
      <c r="AG33" s="201"/>
      <c r="AH33" s="201"/>
      <c r="AI33" s="201"/>
      <c r="AJ33" s="201"/>
      <c r="AK33" s="201"/>
      <c r="AL33" s="201"/>
      <c r="AM33" s="201"/>
      <c r="AN33" s="201"/>
      <c r="AO33" s="201"/>
      <c r="AP33" s="202"/>
    </row>
    <row r="34" spans="1:42" ht="21.6" customHeight="1">
      <c r="A34" s="675"/>
      <c r="B34" s="674"/>
      <c r="C34" s="674"/>
      <c r="D34" s="674"/>
      <c r="E34" s="674"/>
      <c r="F34" s="674"/>
      <c r="G34" s="674"/>
      <c r="H34" s="674"/>
      <c r="I34" s="674"/>
      <c r="J34" s="674"/>
      <c r="K34" s="674"/>
      <c r="L34" s="674"/>
      <c r="M34" s="673"/>
      <c r="N34" s="626"/>
      <c r="O34" s="657"/>
      <c r="P34" s="197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9"/>
    </row>
    <row r="35" spans="1:42" ht="21.6" customHeight="1">
      <c r="A35" s="675"/>
      <c r="B35" s="674"/>
      <c r="C35" s="674"/>
      <c r="D35" s="674"/>
      <c r="E35" s="674"/>
      <c r="F35" s="674"/>
      <c r="G35" s="674"/>
      <c r="H35" s="674"/>
      <c r="I35" s="674"/>
      <c r="J35" s="674"/>
      <c r="K35" s="674"/>
      <c r="L35" s="674"/>
      <c r="M35" s="673"/>
      <c r="N35" s="626"/>
      <c r="O35" s="657"/>
      <c r="P35" s="200">
        <v>5</v>
      </c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  <c r="AD35" s="201"/>
      <c r="AE35" s="201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2"/>
    </row>
    <row r="36" spans="1:42" ht="21.6" customHeight="1">
      <c r="A36" s="675"/>
      <c r="B36" s="674"/>
      <c r="C36" s="674"/>
      <c r="D36" s="674"/>
      <c r="E36" s="674"/>
      <c r="F36" s="674"/>
      <c r="G36" s="674"/>
      <c r="H36" s="674"/>
      <c r="I36" s="674"/>
      <c r="J36" s="674"/>
      <c r="K36" s="674"/>
      <c r="L36" s="674"/>
      <c r="M36" s="673"/>
      <c r="N36" s="626"/>
      <c r="O36" s="657"/>
      <c r="P36" s="203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5"/>
    </row>
    <row r="37" spans="1:42" ht="21.6" customHeight="1">
      <c r="A37" s="675"/>
      <c r="B37" s="674"/>
      <c r="C37" s="674"/>
      <c r="D37" s="674"/>
      <c r="E37" s="674"/>
      <c r="F37" s="674"/>
      <c r="G37" s="674"/>
      <c r="H37" s="674"/>
      <c r="I37" s="674"/>
      <c r="J37" s="674"/>
      <c r="K37" s="674"/>
      <c r="L37" s="674"/>
      <c r="M37" s="673"/>
      <c r="N37" s="626"/>
      <c r="O37" s="657"/>
      <c r="P37" s="200">
        <v>6</v>
      </c>
      <c r="Q37" s="201"/>
      <c r="R37" s="201"/>
      <c r="S37" s="201"/>
      <c r="T37" s="201"/>
      <c r="U37" s="201"/>
      <c r="V37" s="201"/>
      <c r="W37" s="201"/>
      <c r="X37" s="201"/>
      <c r="Y37" s="201"/>
      <c r="Z37" s="201"/>
      <c r="AA37" s="201"/>
      <c r="AB37" s="201"/>
      <c r="AC37" s="201"/>
      <c r="AD37" s="201"/>
      <c r="AE37" s="201"/>
      <c r="AF37" s="201"/>
      <c r="AG37" s="201"/>
      <c r="AH37" s="201"/>
      <c r="AI37" s="201"/>
      <c r="AJ37" s="201"/>
      <c r="AK37" s="201"/>
      <c r="AL37" s="201"/>
      <c r="AM37" s="201"/>
      <c r="AN37" s="201"/>
      <c r="AO37" s="201"/>
      <c r="AP37" s="202"/>
    </row>
    <row r="38" spans="1:42" ht="21.6" customHeight="1" thickBot="1">
      <c r="A38" s="676"/>
      <c r="B38" s="677"/>
      <c r="C38" s="677"/>
      <c r="D38" s="677"/>
      <c r="E38" s="677"/>
      <c r="F38" s="677"/>
      <c r="G38" s="677"/>
      <c r="H38" s="677"/>
      <c r="I38" s="677"/>
      <c r="J38" s="677"/>
      <c r="K38" s="677"/>
      <c r="L38" s="677"/>
      <c r="M38" s="678"/>
      <c r="N38" s="627"/>
      <c r="O38" s="658"/>
      <c r="P38" s="206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8"/>
    </row>
    <row r="39" spans="1:42" ht="15.75">
      <c r="A39" s="675"/>
      <c r="B39" s="674"/>
      <c r="C39" s="674"/>
      <c r="D39" s="674"/>
      <c r="E39" s="674"/>
      <c r="F39" s="674"/>
      <c r="G39" s="674"/>
      <c r="H39" s="674"/>
      <c r="I39" s="674"/>
      <c r="J39" s="674"/>
      <c r="K39" s="674"/>
      <c r="L39" s="674"/>
      <c r="M39" s="673"/>
      <c r="N39" s="625"/>
      <c r="O39" s="628"/>
      <c r="P39" s="194">
        <v>1</v>
      </c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6"/>
    </row>
    <row r="40" spans="1:42" ht="15.75">
      <c r="A40" s="675"/>
      <c r="B40" s="674"/>
      <c r="C40" s="674"/>
      <c r="D40" s="674"/>
      <c r="E40" s="674"/>
      <c r="F40" s="674"/>
      <c r="G40" s="674"/>
      <c r="H40" s="674"/>
      <c r="I40" s="674"/>
      <c r="J40" s="674"/>
      <c r="K40" s="674"/>
      <c r="L40" s="674"/>
      <c r="M40" s="673"/>
      <c r="N40" s="626"/>
      <c r="O40" s="629"/>
      <c r="P40" s="197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9"/>
    </row>
    <row r="41" spans="1:42" ht="15.75">
      <c r="A41" s="675"/>
      <c r="B41" s="674"/>
      <c r="C41" s="674"/>
      <c r="D41" s="674"/>
      <c r="E41" s="674"/>
      <c r="F41" s="674"/>
      <c r="G41" s="674"/>
      <c r="H41" s="674"/>
      <c r="I41" s="674"/>
      <c r="J41" s="674"/>
      <c r="K41" s="674"/>
      <c r="L41" s="674"/>
      <c r="M41" s="673"/>
      <c r="N41" s="626"/>
      <c r="O41" s="629"/>
      <c r="P41" s="200">
        <v>2</v>
      </c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  <c r="AL41" s="201"/>
      <c r="AM41" s="201"/>
      <c r="AN41" s="201"/>
      <c r="AO41" s="201"/>
      <c r="AP41" s="202"/>
    </row>
    <row r="42" spans="1:42" ht="15.75">
      <c r="A42" s="675"/>
      <c r="B42" s="674"/>
      <c r="C42" s="674"/>
      <c r="D42" s="674"/>
      <c r="E42" s="674"/>
      <c r="F42" s="674"/>
      <c r="G42" s="674"/>
      <c r="H42" s="674"/>
      <c r="I42" s="674"/>
      <c r="J42" s="674"/>
      <c r="K42" s="674"/>
      <c r="L42" s="674"/>
      <c r="M42" s="673"/>
      <c r="N42" s="626"/>
      <c r="O42" s="629"/>
      <c r="P42" s="197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  <c r="AP42" s="199"/>
    </row>
    <row r="43" spans="1:42" ht="15.75">
      <c r="A43" s="675"/>
      <c r="B43" s="674"/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3"/>
      <c r="N43" s="626"/>
      <c r="O43" s="629"/>
      <c r="P43" s="200">
        <v>3</v>
      </c>
      <c r="Q43" s="201"/>
      <c r="R43" s="201"/>
      <c r="S43" s="201"/>
      <c r="T43" s="201"/>
      <c r="U43" s="201"/>
      <c r="V43" s="201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1"/>
      <c r="AJ43" s="201"/>
      <c r="AK43" s="201"/>
      <c r="AL43" s="201"/>
      <c r="AM43" s="201"/>
      <c r="AN43" s="201"/>
      <c r="AO43" s="201"/>
      <c r="AP43" s="202"/>
    </row>
    <row r="44" spans="1:42" ht="15.75">
      <c r="A44" s="675"/>
      <c r="B44" s="674"/>
      <c r="C44" s="674"/>
      <c r="D44" s="674"/>
      <c r="E44" s="674"/>
      <c r="F44" s="674"/>
      <c r="G44" s="674"/>
      <c r="H44" s="674"/>
      <c r="I44" s="674"/>
      <c r="J44" s="674"/>
      <c r="K44" s="674"/>
      <c r="L44" s="674"/>
      <c r="M44" s="673"/>
      <c r="N44" s="626"/>
      <c r="O44" s="629"/>
      <c r="P44" s="197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9"/>
    </row>
    <row r="45" spans="1:42" ht="15.75">
      <c r="A45" s="675"/>
      <c r="B45" s="674"/>
      <c r="C45" s="674"/>
      <c r="D45" s="674"/>
      <c r="E45" s="674"/>
      <c r="F45" s="674"/>
      <c r="G45" s="674"/>
      <c r="H45" s="674"/>
      <c r="I45" s="674"/>
      <c r="J45" s="674"/>
      <c r="K45" s="674"/>
      <c r="L45" s="674"/>
      <c r="M45" s="673"/>
      <c r="N45" s="626"/>
      <c r="O45" s="629"/>
      <c r="P45" s="200">
        <v>4</v>
      </c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1"/>
      <c r="AB45" s="201"/>
      <c r="AC45" s="201"/>
      <c r="AD45" s="201"/>
      <c r="AE45" s="201"/>
      <c r="AF45" s="201"/>
      <c r="AG45" s="201"/>
      <c r="AH45" s="201"/>
      <c r="AI45" s="201"/>
      <c r="AJ45" s="201"/>
      <c r="AK45" s="201"/>
      <c r="AL45" s="201"/>
      <c r="AM45" s="201"/>
      <c r="AN45" s="201"/>
      <c r="AO45" s="201"/>
      <c r="AP45" s="202"/>
    </row>
    <row r="46" spans="1:42" ht="15.75">
      <c r="A46" s="675"/>
      <c r="B46" s="674"/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3"/>
      <c r="N46" s="626"/>
      <c r="O46" s="629"/>
      <c r="P46" s="197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  <c r="AO46" s="198"/>
      <c r="AP46" s="199"/>
    </row>
    <row r="47" spans="1:42" ht="15.75">
      <c r="A47" s="675"/>
      <c r="B47" s="674"/>
      <c r="C47" s="674"/>
      <c r="D47" s="674"/>
      <c r="E47" s="674"/>
      <c r="F47" s="674"/>
      <c r="G47" s="674"/>
      <c r="H47" s="674"/>
      <c r="I47" s="674"/>
      <c r="J47" s="674"/>
      <c r="K47" s="674"/>
      <c r="L47" s="674"/>
      <c r="M47" s="673"/>
      <c r="N47" s="626"/>
      <c r="O47" s="629"/>
      <c r="P47" s="200">
        <v>5</v>
      </c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  <c r="AL47" s="201"/>
      <c r="AM47" s="201"/>
      <c r="AN47" s="201"/>
      <c r="AO47" s="201"/>
      <c r="AP47" s="202"/>
    </row>
    <row r="48" spans="1:42" ht="15.75">
      <c r="A48" s="675"/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3"/>
      <c r="N48" s="626"/>
      <c r="O48" s="629"/>
      <c r="P48" s="203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4"/>
      <c r="AM48" s="204"/>
      <c r="AN48" s="204"/>
      <c r="AO48" s="204"/>
      <c r="AP48" s="205"/>
    </row>
    <row r="49" spans="1:42" ht="15.75">
      <c r="A49" s="675"/>
      <c r="B49" s="674"/>
      <c r="C49" s="674"/>
      <c r="D49" s="674"/>
      <c r="E49" s="674"/>
      <c r="F49" s="674"/>
      <c r="G49" s="674"/>
      <c r="H49" s="674"/>
      <c r="I49" s="674"/>
      <c r="J49" s="674"/>
      <c r="K49" s="674"/>
      <c r="L49" s="674"/>
      <c r="M49" s="673"/>
      <c r="N49" s="626"/>
      <c r="O49" s="629"/>
      <c r="P49" s="200">
        <v>6</v>
      </c>
      <c r="Q49" s="201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2"/>
    </row>
    <row r="50" spans="1:42" ht="16.5" thickBot="1">
      <c r="A50" s="675"/>
      <c r="B50" s="674"/>
      <c r="C50" s="674"/>
      <c r="D50" s="674"/>
      <c r="E50" s="674"/>
      <c r="F50" s="674"/>
      <c r="G50" s="674"/>
      <c r="H50" s="674"/>
      <c r="I50" s="674"/>
      <c r="J50" s="674"/>
      <c r="K50" s="674"/>
      <c r="L50" s="674"/>
      <c r="M50" s="673"/>
      <c r="N50" s="627"/>
      <c r="O50" s="630"/>
      <c r="P50" s="206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7"/>
      <c r="AO50" s="207"/>
      <c r="AP50" s="208"/>
    </row>
    <row r="51" spans="1:42" ht="15.75">
      <c r="A51" s="675"/>
      <c r="B51" s="674"/>
      <c r="C51" s="674"/>
      <c r="D51" s="674"/>
      <c r="E51" s="674"/>
      <c r="F51" s="674"/>
      <c r="G51" s="674"/>
      <c r="H51" s="674"/>
      <c r="I51" s="674"/>
      <c r="J51" s="674"/>
      <c r="K51" s="674"/>
      <c r="L51" s="674"/>
      <c r="M51" s="673"/>
      <c r="N51" s="625"/>
      <c r="O51" s="656"/>
      <c r="P51" s="194">
        <v>1</v>
      </c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6"/>
    </row>
    <row r="52" spans="1:42" ht="15.75">
      <c r="A52" s="675"/>
      <c r="B52" s="674"/>
      <c r="C52" s="674"/>
      <c r="D52" s="674"/>
      <c r="E52" s="674"/>
      <c r="F52" s="674"/>
      <c r="G52" s="674"/>
      <c r="H52" s="674"/>
      <c r="I52" s="674"/>
      <c r="J52" s="674"/>
      <c r="K52" s="674"/>
      <c r="L52" s="674"/>
      <c r="M52" s="673"/>
      <c r="N52" s="626"/>
      <c r="O52" s="657"/>
      <c r="P52" s="197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9"/>
    </row>
    <row r="53" spans="1:42" ht="15.75">
      <c r="A53" s="675"/>
      <c r="B53" s="674"/>
      <c r="C53" s="674"/>
      <c r="D53" s="674"/>
      <c r="E53" s="674"/>
      <c r="F53" s="674"/>
      <c r="G53" s="674"/>
      <c r="H53" s="674"/>
      <c r="I53" s="674"/>
      <c r="J53" s="674"/>
      <c r="K53" s="674"/>
      <c r="L53" s="674"/>
      <c r="M53" s="673"/>
      <c r="N53" s="626"/>
      <c r="O53" s="657"/>
      <c r="P53" s="200">
        <v>2</v>
      </c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2"/>
    </row>
    <row r="54" spans="1:42" ht="15.75">
      <c r="A54" s="675"/>
      <c r="B54" s="674"/>
      <c r="C54" s="674"/>
      <c r="D54" s="674"/>
      <c r="E54" s="674"/>
      <c r="F54" s="674"/>
      <c r="G54" s="674"/>
      <c r="H54" s="674"/>
      <c r="I54" s="674"/>
      <c r="J54" s="674"/>
      <c r="K54" s="674"/>
      <c r="L54" s="674"/>
      <c r="M54" s="673"/>
      <c r="N54" s="626"/>
      <c r="O54" s="657"/>
      <c r="P54" s="197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9"/>
    </row>
    <row r="55" spans="1:42" ht="15.75">
      <c r="A55" s="675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3"/>
      <c r="N55" s="626"/>
      <c r="O55" s="657"/>
      <c r="P55" s="200">
        <v>3</v>
      </c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1"/>
      <c r="AB55" s="201"/>
      <c r="AC55" s="201"/>
      <c r="AD55" s="201"/>
      <c r="AE55" s="201"/>
      <c r="AF55" s="201"/>
      <c r="AG55" s="201"/>
      <c r="AH55" s="201"/>
      <c r="AI55" s="201"/>
      <c r="AJ55" s="201"/>
      <c r="AK55" s="201"/>
      <c r="AL55" s="201"/>
      <c r="AM55" s="201"/>
      <c r="AN55" s="201"/>
      <c r="AO55" s="201"/>
      <c r="AP55" s="202"/>
    </row>
    <row r="56" spans="1:42" ht="15.75">
      <c r="A56" s="675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3"/>
      <c r="N56" s="626"/>
      <c r="O56" s="657"/>
      <c r="P56" s="197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9"/>
    </row>
    <row r="57" spans="1:42" ht="15.75">
      <c r="A57" s="675"/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3"/>
      <c r="N57" s="626"/>
      <c r="O57" s="657"/>
      <c r="P57" s="200">
        <v>4</v>
      </c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201"/>
      <c r="AM57" s="201"/>
      <c r="AN57" s="201"/>
      <c r="AO57" s="201"/>
      <c r="AP57" s="202"/>
    </row>
    <row r="58" spans="1:42" ht="15.75">
      <c r="A58" s="675"/>
      <c r="B58" s="674"/>
      <c r="C58" s="674"/>
      <c r="D58" s="674"/>
      <c r="E58" s="674"/>
      <c r="F58" s="674"/>
      <c r="G58" s="674"/>
      <c r="H58" s="674"/>
      <c r="I58" s="674"/>
      <c r="J58" s="674"/>
      <c r="K58" s="674"/>
      <c r="L58" s="674"/>
      <c r="M58" s="673"/>
      <c r="N58" s="626"/>
      <c r="O58" s="657"/>
      <c r="P58" s="197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9"/>
    </row>
    <row r="59" spans="1:42" ht="15.75">
      <c r="A59" s="675"/>
      <c r="B59" s="674"/>
      <c r="C59" s="674"/>
      <c r="D59" s="674"/>
      <c r="E59" s="674"/>
      <c r="F59" s="674"/>
      <c r="G59" s="674"/>
      <c r="H59" s="674"/>
      <c r="I59" s="674"/>
      <c r="J59" s="674"/>
      <c r="K59" s="674"/>
      <c r="L59" s="674"/>
      <c r="M59" s="673"/>
      <c r="N59" s="626"/>
      <c r="O59" s="657"/>
      <c r="P59" s="200">
        <v>5</v>
      </c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1"/>
      <c r="AB59" s="201"/>
      <c r="AC59" s="201"/>
      <c r="AD59" s="201"/>
      <c r="AE59" s="201"/>
      <c r="AF59" s="201"/>
      <c r="AG59" s="201"/>
      <c r="AH59" s="201"/>
      <c r="AI59" s="201"/>
      <c r="AJ59" s="201"/>
      <c r="AK59" s="201"/>
      <c r="AL59" s="201"/>
      <c r="AM59" s="201"/>
      <c r="AN59" s="201"/>
      <c r="AO59" s="201"/>
      <c r="AP59" s="202"/>
    </row>
    <row r="60" spans="1:42" ht="15.75">
      <c r="A60" s="675"/>
      <c r="B60" s="674"/>
      <c r="C60" s="674"/>
      <c r="D60" s="674"/>
      <c r="E60" s="674"/>
      <c r="F60" s="674"/>
      <c r="G60" s="674"/>
      <c r="H60" s="674"/>
      <c r="I60" s="674"/>
      <c r="J60" s="674"/>
      <c r="K60" s="674"/>
      <c r="L60" s="674"/>
      <c r="M60" s="673"/>
      <c r="N60" s="626"/>
      <c r="O60" s="657"/>
      <c r="P60" s="203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204"/>
      <c r="AO60" s="204"/>
      <c r="AP60" s="205"/>
    </row>
    <row r="61" spans="1:42" ht="15.75">
      <c r="A61" s="675"/>
      <c r="B61" s="674"/>
      <c r="C61" s="674"/>
      <c r="D61" s="674"/>
      <c r="E61" s="674"/>
      <c r="F61" s="674"/>
      <c r="G61" s="674"/>
      <c r="H61" s="674"/>
      <c r="I61" s="674"/>
      <c r="J61" s="674"/>
      <c r="K61" s="674"/>
      <c r="L61" s="674"/>
      <c r="M61" s="673"/>
      <c r="N61" s="626"/>
      <c r="O61" s="657"/>
      <c r="P61" s="200">
        <v>6</v>
      </c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201"/>
      <c r="AF61" s="201"/>
      <c r="AG61" s="201"/>
      <c r="AH61" s="201"/>
      <c r="AI61" s="201"/>
      <c r="AJ61" s="201"/>
      <c r="AK61" s="201"/>
      <c r="AL61" s="201"/>
      <c r="AM61" s="201"/>
      <c r="AN61" s="201"/>
      <c r="AO61" s="201"/>
      <c r="AP61" s="202"/>
    </row>
    <row r="62" spans="1:42" ht="16.5" thickBot="1">
      <c r="A62" s="675"/>
      <c r="B62" s="674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3"/>
      <c r="N62" s="627"/>
      <c r="O62" s="658"/>
      <c r="P62" s="206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8"/>
    </row>
    <row r="63" spans="1:42" ht="15.75">
      <c r="A63" s="675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3"/>
      <c r="N63" s="625"/>
      <c r="O63" s="656"/>
      <c r="P63" s="194">
        <v>1</v>
      </c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6"/>
    </row>
    <row r="64" spans="1:42" ht="15.75">
      <c r="A64" s="675"/>
      <c r="B64" s="674"/>
      <c r="C64" s="674"/>
      <c r="D64" s="674"/>
      <c r="E64" s="674"/>
      <c r="F64" s="674"/>
      <c r="G64" s="674"/>
      <c r="H64" s="674"/>
      <c r="I64" s="674"/>
      <c r="J64" s="674"/>
      <c r="K64" s="674"/>
      <c r="L64" s="674"/>
      <c r="M64" s="673"/>
      <c r="N64" s="626"/>
      <c r="O64" s="657"/>
      <c r="P64" s="197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  <c r="AM64" s="198"/>
      <c r="AN64" s="198"/>
      <c r="AO64" s="198"/>
      <c r="AP64" s="199"/>
    </row>
    <row r="65" spans="1:42" ht="15.75">
      <c r="A65" s="675"/>
      <c r="B65" s="674"/>
      <c r="C65" s="674"/>
      <c r="D65" s="674"/>
      <c r="E65" s="674"/>
      <c r="F65" s="674"/>
      <c r="G65" s="674"/>
      <c r="H65" s="674"/>
      <c r="I65" s="674"/>
      <c r="J65" s="674"/>
      <c r="K65" s="674"/>
      <c r="L65" s="674"/>
      <c r="M65" s="673"/>
      <c r="N65" s="626"/>
      <c r="O65" s="657"/>
      <c r="P65" s="200">
        <v>2</v>
      </c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1"/>
      <c r="AB65" s="201"/>
      <c r="AC65" s="201"/>
      <c r="AD65" s="201"/>
      <c r="AE65" s="201"/>
      <c r="AF65" s="201"/>
      <c r="AG65" s="201"/>
      <c r="AH65" s="201"/>
      <c r="AI65" s="201"/>
      <c r="AJ65" s="201"/>
      <c r="AK65" s="201"/>
      <c r="AL65" s="201"/>
      <c r="AM65" s="201"/>
      <c r="AN65" s="201"/>
      <c r="AO65" s="201"/>
      <c r="AP65" s="202"/>
    </row>
    <row r="66" spans="1:42" ht="15.75">
      <c r="A66" s="675"/>
      <c r="B66" s="674"/>
      <c r="C66" s="674"/>
      <c r="D66" s="674"/>
      <c r="E66" s="674"/>
      <c r="F66" s="674"/>
      <c r="G66" s="674"/>
      <c r="H66" s="674"/>
      <c r="I66" s="674"/>
      <c r="J66" s="674"/>
      <c r="K66" s="674"/>
      <c r="L66" s="674"/>
      <c r="M66" s="673"/>
      <c r="N66" s="626"/>
      <c r="O66" s="657"/>
      <c r="P66" s="197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  <c r="AN66" s="198"/>
      <c r="AO66" s="198"/>
      <c r="AP66" s="199"/>
    </row>
    <row r="67" spans="1:42" ht="15.75">
      <c r="A67" s="675"/>
      <c r="B67" s="674"/>
      <c r="C67" s="674"/>
      <c r="D67" s="674"/>
      <c r="E67" s="674"/>
      <c r="F67" s="674"/>
      <c r="G67" s="674"/>
      <c r="H67" s="674"/>
      <c r="I67" s="674"/>
      <c r="J67" s="674"/>
      <c r="K67" s="674"/>
      <c r="L67" s="674"/>
      <c r="M67" s="673"/>
      <c r="N67" s="626"/>
      <c r="O67" s="657"/>
      <c r="P67" s="200">
        <v>3</v>
      </c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D67" s="201"/>
      <c r="AE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  <c r="AP67" s="202"/>
    </row>
    <row r="68" spans="1:42" ht="15.75">
      <c r="A68" s="675"/>
      <c r="B68" s="674"/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3"/>
      <c r="N68" s="626"/>
      <c r="O68" s="657"/>
      <c r="P68" s="197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  <c r="AN68" s="198"/>
      <c r="AO68" s="198"/>
      <c r="AP68" s="199"/>
    </row>
    <row r="69" spans="1:42" ht="15.75">
      <c r="A69" s="675"/>
      <c r="B69" s="674"/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673"/>
      <c r="N69" s="626"/>
      <c r="O69" s="657"/>
      <c r="P69" s="200">
        <v>4</v>
      </c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2"/>
    </row>
    <row r="70" spans="1:42" ht="15.75">
      <c r="A70" s="675"/>
      <c r="B70" s="674"/>
      <c r="C70" s="674"/>
      <c r="D70" s="674"/>
      <c r="E70" s="674"/>
      <c r="F70" s="674"/>
      <c r="G70" s="674"/>
      <c r="H70" s="674"/>
      <c r="I70" s="674"/>
      <c r="J70" s="674"/>
      <c r="K70" s="674"/>
      <c r="L70" s="674"/>
      <c r="M70" s="673"/>
      <c r="N70" s="626"/>
      <c r="O70" s="657"/>
      <c r="P70" s="197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  <c r="AP70" s="199"/>
    </row>
    <row r="71" spans="1:42" ht="15.75">
      <c r="A71" s="675"/>
      <c r="B71" s="674"/>
      <c r="C71" s="674"/>
      <c r="D71" s="674"/>
      <c r="E71" s="674"/>
      <c r="F71" s="674"/>
      <c r="G71" s="674"/>
      <c r="H71" s="674"/>
      <c r="I71" s="674"/>
      <c r="J71" s="674"/>
      <c r="K71" s="674"/>
      <c r="L71" s="674"/>
      <c r="M71" s="673"/>
      <c r="N71" s="626"/>
      <c r="O71" s="657"/>
      <c r="P71" s="200">
        <v>5</v>
      </c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1"/>
      <c r="AD71" s="201"/>
      <c r="AE71" s="201"/>
      <c r="AF71" s="201"/>
      <c r="AG71" s="201"/>
      <c r="AH71" s="201"/>
      <c r="AI71" s="201"/>
      <c r="AJ71" s="201"/>
      <c r="AK71" s="201"/>
      <c r="AL71" s="201"/>
      <c r="AM71" s="201"/>
      <c r="AN71" s="201"/>
      <c r="AO71" s="201"/>
      <c r="AP71" s="202"/>
    </row>
    <row r="72" spans="1:42" ht="15.75">
      <c r="A72" s="675"/>
      <c r="B72" s="674"/>
      <c r="C72" s="674"/>
      <c r="D72" s="674"/>
      <c r="E72" s="674"/>
      <c r="F72" s="674"/>
      <c r="G72" s="674"/>
      <c r="H72" s="674"/>
      <c r="I72" s="674"/>
      <c r="J72" s="674"/>
      <c r="K72" s="674"/>
      <c r="L72" s="674"/>
      <c r="M72" s="673"/>
      <c r="N72" s="626"/>
      <c r="O72" s="657"/>
      <c r="P72" s="203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5"/>
    </row>
    <row r="73" spans="1:42" ht="15.75">
      <c r="A73" s="675"/>
      <c r="B73" s="674"/>
      <c r="C73" s="674"/>
      <c r="D73" s="674"/>
      <c r="E73" s="674"/>
      <c r="F73" s="674"/>
      <c r="G73" s="674"/>
      <c r="H73" s="674"/>
      <c r="I73" s="674"/>
      <c r="J73" s="674"/>
      <c r="K73" s="674"/>
      <c r="L73" s="674"/>
      <c r="M73" s="673"/>
      <c r="N73" s="626"/>
      <c r="O73" s="657"/>
      <c r="P73" s="200">
        <v>6</v>
      </c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1"/>
      <c r="AJ73" s="201"/>
      <c r="AK73" s="201"/>
      <c r="AL73" s="201"/>
      <c r="AM73" s="201"/>
      <c r="AN73" s="201"/>
      <c r="AO73" s="201"/>
      <c r="AP73" s="202"/>
    </row>
    <row r="74" spans="1:42" ht="16.5" thickBot="1">
      <c r="A74" s="676"/>
      <c r="B74" s="677"/>
      <c r="C74" s="677"/>
      <c r="D74" s="677"/>
      <c r="E74" s="677"/>
      <c r="F74" s="677"/>
      <c r="G74" s="677"/>
      <c r="H74" s="677"/>
      <c r="I74" s="677"/>
      <c r="J74" s="677"/>
      <c r="K74" s="677"/>
      <c r="L74" s="677"/>
      <c r="M74" s="678"/>
      <c r="N74" s="627"/>
      <c r="O74" s="658"/>
      <c r="P74" s="206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07"/>
      <c r="AK74" s="207"/>
      <c r="AL74" s="207"/>
      <c r="AM74" s="207"/>
      <c r="AN74" s="207"/>
      <c r="AO74" s="207"/>
      <c r="AP74" s="208"/>
    </row>
  </sheetData>
  <mergeCells count="128">
    <mergeCell ref="O63:O74"/>
    <mergeCell ref="I63:I74"/>
    <mergeCell ref="J63:J74"/>
    <mergeCell ref="K63:K74"/>
    <mergeCell ref="L63:L74"/>
    <mergeCell ref="M63:M74"/>
    <mergeCell ref="N63:N74"/>
    <mergeCell ref="N51:N62"/>
    <mergeCell ref="O51:O62"/>
    <mergeCell ref="I51:I62"/>
    <mergeCell ref="J51:J62"/>
    <mergeCell ref="K51:K62"/>
    <mergeCell ref="L51:L62"/>
    <mergeCell ref="M51:M62"/>
    <mergeCell ref="A63:A74"/>
    <mergeCell ref="B63:B74"/>
    <mergeCell ref="C63:C74"/>
    <mergeCell ref="D63:D74"/>
    <mergeCell ref="E63:E74"/>
    <mergeCell ref="F63:F74"/>
    <mergeCell ref="G63:G74"/>
    <mergeCell ref="H63:H74"/>
    <mergeCell ref="H51:H62"/>
    <mergeCell ref="M39:M50"/>
    <mergeCell ref="N39:N50"/>
    <mergeCell ref="O39:O50"/>
    <mergeCell ref="A51:A62"/>
    <mergeCell ref="B51:B62"/>
    <mergeCell ref="C51:C62"/>
    <mergeCell ref="D51:D62"/>
    <mergeCell ref="E51:E62"/>
    <mergeCell ref="F51:F62"/>
    <mergeCell ref="G51:G62"/>
    <mergeCell ref="G39:G50"/>
    <mergeCell ref="H39:H50"/>
    <mergeCell ref="I39:I50"/>
    <mergeCell ref="J39:J50"/>
    <mergeCell ref="K39:K50"/>
    <mergeCell ref="L39:L50"/>
    <mergeCell ref="A39:A50"/>
    <mergeCell ref="B39:B50"/>
    <mergeCell ref="C39:C50"/>
    <mergeCell ref="D39:D50"/>
    <mergeCell ref="E39:E50"/>
    <mergeCell ref="F39:F50"/>
    <mergeCell ref="H27:H38"/>
    <mergeCell ref="I27:I38"/>
    <mergeCell ref="J27:J38"/>
    <mergeCell ref="K27:K38"/>
    <mergeCell ref="L27:L38"/>
    <mergeCell ref="M27:M38"/>
    <mergeCell ref="K15:K26"/>
    <mergeCell ref="L15:L26"/>
    <mergeCell ref="M15:M26"/>
    <mergeCell ref="H15:H26"/>
    <mergeCell ref="I15:I26"/>
    <mergeCell ref="J15:J26"/>
    <mergeCell ref="A27:A38"/>
    <mergeCell ref="B27:B38"/>
    <mergeCell ref="C27:C38"/>
    <mergeCell ref="D27:D38"/>
    <mergeCell ref="E27:E38"/>
    <mergeCell ref="F27:F38"/>
    <mergeCell ref="G27:G38"/>
    <mergeCell ref="E15:E26"/>
    <mergeCell ref="F15:F26"/>
    <mergeCell ref="G15:G26"/>
    <mergeCell ref="M3:M14"/>
    <mergeCell ref="L3:L14"/>
    <mergeCell ref="K3:K14"/>
    <mergeCell ref="J3:J14"/>
    <mergeCell ref="I3:I14"/>
    <mergeCell ref="N15:N26"/>
    <mergeCell ref="B3:B14"/>
    <mergeCell ref="A3:A14"/>
    <mergeCell ref="A15:A26"/>
    <mergeCell ref="B15:B26"/>
    <mergeCell ref="C15:C26"/>
    <mergeCell ref="D15:D26"/>
    <mergeCell ref="H3:H14"/>
    <mergeCell ref="G3:G14"/>
    <mergeCell ref="F3:F14"/>
    <mergeCell ref="E3:E14"/>
    <mergeCell ref="D3:D14"/>
    <mergeCell ref="C3:C14"/>
    <mergeCell ref="A1:A2"/>
    <mergeCell ref="B1:B2"/>
    <mergeCell ref="D1:E1"/>
    <mergeCell ref="F1:F2"/>
    <mergeCell ref="G1:G2"/>
    <mergeCell ref="H1:H2"/>
    <mergeCell ref="I1:J1"/>
    <mergeCell ref="K1:L1"/>
    <mergeCell ref="M1:M2"/>
    <mergeCell ref="Y1:Y2"/>
    <mergeCell ref="N1:N2"/>
    <mergeCell ref="O1:O2"/>
    <mergeCell ref="P1:P2"/>
    <mergeCell ref="O15:O26"/>
    <mergeCell ref="N27:N38"/>
    <mergeCell ref="O27:O38"/>
    <mergeCell ref="Q1:Q2"/>
    <mergeCell ref="R1:R2"/>
    <mergeCell ref="S1:S2"/>
    <mergeCell ref="AL1:AL2"/>
    <mergeCell ref="AM1:AM2"/>
    <mergeCell ref="AN1:AN2"/>
    <mergeCell ref="AO1:AO2"/>
    <mergeCell ref="AP1:AP2"/>
    <mergeCell ref="N3:N14"/>
    <mergeCell ref="O3:O14"/>
    <mergeCell ref="AF1:AF2"/>
    <mergeCell ref="AG1:AG2"/>
    <mergeCell ref="AH1:AH2"/>
    <mergeCell ref="AI1:AI2"/>
    <mergeCell ref="AJ1:AJ2"/>
    <mergeCell ref="AK1:AK2"/>
    <mergeCell ref="Z1:Z2"/>
    <mergeCell ref="AA1:AA2"/>
    <mergeCell ref="AB1:AB2"/>
    <mergeCell ref="AC1:AC2"/>
    <mergeCell ref="AD1:AD2"/>
    <mergeCell ref="AE1:AE2"/>
    <mergeCell ref="T1:T2"/>
    <mergeCell ref="U1:U2"/>
    <mergeCell ref="V1:V2"/>
    <mergeCell ref="W1:W2"/>
    <mergeCell ref="X1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1F9B-9EC2-4046-A8BC-49E75A4610FE}">
  <sheetPr>
    <tabColor rgb="FF92D050"/>
  </sheetPr>
  <dimension ref="A1:AK239"/>
  <sheetViews>
    <sheetView topLeftCell="D181" zoomScale="55" zoomScaleNormal="55" workbookViewId="0">
      <pane ySplit="630" activePane="bottomLeft"/>
      <selection activeCell="Y247" sqref="Y247:Z247"/>
      <selection pane="bottomLeft" activeCell="AA221" sqref="AA221"/>
    </sheetView>
  </sheetViews>
  <sheetFormatPr defaultColWidth="8.85546875" defaultRowHeight="15"/>
  <cols>
    <col min="1" max="1" width="8.85546875" style="104"/>
    <col min="2" max="2" width="32.140625" style="104" customWidth="1"/>
    <col min="3" max="3" width="24.140625" style="104" customWidth="1"/>
    <col min="4" max="4" width="27" style="104" customWidth="1"/>
    <col min="5" max="7" width="8.85546875" style="104"/>
    <col min="8" max="8" width="8.85546875" style="106"/>
    <col min="9" max="10" width="8.85546875" style="104"/>
    <col min="11" max="11" width="5.28515625" style="104" customWidth="1"/>
    <col min="12" max="12" width="6.7109375" style="104" customWidth="1"/>
    <col min="13" max="14" width="8.85546875" style="104"/>
    <col min="15" max="15" width="12.28515625" style="104" customWidth="1"/>
    <col min="16" max="16" width="21.28515625" style="104" customWidth="1"/>
    <col min="17" max="17" width="16.5703125" style="104" customWidth="1"/>
    <col min="18" max="36" width="8.85546875" style="104"/>
    <col min="37" max="37" width="57.42578125" style="104" customWidth="1"/>
    <col min="38" max="16384" width="8.85546875" style="104"/>
  </cols>
  <sheetData>
    <row r="1" spans="1:37" ht="14.45" customHeight="1">
      <c r="A1" s="699" t="s">
        <v>45</v>
      </c>
      <c r="B1" s="689" t="s">
        <v>0</v>
      </c>
      <c r="C1" s="689" t="s">
        <v>1</v>
      </c>
      <c r="D1" s="90" t="s">
        <v>2</v>
      </c>
      <c r="E1" s="689" t="s">
        <v>3</v>
      </c>
      <c r="F1" s="701"/>
      <c r="G1" s="690" t="s">
        <v>5</v>
      </c>
      <c r="H1" s="697" t="s">
        <v>6</v>
      </c>
      <c r="I1" s="597" t="s">
        <v>7</v>
      </c>
      <c r="J1" s="609"/>
      <c r="K1" s="597" t="s">
        <v>8</v>
      </c>
      <c r="L1" s="688"/>
      <c r="M1" s="689" t="s">
        <v>14</v>
      </c>
      <c r="N1" s="690" t="s">
        <v>46</v>
      </c>
      <c r="O1" s="695" t="s">
        <v>15</v>
      </c>
      <c r="P1" s="691" t="s">
        <v>16</v>
      </c>
      <c r="Q1" s="691" t="s">
        <v>17</v>
      </c>
      <c r="R1" s="691" t="s">
        <v>18</v>
      </c>
      <c r="S1" s="693" t="s">
        <v>19</v>
      </c>
      <c r="T1" s="691" t="s">
        <v>20</v>
      </c>
      <c r="U1" s="682" t="s">
        <v>21</v>
      </c>
      <c r="V1" s="682" t="s">
        <v>22</v>
      </c>
      <c r="W1" s="682" t="s">
        <v>23</v>
      </c>
      <c r="X1" s="682" t="s">
        <v>24</v>
      </c>
      <c r="Y1" s="684" t="s">
        <v>25</v>
      </c>
      <c r="Z1" s="684" t="s">
        <v>26</v>
      </c>
      <c r="AA1" s="684" t="s">
        <v>27</v>
      </c>
      <c r="AB1" s="682" t="s">
        <v>28</v>
      </c>
      <c r="AC1" s="682" t="s">
        <v>29</v>
      </c>
      <c r="AD1" s="686" t="s">
        <v>30</v>
      </c>
      <c r="AE1" s="686" t="s">
        <v>31</v>
      </c>
      <c r="AF1" s="686" t="s">
        <v>32</v>
      </c>
      <c r="AG1" s="681" t="s">
        <v>33</v>
      </c>
      <c r="AH1" s="681" t="s">
        <v>34</v>
      </c>
      <c r="AI1" s="587" t="s">
        <v>47</v>
      </c>
      <c r="AJ1" s="587" t="s">
        <v>48</v>
      </c>
      <c r="AK1" s="598" t="s">
        <v>9</v>
      </c>
    </row>
    <row r="2" spans="1:37" ht="30">
      <c r="A2" s="700"/>
      <c r="B2" s="701"/>
      <c r="C2" s="701"/>
      <c r="D2" s="90" t="s">
        <v>49</v>
      </c>
      <c r="E2" s="2" t="s">
        <v>39</v>
      </c>
      <c r="F2" s="88" t="s">
        <v>50</v>
      </c>
      <c r="G2" s="690"/>
      <c r="H2" s="698"/>
      <c r="I2" s="90" t="s">
        <v>41</v>
      </c>
      <c r="J2" s="90" t="s">
        <v>42</v>
      </c>
      <c r="K2" s="90" t="s">
        <v>43</v>
      </c>
      <c r="L2" s="2" t="s">
        <v>44</v>
      </c>
      <c r="M2" s="689"/>
      <c r="N2" s="690"/>
      <c r="O2" s="696"/>
      <c r="P2" s="692"/>
      <c r="Q2" s="692"/>
      <c r="R2" s="692"/>
      <c r="S2" s="694"/>
      <c r="T2" s="691"/>
      <c r="U2" s="683"/>
      <c r="V2" s="683"/>
      <c r="W2" s="683"/>
      <c r="X2" s="683"/>
      <c r="Y2" s="685"/>
      <c r="Z2" s="685"/>
      <c r="AA2" s="685"/>
      <c r="AB2" s="683"/>
      <c r="AC2" s="683"/>
      <c r="AD2" s="687"/>
      <c r="AE2" s="687"/>
      <c r="AF2" s="687"/>
      <c r="AG2" s="681"/>
      <c r="AH2" s="681"/>
      <c r="AI2" s="679"/>
      <c r="AJ2" s="679"/>
      <c r="AK2" s="680"/>
    </row>
    <row r="3" spans="1:37" ht="47.45" customHeight="1">
      <c r="A3" s="9">
        <v>1</v>
      </c>
      <c r="B3" s="91">
        <v>45911</v>
      </c>
      <c r="C3" s="9" t="s">
        <v>51</v>
      </c>
      <c r="D3" s="9" t="s">
        <v>52</v>
      </c>
      <c r="E3" s="9">
        <v>100</v>
      </c>
      <c r="F3" s="9">
        <v>500</v>
      </c>
      <c r="G3" s="9">
        <v>1</v>
      </c>
      <c r="H3" s="92">
        <v>2</v>
      </c>
      <c r="I3" s="9">
        <v>10.02</v>
      </c>
      <c r="J3" s="9">
        <v>10.210000000000001</v>
      </c>
      <c r="K3" s="93" t="b">
        <v>1</v>
      </c>
      <c r="L3" s="93" t="b">
        <v>0</v>
      </c>
      <c r="M3" s="9">
        <v>2</v>
      </c>
      <c r="N3" s="9">
        <v>10.38</v>
      </c>
      <c r="O3" s="9">
        <v>2</v>
      </c>
      <c r="P3" s="11" t="s">
        <v>53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87" t="s">
        <v>54</v>
      </c>
    </row>
    <row r="4" spans="1:37" ht="44.1" customHeight="1">
      <c r="A4" s="11"/>
      <c r="B4" s="95" t="s">
        <v>55</v>
      </c>
      <c r="C4" s="11" t="s">
        <v>51</v>
      </c>
      <c r="D4" s="11" t="s">
        <v>52</v>
      </c>
      <c r="E4" s="11">
        <v>100</v>
      </c>
      <c r="F4" s="11">
        <v>500</v>
      </c>
      <c r="G4" s="11">
        <v>2</v>
      </c>
      <c r="H4" s="96">
        <v>1</v>
      </c>
      <c r="I4" s="11">
        <v>10.32</v>
      </c>
      <c r="J4" s="11">
        <v>10.39</v>
      </c>
      <c r="K4" s="93" t="b">
        <v>1</v>
      </c>
      <c r="L4" s="93" t="b">
        <v>0</v>
      </c>
      <c r="M4" s="11">
        <v>1</v>
      </c>
      <c r="N4" s="11">
        <v>10.57</v>
      </c>
      <c r="O4" s="11">
        <v>1</v>
      </c>
      <c r="P4" s="11">
        <v>1</v>
      </c>
      <c r="Q4" s="11">
        <v>1</v>
      </c>
      <c r="R4" s="15">
        <v>1</v>
      </c>
      <c r="S4" s="15" t="s">
        <v>56</v>
      </c>
      <c r="T4" s="11">
        <v>1</v>
      </c>
      <c r="U4" s="11" t="s">
        <v>57</v>
      </c>
      <c r="V4" s="11">
        <v>1</v>
      </c>
      <c r="W4" s="11">
        <v>1</v>
      </c>
      <c r="X4" s="11" t="s">
        <v>58</v>
      </c>
      <c r="Y4" s="11" t="s">
        <v>59</v>
      </c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89" t="s">
        <v>60</v>
      </c>
    </row>
    <row r="5" spans="1:37" ht="44.1" customHeight="1">
      <c r="A5" s="11"/>
      <c r="B5" s="95"/>
      <c r="C5" s="11" t="s">
        <v>51</v>
      </c>
      <c r="D5" s="11" t="s">
        <v>52</v>
      </c>
      <c r="E5" s="11">
        <v>100</v>
      </c>
      <c r="F5" s="11">
        <v>500</v>
      </c>
      <c r="G5" s="11">
        <v>3</v>
      </c>
      <c r="H5" s="96">
        <v>1</v>
      </c>
      <c r="I5" s="11">
        <v>11.12</v>
      </c>
      <c r="J5" s="11">
        <v>11.26</v>
      </c>
      <c r="K5" s="93" t="b">
        <v>1</v>
      </c>
      <c r="L5" s="93" t="b">
        <v>0</v>
      </c>
      <c r="M5" s="11">
        <v>1</v>
      </c>
      <c r="N5" s="11">
        <v>11.42</v>
      </c>
      <c r="O5" s="11">
        <v>1</v>
      </c>
      <c r="P5" s="11" t="s">
        <v>61</v>
      </c>
      <c r="Q5" s="11" t="s">
        <v>62</v>
      </c>
      <c r="R5" s="11">
        <v>1</v>
      </c>
      <c r="S5" s="11">
        <v>1</v>
      </c>
      <c r="T5" s="11">
        <v>1</v>
      </c>
      <c r="U5" s="11">
        <v>1</v>
      </c>
      <c r="V5" s="11" t="s">
        <v>63</v>
      </c>
      <c r="W5" s="11">
        <v>1</v>
      </c>
      <c r="X5" s="11">
        <v>1</v>
      </c>
      <c r="Y5" s="11">
        <v>1</v>
      </c>
      <c r="Z5" s="11">
        <v>1</v>
      </c>
      <c r="AA5" s="11" t="s">
        <v>64</v>
      </c>
      <c r="AB5" s="11" t="s">
        <v>59</v>
      </c>
      <c r="AC5" s="97"/>
      <c r="AD5" s="97"/>
      <c r="AE5" s="97"/>
      <c r="AF5" s="97"/>
      <c r="AG5" s="97"/>
      <c r="AH5" s="97"/>
      <c r="AI5" s="97"/>
      <c r="AJ5" s="97"/>
      <c r="AK5" s="89" t="s">
        <v>65</v>
      </c>
    </row>
    <row r="6" spans="1:37">
      <c r="A6" s="11"/>
      <c r="B6" s="95"/>
      <c r="C6" s="11" t="s">
        <v>51</v>
      </c>
      <c r="D6" s="11" t="s">
        <v>52</v>
      </c>
      <c r="E6" s="11">
        <v>100</v>
      </c>
      <c r="F6" s="11">
        <v>500</v>
      </c>
      <c r="G6" s="11">
        <v>4</v>
      </c>
      <c r="H6" s="96">
        <v>1</v>
      </c>
      <c r="I6" s="11">
        <v>11.12</v>
      </c>
      <c r="J6" s="11">
        <v>11.36</v>
      </c>
      <c r="K6" s="93" t="b">
        <v>1</v>
      </c>
      <c r="L6" s="93" t="b">
        <v>0</v>
      </c>
      <c r="M6" s="11">
        <v>1</v>
      </c>
      <c r="N6" s="11">
        <v>11.53</v>
      </c>
      <c r="O6" s="11">
        <v>1</v>
      </c>
      <c r="P6" s="11" t="s">
        <v>53</v>
      </c>
      <c r="Q6" s="98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11" t="s">
        <v>66</v>
      </c>
    </row>
    <row r="7" spans="1:37">
      <c r="A7" s="11"/>
      <c r="B7" s="95"/>
      <c r="C7" s="11" t="s">
        <v>51</v>
      </c>
      <c r="D7" s="11" t="s">
        <v>52</v>
      </c>
      <c r="E7" s="11">
        <v>100</v>
      </c>
      <c r="F7" s="11">
        <v>500</v>
      </c>
      <c r="G7" s="11">
        <v>5</v>
      </c>
      <c r="H7" s="96">
        <v>1</v>
      </c>
      <c r="I7" s="11">
        <v>11.39</v>
      </c>
      <c r="J7" s="11">
        <v>11.43</v>
      </c>
      <c r="K7" s="93" t="b">
        <v>1</v>
      </c>
      <c r="L7" s="93" t="b">
        <v>0</v>
      </c>
      <c r="M7" s="11">
        <v>1</v>
      </c>
      <c r="N7" s="11">
        <v>11.59</v>
      </c>
      <c r="O7" s="11">
        <v>1</v>
      </c>
      <c r="P7" s="11" t="s">
        <v>61</v>
      </c>
      <c r="Q7" s="11" t="s">
        <v>62</v>
      </c>
      <c r="R7" s="11">
        <v>1</v>
      </c>
      <c r="S7" s="11">
        <v>1</v>
      </c>
      <c r="T7" s="11">
        <v>1</v>
      </c>
      <c r="U7" s="11">
        <v>1</v>
      </c>
      <c r="V7" s="11" t="s">
        <v>63</v>
      </c>
      <c r="W7" s="11">
        <v>1</v>
      </c>
      <c r="X7" s="11">
        <v>1</v>
      </c>
      <c r="Y7" s="11" t="s">
        <v>59</v>
      </c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11" t="s">
        <v>66</v>
      </c>
    </row>
    <row r="8" spans="1:37">
      <c r="A8" s="11"/>
      <c r="B8" s="95"/>
      <c r="C8" s="11" t="s">
        <v>51</v>
      </c>
      <c r="D8" s="11" t="s">
        <v>52</v>
      </c>
      <c r="E8" s="11">
        <v>100</v>
      </c>
      <c r="F8" s="11">
        <v>500</v>
      </c>
      <c r="G8" s="11">
        <v>6</v>
      </c>
      <c r="H8" s="96">
        <v>1</v>
      </c>
      <c r="I8" s="17">
        <v>0.49444444444444446</v>
      </c>
      <c r="J8" s="15">
        <v>12.02</v>
      </c>
      <c r="K8" s="93" t="b">
        <v>1</v>
      </c>
      <c r="L8" s="93" t="b">
        <v>0</v>
      </c>
      <c r="M8" s="11">
        <v>1</v>
      </c>
      <c r="N8" s="11">
        <v>12.14</v>
      </c>
      <c r="O8" s="11">
        <v>1</v>
      </c>
      <c r="P8" s="11" t="s">
        <v>61</v>
      </c>
      <c r="Q8" s="11" t="s">
        <v>62</v>
      </c>
      <c r="R8" s="11">
        <v>1</v>
      </c>
      <c r="S8" s="11">
        <v>1</v>
      </c>
      <c r="T8" s="11">
        <v>1</v>
      </c>
      <c r="U8" s="11" t="s">
        <v>63</v>
      </c>
      <c r="V8" s="11">
        <v>1</v>
      </c>
      <c r="W8" s="11">
        <v>1</v>
      </c>
      <c r="X8" s="11">
        <v>1</v>
      </c>
      <c r="Y8" s="11" t="s">
        <v>59</v>
      </c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11" t="s">
        <v>66</v>
      </c>
    </row>
    <row r="9" spans="1:37" s="109" customFormat="1">
      <c r="A9" s="28"/>
      <c r="B9" s="99"/>
      <c r="C9" s="28" t="s">
        <v>51</v>
      </c>
      <c r="D9" s="28" t="s">
        <v>52</v>
      </c>
      <c r="E9" s="28">
        <v>100</v>
      </c>
      <c r="F9" s="28">
        <v>500</v>
      </c>
      <c r="G9" s="28">
        <v>7</v>
      </c>
      <c r="H9" s="100">
        <v>2</v>
      </c>
      <c r="I9" s="28">
        <v>12.05</v>
      </c>
      <c r="J9" s="28">
        <v>12.22</v>
      </c>
      <c r="K9" s="101" t="b">
        <v>1</v>
      </c>
      <c r="L9" s="101" t="b">
        <v>0</v>
      </c>
      <c r="M9" s="28">
        <v>2</v>
      </c>
      <c r="N9" s="28">
        <v>12.38</v>
      </c>
      <c r="O9" s="28">
        <v>1</v>
      </c>
      <c r="P9" s="28" t="s">
        <v>62</v>
      </c>
      <c r="Q9" s="28">
        <v>1</v>
      </c>
      <c r="R9" s="28">
        <v>1</v>
      </c>
      <c r="S9" s="28" t="s">
        <v>67</v>
      </c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28" t="s">
        <v>66</v>
      </c>
    </row>
    <row r="10" spans="1:37">
      <c r="A10" s="11">
        <v>2</v>
      </c>
      <c r="B10" s="95">
        <v>45916</v>
      </c>
      <c r="C10" s="11" t="s">
        <v>68</v>
      </c>
      <c r="D10" s="11" t="s">
        <v>69</v>
      </c>
      <c r="E10" s="11">
        <v>100</v>
      </c>
      <c r="F10" s="11">
        <v>500</v>
      </c>
      <c r="G10" s="11">
        <v>1</v>
      </c>
      <c r="H10" s="96">
        <v>3</v>
      </c>
      <c r="I10" s="21">
        <v>9.4</v>
      </c>
      <c r="J10" s="11">
        <v>10.039999999999999</v>
      </c>
      <c r="K10" s="93" t="b">
        <v>1</v>
      </c>
      <c r="L10" s="93" t="b">
        <v>0</v>
      </c>
      <c r="M10" s="11">
        <v>3</v>
      </c>
      <c r="N10" s="11">
        <v>10.220000000000001</v>
      </c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 t="s">
        <v>70</v>
      </c>
      <c r="V10" s="11">
        <v>0</v>
      </c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582" t="s">
        <v>71</v>
      </c>
    </row>
    <row r="11" spans="1:37">
      <c r="A11" s="11"/>
      <c r="B11" s="95" t="s">
        <v>55</v>
      </c>
      <c r="C11" s="11" t="s">
        <v>68</v>
      </c>
      <c r="D11" s="11" t="s">
        <v>69</v>
      </c>
      <c r="E11" s="11">
        <v>100</v>
      </c>
      <c r="F11" s="11">
        <v>500</v>
      </c>
      <c r="G11" s="11">
        <v>2</v>
      </c>
      <c r="H11" s="96">
        <v>1</v>
      </c>
      <c r="I11" s="11">
        <v>10.09</v>
      </c>
      <c r="J11" s="11">
        <v>10.199999999999999</v>
      </c>
      <c r="K11" s="93" t="b">
        <v>1</v>
      </c>
      <c r="L11" s="93" t="b">
        <v>0</v>
      </c>
      <c r="M11" s="11">
        <v>1</v>
      </c>
      <c r="N11" s="11">
        <v>10.45</v>
      </c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 t="s">
        <v>70</v>
      </c>
      <c r="U11" s="11">
        <v>0</v>
      </c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583"/>
    </row>
    <row r="12" spans="1:37" s="109" customFormat="1">
      <c r="A12" s="28"/>
      <c r="B12" s="99"/>
      <c r="C12" s="28" t="s">
        <v>68</v>
      </c>
      <c r="D12" s="28" t="s">
        <v>69</v>
      </c>
      <c r="E12" s="28">
        <v>100</v>
      </c>
      <c r="F12" s="28">
        <v>500</v>
      </c>
      <c r="G12" s="28">
        <v>3</v>
      </c>
      <c r="H12" s="100">
        <v>5</v>
      </c>
      <c r="I12" s="28">
        <v>10.28</v>
      </c>
      <c r="J12" s="28">
        <v>10.54</v>
      </c>
      <c r="K12" s="101" t="b">
        <v>1</v>
      </c>
      <c r="L12" s="101" t="b">
        <v>0</v>
      </c>
      <c r="M12" s="28">
        <v>5</v>
      </c>
      <c r="N12" s="28">
        <v>11.12</v>
      </c>
      <c r="O12" s="28">
        <v>1</v>
      </c>
      <c r="P12" s="28">
        <v>1</v>
      </c>
      <c r="Q12" s="28">
        <v>1</v>
      </c>
      <c r="R12" s="28" t="s">
        <v>70</v>
      </c>
      <c r="S12" s="28">
        <v>0</v>
      </c>
      <c r="T12" s="28">
        <v>0</v>
      </c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584"/>
    </row>
    <row r="13" spans="1:37">
      <c r="A13" s="104">
        <v>3</v>
      </c>
      <c r="B13" s="105">
        <v>45917</v>
      </c>
      <c r="C13" s="11" t="s">
        <v>72</v>
      </c>
      <c r="D13" s="11" t="s">
        <v>73</v>
      </c>
      <c r="E13" s="11" t="s">
        <v>74</v>
      </c>
      <c r="F13" s="11" t="s">
        <v>74</v>
      </c>
      <c r="G13" s="104">
        <v>1</v>
      </c>
      <c r="H13" s="106">
        <v>4</v>
      </c>
      <c r="I13" s="104">
        <v>9.31</v>
      </c>
      <c r="J13" s="104">
        <v>9.42</v>
      </c>
      <c r="K13" s="107" t="b">
        <v>1</v>
      </c>
      <c r="L13" s="107" t="b">
        <v>0</v>
      </c>
      <c r="M13" s="11">
        <v>4</v>
      </c>
      <c r="N13" s="104">
        <v>9.59</v>
      </c>
      <c r="O13" s="11">
        <v>3</v>
      </c>
      <c r="P13" s="104">
        <v>3</v>
      </c>
      <c r="Q13" s="104">
        <v>3</v>
      </c>
      <c r="R13" s="104">
        <v>3</v>
      </c>
      <c r="S13" s="104">
        <v>3</v>
      </c>
      <c r="T13" s="104">
        <v>3</v>
      </c>
      <c r="U13" s="104">
        <v>3</v>
      </c>
      <c r="V13" s="104">
        <v>3</v>
      </c>
      <c r="W13" s="104">
        <v>3</v>
      </c>
      <c r="X13" s="104">
        <v>3</v>
      </c>
      <c r="Y13" s="104">
        <v>3</v>
      </c>
      <c r="Z13" s="104">
        <v>2</v>
      </c>
      <c r="AA13" s="104">
        <v>2</v>
      </c>
      <c r="AB13" s="104">
        <v>2</v>
      </c>
      <c r="AC13" s="104">
        <v>2</v>
      </c>
      <c r="AD13" s="104">
        <v>2</v>
      </c>
      <c r="AE13" s="104">
        <v>2</v>
      </c>
      <c r="AF13" s="104">
        <v>1</v>
      </c>
      <c r="AG13" s="104" t="s">
        <v>75</v>
      </c>
      <c r="AH13" s="104">
        <v>0</v>
      </c>
      <c r="AI13" s="108"/>
      <c r="AJ13" s="108"/>
      <c r="AK13" s="104" t="s">
        <v>76</v>
      </c>
    </row>
    <row r="14" spans="1:37">
      <c r="B14" s="105" t="s">
        <v>55</v>
      </c>
      <c r="C14" s="104" t="s">
        <v>72</v>
      </c>
      <c r="D14" s="104" t="s">
        <v>73</v>
      </c>
      <c r="E14" s="11">
        <v>100</v>
      </c>
      <c r="F14" s="11">
        <v>500</v>
      </c>
      <c r="G14" s="104">
        <v>2</v>
      </c>
      <c r="H14" s="106">
        <v>5</v>
      </c>
      <c r="I14" s="104">
        <v>9.5</v>
      </c>
      <c r="J14" s="104">
        <v>10.09</v>
      </c>
      <c r="K14" s="107" t="b">
        <v>1</v>
      </c>
      <c r="L14" s="107" t="b">
        <v>0</v>
      </c>
      <c r="M14" s="11">
        <v>5</v>
      </c>
      <c r="N14" s="104">
        <v>10.3</v>
      </c>
      <c r="O14" s="104">
        <v>4</v>
      </c>
      <c r="P14" s="104">
        <v>4</v>
      </c>
      <c r="Q14" s="104">
        <v>4</v>
      </c>
      <c r="R14" s="104">
        <v>4</v>
      </c>
      <c r="S14" s="104">
        <v>4</v>
      </c>
      <c r="T14" s="104">
        <v>4</v>
      </c>
      <c r="U14" s="104">
        <v>4</v>
      </c>
      <c r="V14" s="104">
        <v>4</v>
      </c>
      <c r="W14" s="104">
        <v>4</v>
      </c>
      <c r="X14" s="104">
        <v>4</v>
      </c>
      <c r="Y14" s="104">
        <v>4</v>
      </c>
      <c r="Z14" s="104">
        <v>4</v>
      </c>
      <c r="AA14" s="104">
        <v>3</v>
      </c>
      <c r="AB14" s="104">
        <v>3</v>
      </c>
      <c r="AC14" s="104">
        <v>3</v>
      </c>
      <c r="AD14" s="104">
        <v>2</v>
      </c>
      <c r="AE14" s="104">
        <v>2</v>
      </c>
      <c r="AF14" s="104">
        <v>2</v>
      </c>
      <c r="AG14" s="104" t="s">
        <v>77</v>
      </c>
      <c r="AH14" s="104">
        <v>0</v>
      </c>
      <c r="AI14" s="108"/>
      <c r="AJ14" s="108"/>
      <c r="AK14" s="104" t="s">
        <v>78</v>
      </c>
    </row>
    <row r="15" spans="1:37">
      <c r="B15" s="105"/>
      <c r="C15" s="104" t="s">
        <v>72</v>
      </c>
      <c r="D15" s="104" t="s">
        <v>73</v>
      </c>
      <c r="E15" s="11">
        <v>100</v>
      </c>
      <c r="F15" s="11">
        <v>500</v>
      </c>
      <c r="G15" s="104">
        <v>3</v>
      </c>
      <c r="H15" s="106">
        <v>6</v>
      </c>
      <c r="I15" s="104">
        <v>10.14</v>
      </c>
      <c r="J15" s="104">
        <v>10.38</v>
      </c>
      <c r="K15" s="107" t="b">
        <v>1</v>
      </c>
      <c r="L15" s="107" t="b">
        <v>0</v>
      </c>
      <c r="M15" s="11">
        <v>6</v>
      </c>
      <c r="N15" s="104">
        <v>10.54</v>
      </c>
      <c r="O15" s="104">
        <v>3</v>
      </c>
      <c r="P15" s="104">
        <v>3</v>
      </c>
      <c r="Q15" s="104">
        <v>3</v>
      </c>
      <c r="R15" s="104">
        <v>3</v>
      </c>
      <c r="S15" s="104">
        <v>3</v>
      </c>
      <c r="T15" s="104">
        <v>3</v>
      </c>
      <c r="U15" s="104">
        <v>3</v>
      </c>
      <c r="V15" s="104">
        <v>3</v>
      </c>
      <c r="W15" s="104">
        <v>3</v>
      </c>
      <c r="X15" s="104">
        <v>2</v>
      </c>
      <c r="Y15" s="104">
        <v>2</v>
      </c>
      <c r="Z15" s="104">
        <v>1</v>
      </c>
      <c r="AA15" s="11" t="s">
        <v>79</v>
      </c>
      <c r="AB15" s="104">
        <v>0</v>
      </c>
      <c r="AC15" s="108"/>
      <c r="AD15" s="108"/>
      <c r="AE15" s="108"/>
      <c r="AF15" s="108"/>
      <c r="AG15" s="108"/>
      <c r="AH15" s="108"/>
      <c r="AI15" s="108"/>
      <c r="AJ15" s="108"/>
      <c r="AK15" s="104" t="s">
        <v>80</v>
      </c>
    </row>
    <row r="16" spans="1:37">
      <c r="B16" s="105"/>
      <c r="C16" s="104" t="s">
        <v>72</v>
      </c>
      <c r="D16" s="104" t="s">
        <v>73</v>
      </c>
      <c r="E16" s="11">
        <v>100</v>
      </c>
      <c r="F16" s="11">
        <v>500</v>
      </c>
      <c r="G16" s="104">
        <v>4</v>
      </c>
      <c r="H16" s="106">
        <v>3</v>
      </c>
      <c r="I16" s="104">
        <v>10.49</v>
      </c>
      <c r="J16" s="104">
        <v>11.09</v>
      </c>
      <c r="K16" s="107" t="b">
        <v>1</v>
      </c>
      <c r="L16" s="107" t="b">
        <v>0</v>
      </c>
      <c r="M16" s="11">
        <v>3</v>
      </c>
      <c r="N16" s="104">
        <v>11.25</v>
      </c>
      <c r="O16" s="104">
        <v>2</v>
      </c>
      <c r="P16" s="104">
        <v>2</v>
      </c>
      <c r="Q16" s="104">
        <v>2</v>
      </c>
      <c r="R16" s="104">
        <v>2</v>
      </c>
      <c r="S16" s="104">
        <v>2</v>
      </c>
      <c r="T16" s="104">
        <v>2</v>
      </c>
      <c r="U16" s="104">
        <v>2</v>
      </c>
      <c r="V16" s="104">
        <v>2</v>
      </c>
      <c r="W16" s="104">
        <v>2</v>
      </c>
      <c r="X16" s="104">
        <v>2</v>
      </c>
      <c r="Y16" s="104">
        <v>2</v>
      </c>
      <c r="Z16" s="104">
        <v>2</v>
      </c>
      <c r="AA16" s="104">
        <v>2</v>
      </c>
      <c r="AB16" s="104">
        <v>2</v>
      </c>
      <c r="AC16" s="104">
        <v>2</v>
      </c>
      <c r="AD16" s="104">
        <v>2</v>
      </c>
      <c r="AE16" s="104">
        <v>2</v>
      </c>
      <c r="AF16" s="104">
        <v>2</v>
      </c>
      <c r="AG16" s="104" t="s">
        <v>75</v>
      </c>
      <c r="AH16" s="104">
        <v>0</v>
      </c>
      <c r="AI16" s="108"/>
      <c r="AJ16" s="108"/>
      <c r="AK16" s="104" t="s">
        <v>81</v>
      </c>
    </row>
    <row r="17" spans="1:37">
      <c r="B17" s="105"/>
      <c r="C17" s="104" t="s">
        <v>72</v>
      </c>
      <c r="D17" s="104" t="s">
        <v>73</v>
      </c>
      <c r="E17" s="11">
        <v>100</v>
      </c>
      <c r="F17" s="11">
        <v>500</v>
      </c>
      <c r="G17" s="104">
        <v>5</v>
      </c>
      <c r="H17" s="106">
        <v>4</v>
      </c>
      <c r="I17" s="104">
        <v>11.12</v>
      </c>
      <c r="J17" s="104">
        <v>11.4</v>
      </c>
      <c r="K17" s="107" t="b">
        <v>1</v>
      </c>
      <c r="L17" s="107" t="b">
        <v>0</v>
      </c>
      <c r="M17" s="11">
        <v>4</v>
      </c>
      <c r="N17" s="104">
        <v>11.55</v>
      </c>
      <c r="O17" s="104">
        <v>1</v>
      </c>
      <c r="P17" s="104">
        <v>1</v>
      </c>
      <c r="Q17" s="104">
        <v>1</v>
      </c>
      <c r="R17" s="104">
        <v>1</v>
      </c>
      <c r="S17" s="104">
        <v>1</v>
      </c>
      <c r="T17" s="104">
        <v>1</v>
      </c>
      <c r="U17" s="104">
        <v>1</v>
      </c>
      <c r="V17" s="104">
        <v>1</v>
      </c>
      <c r="W17" s="104">
        <v>1</v>
      </c>
      <c r="X17" s="104">
        <v>1</v>
      </c>
      <c r="Y17" s="104">
        <v>1</v>
      </c>
      <c r="Z17" s="104">
        <v>1</v>
      </c>
      <c r="AA17" s="11" t="s">
        <v>79</v>
      </c>
      <c r="AB17" s="104">
        <v>0</v>
      </c>
      <c r="AC17" s="108"/>
      <c r="AD17" s="108"/>
      <c r="AE17" s="108"/>
      <c r="AF17" s="108"/>
      <c r="AG17" s="108"/>
      <c r="AH17" s="108"/>
      <c r="AI17" s="108"/>
      <c r="AJ17" s="108"/>
      <c r="AK17" s="104" t="s">
        <v>82</v>
      </c>
    </row>
    <row r="18" spans="1:37" s="109" customFormat="1">
      <c r="B18" s="110"/>
      <c r="C18" s="109" t="s">
        <v>72</v>
      </c>
      <c r="D18" s="109" t="s">
        <v>73</v>
      </c>
      <c r="E18" s="28">
        <v>100</v>
      </c>
      <c r="F18" s="28">
        <v>500</v>
      </c>
      <c r="G18" s="109">
        <v>6</v>
      </c>
      <c r="H18" s="111">
        <v>5</v>
      </c>
      <c r="I18" s="109">
        <v>11.52</v>
      </c>
      <c r="J18" s="109">
        <v>12.1</v>
      </c>
      <c r="K18" s="112" t="b">
        <v>1</v>
      </c>
      <c r="L18" s="112" t="b">
        <v>0</v>
      </c>
      <c r="M18" s="28">
        <v>5</v>
      </c>
      <c r="N18" s="109">
        <v>12.23</v>
      </c>
      <c r="O18" s="109">
        <v>0</v>
      </c>
      <c r="P18" s="109">
        <v>0</v>
      </c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09" t="s">
        <v>82</v>
      </c>
    </row>
    <row r="19" spans="1:37">
      <c r="A19" s="104">
        <v>4</v>
      </c>
      <c r="B19" s="105">
        <v>45918</v>
      </c>
      <c r="C19" s="104" t="s">
        <v>83</v>
      </c>
      <c r="D19" s="104" t="s">
        <v>84</v>
      </c>
      <c r="E19" s="11">
        <v>100</v>
      </c>
      <c r="F19" s="11">
        <v>500</v>
      </c>
      <c r="G19" s="104">
        <v>1</v>
      </c>
      <c r="H19" s="106">
        <v>2</v>
      </c>
      <c r="I19" s="104">
        <v>9.4499999999999993</v>
      </c>
      <c r="J19" s="104">
        <v>10.039999999999999</v>
      </c>
      <c r="K19" s="107" t="b">
        <v>1</v>
      </c>
      <c r="L19" s="107" t="b">
        <v>0</v>
      </c>
      <c r="M19" s="11">
        <v>2</v>
      </c>
      <c r="N19" s="104">
        <v>10.220000000000001</v>
      </c>
      <c r="O19" s="11">
        <v>1</v>
      </c>
      <c r="P19" s="104">
        <v>1</v>
      </c>
      <c r="Q19" s="104">
        <v>1</v>
      </c>
      <c r="R19" s="104">
        <v>1</v>
      </c>
      <c r="S19" s="104">
        <v>1</v>
      </c>
      <c r="T19" s="104">
        <v>1</v>
      </c>
      <c r="U19" s="104">
        <v>1</v>
      </c>
      <c r="V19" s="104">
        <v>1</v>
      </c>
      <c r="W19" s="104">
        <v>1</v>
      </c>
      <c r="X19" s="104">
        <v>1</v>
      </c>
      <c r="Y19" s="104">
        <v>1</v>
      </c>
      <c r="Z19" s="104">
        <v>1</v>
      </c>
      <c r="AA19" s="11" t="s">
        <v>85</v>
      </c>
      <c r="AB19" s="104">
        <v>0</v>
      </c>
      <c r="AC19" s="108"/>
      <c r="AD19" s="108"/>
      <c r="AE19" s="108"/>
      <c r="AF19" s="108"/>
      <c r="AG19" s="108"/>
      <c r="AH19" s="108"/>
      <c r="AI19" s="108"/>
      <c r="AJ19" s="108"/>
      <c r="AK19" s="582" t="s">
        <v>86</v>
      </c>
    </row>
    <row r="20" spans="1:37">
      <c r="B20" s="105" t="s">
        <v>87</v>
      </c>
      <c r="C20" s="104" t="s">
        <v>88</v>
      </c>
      <c r="D20" s="104" t="s">
        <v>84</v>
      </c>
      <c r="E20" s="11">
        <v>100</v>
      </c>
      <c r="F20" s="11">
        <v>500</v>
      </c>
      <c r="G20" s="104">
        <v>2</v>
      </c>
      <c r="H20" s="106">
        <v>2</v>
      </c>
      <c r="I20" s="104">
        <v>10.199999999999999</v>
      </c>
      <c r="J20" s="104">
        <v>10.31</v>
      </c>
      <c r="K20" s="107" t="b">
        <v>0</v>
      </c>
      <c r="L20" s="107" t="b">
        <v>0</v>
      </c>
      <c r="M20" s="11">
        <v>2</v>
      </c>
      <c r="N20" s="104">
        <v>10.48</v>
      </c>
      <c r="O20" s="104">
        <v>1</v>
      </c>
      <c r="P20" s="104">
        <v>1</v>
      </c>
      <c r="Q20" s="104">
        <v>1</v>
      </c>
      <c r="R20" s="104">
        <v>1</v>
      </c>
      <c r="S20" s="104">
        <v>1</v>
      </c>
      <c r="T20" s="104">
        <v>1</v>
      </c>
      <c r="U20" s="104">
        <v>1</v>
      </c>
      <c r="V20" s="104">
        <v>1</v>
      </c>
      <c r="W20" s="104">
        <v>1</v>
      </c>
      <c r="X20" s="104">
        <v>1</v>
      </c>
      <c r="Y20" s="104">
        <v>1</v>
      </c>
      <c r="Z20" s="104">
        <v>1</v>
      </c>
      <c r="AA20" s="104">
        <v>1</v>
      </c>
      <c r="AB20" s="104">
        <v>1</v>
      </c>
      <c r="AC20" s="104">
        <v>1</v>
      </c>
      <c r="AD20" s="104">
        <v>1</v>
      </c>
      <c r="AE20" s="104">
        <v>1</v>
      </c>
      <c r="AF20" s="11" t="s">
        <v>89</v>
      </c>
      <c r="AG20" s="104">
        <v>0</v>
      </c>
      <c r="AH20" s="108"/>
      <c r="AI20" s="108"/>
      <c r="AJ20" s="108"/>
      <c r="AK20" s="583"/>
    </row>
    <row r="21" spans="1:37">
      <c r="B21" s="105"/>
      <c r="C21" s="104" t="s">
        <v>88</v>
      </c>
      <c r="D21" s="104" t="s">
        <v>84</v>
      </c>
      <c r="E21" s="11">
        <v>100</v>
      </c>
      <c r="F21" s="11">
        <v>500</v>
      </c>
      <c r="G21" s="104">
        <v>3</v>
      </c>
      <c r="H21" s="106">
        <v>3</v>
      </c>
      <c r="I21" s="104">
        <v>10.33</v>
      </c>
      <c r="J21" s="104">
        <v>10.45</v>
      </c>
      <c r="K21" s="107" t="b">
        <v>1</v>
      </c>
      <c r="L21" s="107" t="b">
        <v>0</v>
      </c>
      <c r="M21" s="11">
        <v>3</v>
      </c>
      <c r="N21" s="104">
        <v>11.05</v>
      </c>
      <c r="O21" s="104">
        <v>0</v>
      </c>
      <c r="P21" s="104">
        <v>0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583"/>
    </row>
    <row r="22" spans="1:37">
      <c r="B22" s="105"/>
      <c r="C22" s="104" t="s">
        <v>83</v>
      </c>
      <c r="D22" s="104" t="s">
        <v>84</v>
      </c>
      <c r="E22" s="11">
        <v>100</v>
      </c>
      <c r="F22" s="11">
        <v>500</v>
      </c>
      <c r="G22" s="104">
        <v>4</v>
      </c>
      <c r="H22" s="106">
        <v>5</v>
      </c>
      <c r="I22" s="104">
        <v>10.49</v>
      </c>
      <c r="J22" s="104">
        <v>10.56</v>
      </c>
      <c r="K22" s="107" t="b">
        <v>1</v>
      </c>
      <c r="L22" s="107" t="b">
        <v>0</v>
      </c>
      <c r="M22" s="11">
        <v>5</v>
      </c>
      <c r="N22" s="104">
        <v>11.09</v>
      </c>
      <c r="O22" s="104">
        <v>1</v>
      </c>
      <c r="P22" s="104">
        <v>1</v>
      </c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583"/>
    </row>
    <row r="23" spans="1:37">
      <c r="B23" s="105"/>
      <c r="C23" s="104" t="s">
        <v>83</v>
      </c>
      <c r="D23" s="104" t="s">
        <v>84</v>
      </c>
      <c r="E23" s="11">
        <v>100</v>
      </c>
      <c r="F23" s="11">
        <v>500</v>
      </c>
      <c r="G23" s="104">
        <v>5</v>
      </c>
      <c r="H23" s="106">
        <v>6</v>
      </c>
      <c r="I23" s="104">
        <v>11.02</v>
      </c>
      <c r="J23" s="104">
        <v>11.19</v>
      </c>
      <c r="K23" s="107" t="b">
        <v>1</v>
      </c>
      <c r="L23" s="107" t="b">
        <v>0</v>
      </c>
      <c r="M23" s="11">
        <v>6</v>
      </c>
      <c r="N23" s="104">
        <v>11.39</v>
      </c>
      <c r="O23" s="104">
        <v>2</v>
      </c>
      <c r="P23" s="104">
        <v>2</v>
      </c>
      <c r="Q23" s="104">
        <v>1</v>
      </c>
      <c r="R23" s="104">
        <v>1</v>
      </c>
      <c r="S23" s="104">
        <v>1</v>
      </c>
      <c r="T23" s="104">
        <v>1</v>
      </c>
      <c r="U23" s="104">
        <v>1</v>
      </c>
      <c r="V23" s="104">
        <v>1</v>
      </c>
      <c r="W23" s="104">
        <v>1</v>
      </c>
      <c r="X23" s="104">
        <v>1</v>
      </c>
      <c r="Y23" s="104">
        <v>1</v>
      </c>
      <c r="Z23" s="104">
        <v>1</v>
      </c>
      <c r="AA23" s="104">
        <v>1</v>
      </c>
      <c r="AB23" s="104">
        <v>1</v>
      </c>
      <c r="AC23" s="104">
        <v>1</v>
      </c>
      <c r="AD23" s="104">
        <v>1</v>
      </c>
      <c r="AE23" s="104">
        <v>1</v>
      </c>
      <c r="AF23" s="11" t="s">
        <v>90</v>
      </c>
      <c r="AG23" s="104">
        <v>0</v>
      </c>
      <c r="AH23" s="108"/>
      <c r="AI23" s="108"/>
      <c r="AJ23" s="108"/>
      <c r="AK23" s="583"/>
    </row>
    <row r="24" spans="1:37">
      <c r="B24" s="105"/>
      <c r="C24" s="104" t="s">
        <v>83</v>
      </c>
      <c r="D24" s="104" t="s">
        <v>84</v>
      </c>
      <c r="E24" s="11">
        <v>100</v>
      </c>
      <c r="F24" s="11">
        <v>500</v>
      </c>
      <c r="G24" s="104">
        <v>6</v>
      </c>
      <c r="H24" s="106">
        <v>3</v>
      </c>
      <c r="I24" s="104">
        <v>11.21</v>
      </c>
      <c r="J24" s="104">
        <v>11.48</v>
      </c>
      <c r="K24" s="107" t="b">
        <v>1</v>
      </c>
      <c r="L24" s="107" t="b">
        <v>0</v>
      </c>
      <c r="M24" s="11">
        <v>3</v>
      </c>
      <c r="N24" s="104">
        <v>12.05</v>
      </c>
      <c r="O24" s="104">
        <v>2</v>
      </c>
      <c r="P24" s="104">
        <v>2</v>
      </c>
      <c r="Q24" s="104">
        <v>2</v>
      </c>
      <c r="R24" s="104">
        <v>1</v>
      </c>
      <c r="S24" s="104">
        <v>1</v>
      </c>
      <c r="T24" s="104">
        <v>1</v>
      </c>
      <c r="U24" s="104">
        <v>1</v>
      </c>
      <c r="V24" s="104">
        <v>1</v>
      </c>
      <c r="W24" s="104">
        <v>1</v>
      </c>
      <c r="X24" s="104">
        <v>1</v>
      </c>
      <c r="Y24" s="104">
        <v>1</v>
      </c>
      <c r="Z24" s="11" t="s">
        <v>91</v>
      </c>
      <c r="AA24" s="104">
        <v>0</v>
      </c>
      <c r="AB24" s="108"/>
      <c r="AC24" s="108"/>
      <c r="AD24" s="108"/>
      <c r="AE24" s="108"/>
      <c r="AF24" s="108"/>
      <c r="AG24" s="108"/>
      <c r="AH24" s="108"/>
      <c r="AI24" s="108"/>
      <c r="AJ24" s="108"/>
      <c r="AK24" s="583"/>
    </row>
    <row r="25" spans="1:37" s="109" customFormat="1">
      <c r="B25" s="110"/>
      <c r="C25" s="109" t="s">
        <v>83</v>
      </c>
      <c r="D25" s="109" t="s">
        <v>84</v>
      </c>
      <c r="E25" s="28">
        <v>100</v>
      </c>
      <c r="F25" s="28">
        <v>500</v>
      </c>
      <c r="G25" s="109">
        <v>7</v>
      </c>
      <c r="H25" s="111">
        <v>7</v>
      </c>
      <c r="I25" s="109">
        <v>11.51</v>
      </c>
      <c r="J25" s="109">
        <v>12.19</v>
      </c>
      <c r="K25" s="112" t="b">
        <v>1</v>
      </c>
      <c r="L25" s="112" t="b">
        <v>0</v>
      </c>
      <c r="M25" s="28">
        <v>7</v>
      </c>
      <c r="N25" s="109">
        <v>12.35</v>
      </c>
      <c r="O25" s="109">
        <v>2</v>
      </c>
      <c r="P25" s="109">
        <v>2</v>
      </c>
      <c r="Q25" s="109">
        <v>1</v>
      </c>
      <c r="R25" s="109">
        <v>1</v>
      </c>
      <c r="S25" s="109">
        <v>1</v>
      </c>
      <c r="T25" s="109">
        <v>1</v>
      </c>
      <c r="U25" s="109">
        <v>1</v>
      </c>
      <c r="V25" s="109">
        <v>1</v>
      </c>
      <c r="W25" s="109">
        <v>1</v>
      </c>
      <c r="X25" s="109">
        <v>1</v>
      </c>
      <c r="Y25" s="109">
        <v>1</v>
      </c>
      <c r="Z25" s="109">
        <v>1</v>
      </c>
      <c r="AA25" s="109">
        <v>1</v>
      </c>
      <c r="AB25" s="28" t="s">
        <v>89</v>
      </c>
      <c r="AC25" s="109">
        <v>0</v>
      </c>
      <c r="AD25" s="113"/>
      <c r="AE25" s="113"/>
      <c r="AF25" s="113"/>
      <c r="AG25" s="113"/>
      <c r="AH25" s="113"/>
      <c r="AI25" s="113"/>
      <c r="AJ25" s="113"/>
      <c r="AK25" s="584"/>
    </row>
    <row r="26" spans="1:37">
      <c r="A26" s="104">
        <v>5</v>
      </c>
      <c r="B26" s="95">
        <v>45923</v>
      </c>
      <c r="C26" s="104" t="s">
        <v>92</v>
      </c>
      <c r="D26" s="11" t="s">
        <v>93</v>
      </c>
      <c r="E26" s="11">
        <v>100</v>
      </c>
      <c r="F26" s="11">
        <v>500</v>
      </c>
      <c r="G26" s="104">
        <v>1</v>
      </c>
      <c r="H26" s="106">
        <v>3</v>
      </c>
      <c r="I26" s="104">
        <v>10.02</v>
      </c>
      <c r="J26" s="104">
        <v>10.16</v>
      </c>
      <c r="K26" s="107" t="b">
        <v>1</v>
      </c>
      <c r="L26" s="107" t="b">
        <v>0</v>
      </c>
      <c r="M26" s="104">
        <v>3</v>
      </c>
      <c r="N26" s="104">
        <v>10.33</v>
      </c>
      <c r="O26" s="104">
        <v>1</v>
      </c>
      <c r="P26" s="104">
        <v>0</v>
      </c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4" t="s">
        <v>94</v>
      </c>
    </row>
    <row r="27" spans="1:37">
      <c r="C27" s="104" t="s">
        <v>92</v>
      </c>
      <c r="D27" s="11" t="s">
        <v>93</v>
      </c>
      <c r="E27" s="11">
        <v>100</v>
      </c>
      <c r="F27" s="11">
        <v>500</v>
      </c>
      <c r="G27" s="104">
        <v>2</v>
      </c>
      <c r="H27" s="106">
        <v>3</v>
      </c>
      <c r="I27" s="104">
        <v>10.27</v>
      </c>
      <c r="J27" s="104">
        <v>10.37</v>
      </c>
      <c r="K27" s="107" t="b">
        <v>1</v>
      </c>
      <c r="L27" s="107" t="b">
        <v>0</v>
      </c>
      <c r="M27" s="104">
        <v>3</v>
      </c>
      <c r="N27" s="104">
        <v>10.56</v>
      </c>
      <c r="O27" s="104">
        <v>2</v>
      </c>
      <c r="P27" s="104">
        <v>2</v>
      </c>
      <c r="Q27" s="104">
        <v>2</v>
      </c>
      <c r="R27" s="104">
        <v>2</v>
      </c>
      <c r="S27" s="104">
        <v>2</v>
      </c>
      <c r="T27" s="104">
        <v>2</v>
      </c>
      <c r="U27" s="104">
        <v>2</v>
      </c>
      <c r="V27" s="104">
        <v>2</v>
      </c>
      <c r="W27" s="104">
        <v>2</v>
      </c>
      <c r="X27" s="104">
        <v>2</v>
      </c>
      <c r="Y27" s="104">
        <v>2</v>
      </c>
      <c r="Z27" s="104">
        <v>2</v>
      </c>
      <c r="AA27" s="104">
        <v>2</v>
      </c>
      <c r="AB27" s="104">
        <v>2</v>
      </c>
      <c r="AC27" s="104">
        <v>2</v>
      </c>
      <c r="AD27" s="104">
        <v>2</v>
      </c>
      <c r="AE27" s="104">
        <v>2</v>
      </c>
      <c r="AF27" s="104">
        <v>1</v>
      </c>
      <c r="AG27" s="104">
        <v>1</v>
      </c>
      <c r="AH27" s="104">
        <v>0</v>
      </c>
      <c r="AI27" s="108"/>
      <c r="AJ27" s="108"/>
    </row>
    <row r="28" spans="1:37">
      <c r="C28" s="104" t="s">
        <v>92</v>
      </c>
      <c r="D28" s="11" t="s">
        <v>93</v>
      </c>
      <c r="E28" s="11">
        <v>100</v>
      </c>
      <c r="F28" s="11">
        <v>500</v>
      </c>
      <c r="G28" s="104">
        <v>3</v>
      </c>
      <c r="H28" s="106">
        <v>4</v>
      </c>
      <c r="I28" s="104">
        <v>10.4</v>
      </c>
      <c r="J28" s="104">
        <v>11.05</v>
      </c>
      <c r="K28" s="107" t="b">
        <v>1</v>
      </c>
      <c r="L28" s="107" t="b">
        <v>0</v>
      </c>
      <c r="M28" s="104">
        <v>4</v>
      </c>
      <c r="N28" s="104">
        <v>11.21</v>
      </c>
      <c r="O28" s="104">
        <v>4</v>
      </c>
      <c r="P28" s="104">
        <v>4</v>
      </c>
      <c r="Q28" s="104">
        <v>4</v>
      </c>
      <c r="R28" s="104">
        <v>4</v>
      </c>
      <c r="S28" s="104">
        <v>4</v>
      </c>
      <c r="T28" s="104">
        <v>4</v>
      </c>
      <c r="U28" s="104">
        <v>4</v>
      </c>
      <c r="V28" s="104">
        <v>4</v>
      </c>
      <c r="W28" s="104">
        <v>4</v>
      </c>
      <c r="X28" s="104">
        <v>4</v>
      </c>
      <c r="Y28" s="104">
        <v>4</v>
      </c>
      <c r="Z28" s="104">
        <v>4</v>
      </c>
      <c r="AA28" s="104">
        <v>4</v>
      </c>
      <c r="AB28" s="104">
        <v>4</v>
      </c>
      <c r="AC28" s="104">
        <v>4</v>
      </c>
      <c r="AD28" s="104">
        <v>3</v>
      </c>
      <c r="AE28" s="104">
        <v>3</v>
      </c>
      <c r="AF28" s="104">
        <v>3</v>
      </c>
      <c r="AG28" s="104">
        <v>2</v>
      </c>
      <c r="AH28" s="104">
        <v>0</v>
      </c>
      <c r="AI28" s="161"/>
      <c r="AJ28" s="161"/>
    </row>
    <row r="29" spans="1:37">
      <c r="C29" s="104" t="s">
        <v>92</v>
      </c>
      <c r="D29" s="11" t="s">
        <v>93</v>
      </c>
      <c r="E29" s="11">
        <v>100</v>
      </c>
      <c r="F29" s="11">
        <v>500</v>
      </c>
      <c r="G29" s="104">
        <v>4</v>
      </c>
      <c r="H29" s="106">
        <v>5</v>
      </c>
      <c r="I29" s="104">
        <v>11.07</v>
      </c>
      <c r="J29" s="104">
        <v>11.29</v>
      </c>
      <c r="K29" s="107" t="b">
        <v>1</v>
      </c>
      <c r="L29" s="107" t="b">
        <v>0</v>
      </c>
      <c r="M29" s="104">
        <v>5</v>
      </c>
      <c r="N29" s="104">
        <v>11.45</v>
      </c>
      <c r="O29" s="104">
        <v>5</v>
      </c>
      <c r="P29" s="104">
        <v>5</v>
      </c>
      <c r="Q29" s="104">
        <v>5</v>
      </c>
      <c r="R29" s="104">
        <v>3</v>
      </c>
      <c r="S29" s="104">
        <v>3</v>
      </c>
      <c r="T29" s="104">
        <v>3</v>
      </c>
      <c r="U29" s="104">
        <v>3</v>
      </c>
      <c r="V29" s="104">
        <v>3</v>
      </c>
      <c r="W29" s="104">
        <v>3</v>
      </c>
      <c r="X29" s="104">
        <v>3</v>
      </c>
      <c r="Y29" s="104">
        <v>0</v>
      </c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</row>
    <row r="30" spans="1:37" s="109" customFormat="1">
      <c r="C30" s="109" t="s">
        <v>92</v>
      </c>
      <c r="D30" s="28" t="s">
        <v>93</v>
      </c>
      <c r="E30" s="28">
        <v>100</v>
      </c>
      <c r="F30" s="28">
        <v>500</v>
      </c>
      <c r="G30" s="109">
        <v>5</v>
      </c>
      <c r="H30" s="111">
        <v>1</v>
      </c>
      <c r="I30" s="109">
        <v>11.49</v>
      </c>
      <c r="J30" s="109">
        <v>11.57</v>
      </c>
      <c r="K30" s="112" t="b">
        <v>1</v>
      </c>
      <c r="L30" s="112" t="b">
        <v>0</v>
      </c>
      <c r="M30" s="109">
        <v>1</v>
      </c>
      <c r="N30" s="109">
        <v>12.12</v>
      </c>
      <c r="O30" s="109">
        <v>1</v>
      </c>
      <c r="P30" s="109">
        <v>1</v>
      </c>
      <c r="Q30" s="109">
        <v>1</v>
      </c>
      <c r="R30" s="109">
        <v>0</v>
      </c>
      <c r="S30" s="113"/>
      <c r="T30" s="113"/>
      <c r="U30" s="113"/>
      <c r="V30" s="113"/>
      <c r="W30" s="113"/>
      <c r="X30" s="113"/>
      <c r="Y30" s="113"/>
      <c r="Z30" s="162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</row>
    <row r="31" spans="1:37">
      <c r="A31" s="104">
        <v>6</v>
      </c>
      <c r="B31" s="95">
        <v>45926</v>
      </c>
      <c r="C31" s="104" t="s">
        <v>95</v>
      </c>
      <c r="D31" s="11" t="s">
        <v>96</v>
      </c>
      <c r="E31" s="11">
        <v>100</v>
      </c>
      <c r="F31" s="11">
        <v>500</v>
      </c>
      <c r="G31" s="104">
        <v>1</v>
      </c>
      <c r="H31" s="96">
        <v>2</v>
      </c>
      <c r="I31" s="104">
        <v>10.199999999999999</v>
      </c>
      <c r="J31" s="104">
        <v>10.29</v>
      </c>
      <c r="K31" s="107" t="b">
        <v>1</v>
      </c>
      <c r="L31" s="107" t="b">
        <v>0</v>
      </c>
      <c r="M31" s="104">
        <v>2</v>
      </c>
      <c r="N31" s="104">
        <v>10.47</v>
      </c>
      <c r="O31" s="104">
        <v>1</v>
      </c>
      <c r="P31" s="104">
        <v>1</v>
      </c>
      <c r="Q31" s="104">
        <v>1</v>
      </c>
      <c r="R31" s="104">
        <v>1</v>
      </c>
      <c r="S31" s="104">
        <v>1</v>
      </c>
      <c r="T31" s="104">
        <v>1</v>
      </c>
      <c r="U31" s="104">
        <v>1</v>
      </c>
      <c r="V31" s="104">
        <v>1</v>
      </c>
      <c r="W31" s="104">
        <v>1</v>
      </c>
      <c r="X31" s="104">
        <v>1</v>
      </c>
      <c r="Y31" s="104">
        <v>1</v>
      </c>
      <c r="Z31" s="104">
        <v>1</v>
      </c>
      <c r="AA31" s="104">
        <v>1</v>
      </c>
      <c r="AB31" s="104">
        <v>1</v>
      </c>
      <c r="AC31" s="104">
        <v>1</v>
      </c>
      <c r="AD31" s="104">
        <v>1</v>
      </c>
      <c r="AE31" s="104">
        <v>1</v>
      </c>
      <c r="AF31" s="104">
        <v>1</v>
      </c>
      <c r="AG31" s="104">
        <v>1</v>
      </c>
      <c r="AH31" s="104">
        <v>1</v>
      </c>
      <c r="AI31" s="104">
        <v>1</v>
      </c>
      <c r="AJ31" s="104">
        <v>1</v>
      </c>
      <c r="AK31" s="104" t="s">
        <v>97</v>
      </c>
    </row>
    <row r="32" spans="1:37">
      <c r="C32" s="104" t="s">
        <v>95</v>
      </c>
      <c r="D32" s="11" t="s">
        <v>96</v>
      </c>
      <c r="E32" s="11">
        <v>100</v>
      </c>
      <c r="F32" s="11">
        <v>500</v>
      </c>
      <c r="G32" s="104">
        <v>2</v>
      </c>
      <c r="H32" s="96">
        <v>2</v>
      </c>
      <c r="I32" s="104">
        <v>10.34</v>
      </c>
      <c r="J32" s="104">
        <v>10.41</v>
      </c>
      <c r="K32" s="107" t="b">
        <v>1</v>
      </c>
      <c r="L32" s="107" t="b">
        <v>0</v>
      </c>
      <c r="M32" s="104">
        <v>2</v>
      </c>
      <c r="N32" s="104">
        <v>10.59</v>
      </c>
      <c r="O32" s="104">
        <v>2</v>
      </c>
      <c r="P32" s="104">
        <v>2</v>
      </c>
      <c r="Q32" s="104">
        <v>2</v>
      </c>
      <c r="R32" s="104">
        <v>2</v>
      </c>
      <c r="S32" s="104">
        <v>2</v>
      </c>
      <c r="T32" s="104">
        <v>2</v>
      </c>
      <c r="U32" s="104">
        <v>2</v>
      </c>
      <c r="V32" s="104">
        <v>2</v>
      </c>
      <c r="W32" s="104">
        <v>2</v>
      </c>
      <c r="X32" s="104">
        <v>2</v>
      </c>
      <c r="Y32" s="104">
        <v>2</v>
      </c>
      <c r="Z32" s="104">
        <v>2</v>
      </c>
      <c r="AA32" s="104">
        <v>2</v>
      </c>
      <c r="AB32" s="104">
        <v>2</v>
      </c>
      <c r="AC32" s="104">
        <v>0</v>
      </c>
      <c r="AD32" s="108"/>
      <c r="AE32" s="108"/>
      <c r="AF32" s="108"/>
      <c r="AG32" s="108"/>
      <c r="AH32" s="108"/>
      <c r="AI32" s="108"/>
      <c r="AJ32" s="108"/>
      <c r="AK32" s="104" t="s">
        <v>97</v>
      </c>
    </row>
    <row r="33" spans="1:37">
      <c r="C33" s="104" t="s">
        <v>98</v>
      </c>
      <c r="D33" s="11" t="s">
        <v>96</v>
      </c>
      <c r="E33" s="11">
        <v>100</v>
      </c>
      <c r="F33" s="11">
        <v>500</v>
      </c>
      <c r="G33" s="104">
        <v>3</v>
      </c>
      <c r="H33" s="96">
        <v>1</v>
      </c>
      <c r="I33" s="104">
        <v>10.49</v>
      </c>
      <c r="J33" s="104">
        <v>10.56</v>
      </c>
      <c r="K33" s="107" t="b">
        <v>1</v>
      </c>
      <c r="L33" s="107" t="b">
        <v>0</v>
      </c>
      <c r="M33" s="104">
        <v>1</v>
      </c>
      <c r="N33" s="104">
        <v>11.14</v>
      </c>
      <c r="O33" s="104">
        <v>1</v>
      </c>
      <c r="P33" s="104">
        <v>1</v>
      </c>
      <c r="Q33" s="104">
        <v>1</v>
      </c>
      <c r="R33" s="104">
        <v>1</v>
      </c>
      <c r="S33" s="104">
        <v>1</v>
      </c>
      <c r="T33" s="104">
        <v>1</v>
      </c>
      <c r="U33" s="104">
        <v>1</v>
      </c>
      <c r="V33" s="104">
        <v>1</v>
      </c>
      <c r="W33" s="104">
        <v>1</v>
      </c>
      <c r="X33" s="104">
        <v>1</v>
      </c>
      <c r="Y33" s="104">
        <v>1</v>
      </c>
      <c r="Z33" s="104">
        <v>1</v>
      </c>
      <c r="AA33" s="104">
        <v>1</v>
      </c>
      <c r="AB33" s="104">
        <v>1</v>
      </c>
      <c r="AC33" s="104">
        <v>1</v>
      </c>
      <c r="AD33" s="104">
        <v>1</v>
      </c>
      <c r="AE33" s="104">
        <v>1</v>
      </c>
      <c r="AF33" s="104">
        <v>1</v>
      </c>
      <c r="AG33" s="104">
        <v>1</v>
      </c>
      <c r="AH33" s="104">
        <v>1</v>
      </c>
      <c r="AI33" s="104">
        <v>1</v>
      </c>
      <c r="AJ33" s="104">
        <v>1</v>
      </c>
      <c r="AK33" s="104" t="s">
        <v>99</v>
      </c>
    </row>
    <row r="34" spans="1:37">
      <c r="C34" s="104" t="s">
        <v>98</v>
      </c>
      <c r="D34" s="11" t="s">
        <v>96</v>
      </c>
      <c r="E34" s="11">
        <v>100</v>
      </c>
      <c r="F34" s="11">
        <v>500</v>
      </c>
      <c r="G34" s="104">
        <v>4</v>
      </c>
      <c r="H34" s="96">
        <v>5</v>
      </c>
      <c r="I34" s="104">
        <v>11.02</v>
      </c>
      <c r="J34" s="104">
        <v>11.24</v>
      </c>
      <c r="K34" s="107" t="b">
        <v>1</v>
      </c>
      <c r="L34" s="107" t="b">
        <v>0</v>
      </c>
      <c r="M34" s="104">
        <v>5</v>
      </c>
      <c r="N34" s="104">
        <v>11.43</v>
      </c>
      <c r="O34" s="104">
        <v>1</v>
      </c>
      <c r="P34" s="104">
        <v>1</v>
      </c>
      <c r="Q34" s="104">
        <v>1</v>
      </c>
      <c r="R34" s="104">
        <v>1</v>
      </c>
      <c r="S34" s="104">
        <v>1</v>
      </c>
      <c r="T34" s="104">
        <v>1</v>
      </c>
      <c r="U34" s="104">
        <v>1</v>
      </c>
      <c r="V34" s="104">
        <v>1</v>
      </c>
      <c r="W34" s="104">
        <v>1</v>
      </c>
      <c r="X34" s="104">
        <v>1</v>
      </c>
      <c r="Y34" s="104">
        <v>1</v>
      </c>
      <c r="Z34" s="104">
        <v>1</v>
      </c>
      <c r="AA34" s="104">
        <v>0</v>
      </c>
      <c r="AB34" s="108"/>
      <c r="AC34" s="108"/>
      <c r="AD34" s="108"/>
      <c r="AE34" s="108"/>
      <c r="AF34" s="108"/>
      <c r="AG34" s="108"/>
      <c r="AH34" s="108"/>
      <c r="AI34" s="108"/>
      <c r="AJ34" s="108"/>
    </row>
    <row r="35" spans="1:37">
      <c r="C35" s="104" t="s">
        <v>98</v>
      </c>
      <c r="D35" s="11" t="s">
        <v>96</v>
      </c>
      <c r="E35" s="11">
        <v>100</v>
      </c>
      <c r="F35" s="11">
        <v>500</v>
      </c>
      <c r="G35" s="104">
        <v>5</v>
      </c>
      <c r="H35" s="96">
        <v>6</v>
      </c>
      <c r="I35" s="104">
        <v>11.45</v>
      </c>
      <c r="J35" s="104">
        <v>12.11</v>
      </c>
      <c r="K35" s="107" t="b">
        <v>1</v>
      </c>
      <c r="L35" s="107" t="b">
        <v>0</v>
      </c>
      <c r="M35" s="104">
        <v>6</v>
      </c>
      <c r="N35" s="104">
        <v>12.26</v>
      </c>
      <c r="O35" s="104">
        <v>6</v>
      </c>
      <c r="P35" s="104">
        <v>6</v>
      </c>
      <c r="Q35" s="104">
        <v>2</v>
      </c>
      <c r="R35" s="104">
        <v>2</v>
      </c>
      <c r="S35" s="104">
        <v>2</v>
      </c>
      <c r="T35" s="104">
        <v>2</v>
      </c>
      <c r="U35" s="104">
        <v>2</v>
      </c>
      <c r="V35" s="104">
        <v>2</v>
      </c>
      <c r="W35" s="104">
        <v>2</v>
      </c>
      <c r="X35" s="104">
        <v>2</v>
      </c>
      <c r="Y35" s="104">
        <v>2</v>
      </c>
      <c r="Z35" s="104">
        <v>2</v>
      </c>
      <c r="AA35" s="104">
        <v>2</v>
      </c>
      <c r="AB35" s="104">
        <v>2</v>
      </c>
      <c r="AC35" s="104">
        <v>2</v>
      </c>
      <c r="AD35" s="104">
        <v>0</v>
      </c>
      <c r="AE35" s="108"/>
      <c r="AF35" s="108"/>
      <c r="AG35" s="108"/>
      <c r="AH35" s="108"/>
      <c r="AI35" s="108"/>
      <c r="AJ35" s="108"/>
    </row>
    <row r="36" spans="1:37" s="109" customFormat="1">
      <c r="C36" s="109" t="s">
        <v>98</v>
      </c>
      <c r="D36" s="28" t="s">
        <v>96</v>
      </c>
      <c r="E36" s="28">
        <v>100</v>
      </c>
      <c r="F36" s="28">
        <v>500</v>
      </c>
      <c r="G36" s="109">
        <v>6</v>
      </c>
      <c r="H36" s="100">
        <v>6</v>
      </c>
      <c r="I36" s="109">
        <v>12.13</v>
      </c>
      <c r="J36" s="109">
        <v>12.35</v>
      </c>
      <c r="K36" s="112" t="b">
        <v>1</v>
      </c>
      <c r="L36" s="112" t="b">
        <v>0</v>
      </c>
      <c r="M36" s="109">
        <v>6</v>
      </c>
      <c r="N36" s="109">
        <v>12.5</v>
      </c>
      <c r="O36" s="109">
        <v>2</v>
      </c>
      <c r="P36" s="109">
        <v>2</v>
      </c>
      <c r="Q36" s="109">
        <v>1</v>
      </c>
      <c r="R36" s="109">
        <v>1</v>
      </c>
      <c r="S36" s="109">
        <v>1</v>
      </c>
      <c r="T36" s="109">
        <v>1</v>
      </c>
      <c r="U36" s="109">
        <v>1</v>
      </c>
      <c r="V36" s="109">
        <v>1</v>
      </c>
      <c r="W36" s="109">
        <v>1</v>
      </c>
      <c r="X36" s="109">
        <v>1</v>
      </c>
      <c r="Y36" s="109">
        <v>1</v>
      </c>
      <c r="Z36" s="109">
        <v>1</v>
      </c>
      <c r="AA36" s="109">
        <v>1</v>
      </c>
      <c r="AB36" s="109">
        <v>1</v>
      </c>
      <c r="AC36" s="109">
        <v>0</v>
      </c>
      <c r="AD36" s="113"/>
      <c r="AE36" s="113"/>
      <c r="AF36" s="113"/>
      <c r="AG36" s="113"/>
      <c r="AH36" s="113"/>
      <c r="AI36" s="113"/>
      <c r="AJ36" s="113"/>
    </row>
    <row r="37" spans="1:37">
      <c r="A37" s="104">
        <v>7</v>
      </c>
      <c r="B37" s="95">
        <v>45930</v>
      </c>
      <c r="C37" s="104" t="s">
        <v>100</v>
      </c>
      <c r="D37" s="104" t="s">
        <v>101</v>
      </c>
      <c r="E37" s="11">
        <v>100</v>
      </c>
      <c r="F37" s="11">
        <v>500</v>
      </c>
      <c r="G37" s="104">
        <v>1</v>
      </c>
      <c r="H37" s="106">
        <v>4</v>
      </c>
      <c r="I37" s="104">
        <v>10.15</v>
      </c>
      <c r="J37" s="104">
        <v>10.34</v>
      </c>
      <c r="K37" s="107" t="b">
        <v>1</v>
      </c>
      <c r="L37" s="107" t="b">
        <v>0</v>
      </c>
      <c r="M37" s="104">
        <v>4</v>
      </c>
      <c r="N37" s="104">
        <v>10.52</v>
      </c>
      <c r="O37" s="104">
        <v>1</v>
      </c>
      <c r="P37" s="104">
        <v>0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</row>
    <row r="38" spans="1:37">
      <c r="C38" s="104" t="s">
        <v>100</v>
      </c>
      <c r="D38" s="104" t="s">
        <v>101</v>
      </c>
      <c r="E38" s="104">
        <v>100</v>
      </c>
      <c r="F38" s="104">
        <v>500</v>
      </c>
      <c r="G38" s="104">
        <v>2</v>
      </c>
      <c r="H38" s="106">
        <v>3</v>
      </c>
      <c r="I38" s="104">
        <v>10.45</v>
      </c>
      <c r="J38" s="104">
        <v>10.58</v>
      </c>
      <c r="K38" s="107" t="b">
        <v>1</v>
      </c>
      <c r="L38" s="107" t="b">
        <v>0</v>
      </c>
      <c r="M38" s="104">
        <v>3</v>
      </c>
      <c r="N38" s="104">
        <v>11.14</v>
      </c>
      <c r="O38" s="104">
        <v>1</v>
      </c>
      <c r="P38" s="104">
        <v>1</v>
      </c>
      <c r="Q38" s="104">
        <v>1</v>
      </c>
      <c r="R38" s="104">
        <v>1</v>
      </c>
      <c r="S38" s="104">
        <v>1</v>
      </c>
      <c r="T38" s="104">
        <v>1</v>
      </c>
      <c r="U38" s="104">
        <v>1</v>
      </c>
      <c r="V38" s="104">
        <v>1</v>
      </c>
      <c r="W38" s="104">
        <v>1</v>
      </c>
      <c r="X38" s="104">
        <v>1</v>
      </c>
      <c r="Y38" s="104">
        <v>1</v>
      </c>
      <c r="Z38" s="104">
        <v>1</v>
      </c>
      <c r="AA38" s="104">
        <v>1</v>
      </c>
      <c r="AB38" s="104">
        <v>1</v>
      </c>
      <c r="AC38" s="104">
        <v>1</v>
      </c>
      <c r="AD38" s="104">
        <v>1</v>
      </c>
      <c r="AE38" s="104">
        <v>0</v>
      </c>
      <c r="AF38" s="108"/>
      <c r="AG38" s="108"/>
      <c r="AH38" s="108"/>
      <c r="AI38" s="108"/>
      <c r="AJ38" s="108"/>
    </row>
    <row r="39" spans="1:37">
      <c r="C39" s="104" t="s">
        <v>100</v>
      </c>
      <c r="D39" s="104" t="s">
        <v>101</v>
      </c>
      <c r="E39" s="104">
        <v>100</v>
      </c>
      <c r="F39" s="104">
        <v>500</v>
      </c>
      <c r="G39" s="104">
        <v>3</v>
      </c>
      <c r="H39" s="106">
        <v>3</v>
      </c>
      <c r="I39" s="104">
        <v>11</v>
      </c>
      <c r="J39" s="104">
        <v>11.12</v>
      </c>
      <c r="K39" s="107" t="b">
        <v>1</v>
      </c>
      <c r="L39" s="107" t="b">
        <v>0</v>
      </c>
      <c r="M39" s="104">
        <v>3</v>
      </c>
      <c r="N39" s="104">
        <v>11.28</v>
      </c>
      <c r="O39" s="104">
        <v>1</v>
      </c>
      <c r="P39" s="104">
        <v>1</v>
      </c>
      <c r="Q39" s="104">
        <v>1</v>
      </c>
      <c r="R39" s="104">
        <v>1</v>
      </c>
      <c r="S39" s="104">
        <v>1</v>
      </c>
      <c r="T39" s="104">
        <v>1</v>
      </c>
      <c r="U39" s="104">
        <v>1</v>
      </c>
      <c r="V39" s="104">
        <v>1</v>
      </c>
      <c r="W39" s="104">
        <v>1</v>
      </c>
      <c r="X39" s="104">
        <v>1</v>
      </c>
      <c r="Y39" s="104">
        <v>1</v>
      </c>
      <c r="Z39" s="104">
        <v>1</v>
      </c>
      <c r="AA39" s="104">
        <v>1</v>
      </c>
      <c r="AB39" s="104">
        <v>1</v>
      </c>
      <c r="AC39" s="104">
        <v>1</v>
      </c>
      <c r="AD39" s="104">
        <v>0</v>
      </c>
      <c r="AE39" s="108"/>
      <c r="AF39" s="108"/>
      <c r="AG39" s="108"/>
      <c r="AH39" s="108"/>
      <c r="AI39" s="108"/>
      <c r="AJ39" s="108"/>
    </row>
    <row r="40" spans="1:37">
      <c r="C40" s="104" t="s">
        <v>100</v>
      </c>
      <c r="D40" s="104" t="s">
        <v>101</v>
      </c>
      <c r="E40" s="104">
        <v>100</v>
      </c>
      <c r="F40" s="104">
        <v>500</v>
      </c>
      <c r="G40" s="104">
        <v>4</v>
      </c>
      <c r="H40" s="106">
        <v>2</v>
      </c>
      <c r="I40" s="104">
        <v>11.14</v>
      </c>
      <c r="J40" s="104">
        <v>11.23</v>
      </c>
      <c r="K40" s="107" t="b">
        <v>1</v>
      </c>
      <c r="L40" s="107" t="b">
        <v>0</v>
      </c>
      <c r="M40" s="104">
        <v>2</v>
      </c>
      <c r="N40" s="104">
        <v>11.39</v>
      </c>
      <c r="O40" s="104">
        <v>2</v>
      </c>
      <c r="P40" s="104">
        <v>2</v>
      </c>
      <c r="Q40" s="104">
        <v>2</v>
      </c>
      <c r="R40" s="104">
        <v>2</v>
      </c>
      <c r="S40" s="104">
        <v>2</v>
      </c>
      <c r="T40" s="104">
        <v>2</v>
      </c>
      <c r="U40" s="104">
        <v>2</v>
      </c>
      <c r="V40" s="104">
        <v>2</v>
      </c>
      <c r="W40" s="104">
        <v>2</v>
      </c>
      <c r="X40" s="104">
        <v>2</v>
      </c>
      <c r="Y40" s="104">
        <v>2</v>
      </c>
      <c r="Z40" s="104">
        <v>2</v>
      </c>
      <c r="AA40" s="104">
        <v>2</v>
      </c>
      <c r="AB40" s="104">
        <v>2</v>
      </c>
      <c r="AC40" s="104">
        <v>1</v>
      </c>
      <c r="AD40" s="104">
        <v>0</v>
      </c>
      <c r="AE40" s="108"/>
      <c r="AF40" s="108"/>
      <c r="AG40" s="108"/>
      <c r="AH40" s="108"/>
      <c r="AI40" s="108"/>
      <c r="AJ40" s="108"/>
    </row>
    <row r="41" spans="1:37">
      <c r="C41" s="104" t="s">
        <v>100</v>
      </c>
      <c r="D41" s="104" t="s">
        <v>101</v>
      </c>
      <c r="E41" s="104">
        <v>100</v>
      </c>
      <c r="F41" s="104">
        <v>500</v>
      </c>
      <c r="G41" s="104">
        <v>5</v>
      </c>
      <c r="H41" s="106">
        <v>3</v>
      </c>
      <c r="I41" s="104">
        <v>11.32</v>
      </c>
      <c r="J41" s="104">
        <v>11.45</v>
      </c>
      <c r="K41" s="107" t="b">
        <v>1</v>
      </c>
      <c r="L41" s="107" t="b">
        <v>0</v>
      </c>
      <c r="M41" s="104">
        <v>3</v>
      </c>
      <c r="N41" s="104">
        <v>12.02</v>
      </c>
      <c r="O41" s="104">
        <v>2</v>
      </c>
      <c r="P41" s="104">
        <v>2</v>
      </c>
      <c r="Q41" s="104">
        <v>2</v>
      </c>
      <c r="R41" s="104">
        <v>2</v>
      </c>
      <c r="S41" s="104">
        <v>2</v>
      </c>
      <c r="T41" s="104">
        <v>2</v>
      </c>
      <c r="U41" s="104">
        <v>1</v>
      </c>
      <c r="V41" s="104">
        <v>1</v>
      </c>
      <c r="W41" s="104">
        <v>1</v>
      </c>
      <c r="X41" s="104">
        <v>1</v>
      </c>
      <c r="Y41" s="104">
        <v>1</v>
      </c>
      <c r="Z41" s="104">
        <v>1</v>
      </c>
      <c r="AA41" s="104">
        <v>1</v>
      </c>
      <c r="AB41" s="104">
        <v>1</v>
      </c>
      <c r="AC41" s="104">
        <v>1</v>
      </c>
      <c r="AD41" s="104">
        <v>0</v>
      </c>
      <c r="AE41" s="108"/>
      <c r="AF41" s="108"/>
      <c r="AG41" s="108"/>
      <c r="AH41" s="108"/>
      <c r="AI41" s="108"/>
      <c r="AJ41" s="108"/>
    </row>
    <row r="42" spans="1:37">
      <c r="C42" s="104" t="s">
        <v>100</v>
      </c>
      <c r="D42" s="104" t="s">
        <v>101</v>
      </c>
      <c r="E42" s="104">
        <v>100</v>
      </c>
      <c r="F42" s="104">
        <v>500</v>
      </c>
      <c r="G42" s="104">
        <v>6</v>
      </c>
      <c r="H42" s="106">
        <v>3</v>
      </c>
      <c r="I42" s="104">
        <v>11.46</v>
      </c>
      <c r="J42" s="104">
        <v>11.59</v>
      </c>
      <c r="K42" s="107" t="b">
        <v>1</v>
      </c>
      <c r="L42" s="107" t="b">
        <v>0</v>
      </c>
      <c r="M42" s="104">
        <v>3</v>
      </c>
      <c r="N42" s="104">
        <v>12.15</v>
      </c>
      <c r="O42" s="104">
        <v>1</v>
      </c>
      <c r="P42" s="104">
        <v>1</v>
      </c>
      <c r="Q42" s="104">
        <v>1</v>
      </c>
      <c r="R42" s="104">
        <v>1</v>
      </c>
      <c r="S42" s="104">
        <v>1</v>
      </c>
      <c r="T42" s="104">
        <v>1</v>
      </c>
      <c r="U42" s="104">
        <v>1</v>
      </c>
      <c r="V42" s="104">
        <v>1</v>
      </c>
      <c r="W42" s="104">
        <v>1</v>
      </c>
      <c r="X42" s="104">
        <v>1</v>
      </c>
      <c r="Y42" s="104">
        <v>1</v>
      </c>
      <c r="Z42" s="104">
        <v>1</v>
      </c>
      <c r="AA42" s="104">
        <v>1</v>
      </c>
      <c r="AB42" s="104">
        <v>1</v>
      </c>
      <c r="AC42" s="104">
        <v>1</v>
      </c>
      <c r="AD42" s="104">
        <v>1</v>
      </c>
      <c r="AE42" s="104">
        <v>1</v>
      </c>
      <c r="AF42" s="104">
        <v>1</v>
      </c>
      <c r="AG42" s="104">
        <v>0</v>
      </c>
      <c r="AH42" s="108"/>
      <c r="AI42" s="108"/>
      <c r="AJ42" s="108"/>
    </row>
    <row r="43" spans="1:37">
      <c r="C43" s="104" t="s">
        <v>100</v>
      </c>
      <c r="D43" s="104" t="s">
        <v>101</v>
      </c>
      <c r="E43" s="104">
        <v>100</v>
      </c>
      <c r="F43" s="104">
        <v>500</v>
      </c>
      <c r="G43" s="104">
        <v>7</v>
      </c>
      <c r="H43" s="106">
        <v>4</v>
      </c>
      <c r="I43" s="104">
        <v>12.09</v>
      </c>
      <c r="J43" s="104">
        <v>12.2</v>
      </c>
      <c r="K43" s="107" t="b">
        <v>1</v>
      </c>
      <c r="L43" s="107" t="b">
        <v>0</v>
      </c>
      <c r="M43" s="104">
        <v>4</v>
      </c>
      <c r="N43" s="104">
        <v>12.37</v>
      </c>
      <c r="O43" s="104">
        <v>3</v>
      </c>
      <c r="P43" s="104">
        <v>3</v>
      </c>
      <c r="Q43" s="104">
        <v>3</v>
      </c>
      <c r="R43" s="104">
        <v>3</v>
      </c>
      <c r="S43" s="104">
        <v>3</v>
      </c>
      <c r="T43" s="104">
        <v>3</v>
      </c>
      <c r="U43" s="104">
        <v>3</v>
      </c>
      <c r="V43" s="104">
        <v>3</v>
      </c>
      <c r="W43" s="104">
        <v>3</v>
      </c>
      <c r="X43" s="104">
        <v>3</v>
      </c>
      <c r="Y43" s="104">
        <v>1</v>
      </c>
      <c r="Z43" s="104">
        <v>1</v>
      </c>
      <c r="AA43" s="104">
        <v>1</v>
      </c>
      <c r="AB43" s="104">
        <v>0</v>
      </c>
      <c r="AC43" s="108"/>
      <c r="AD43" s="108"/>
      <c r="AE43" s="108"/>
      <c r="AF43" s="108"/>
      <c r="AG43" s="108"/>
      <c r="AH43" s="108"/>
      <c r="AI43" s="108"/>
      <c r="AJ43" s="108"/>
    </row>
    <row r="44" spans="1:37">
      <c r="C44" s="104" t="s">
        <v>100</v>
      </c>
      <c r="D44" s="104" t="s">
        <v>101</v>
      </c>
      <c r="E44" s="104">
        <v>100</v>
      </c>
      <c r="F44" s="104">
        <v>500</v>
      </c>
      <c r="G44" s="154" t="s">
        <v>102</v>
      </c>
      <c r="H44" s="155">
        <v>4</v>
      </c>
      <c r="I44" s="154" t="s">
        <v>61</v>
      </c>
      <c r="J44" s="154" t="s">
        <v>61</v>
      </c>
      <c r="K44" s="163" t="b">
        <v>1</v>
      </c>
      <c r="L44" s="163" t="b">
        <v>0</v>
      </c>
      <c r="M44" s="154">
        <v>4</v>
      </c>
      <c r="N44" s="154" t="s">
        <v>61</v>
      </c>
      <c r="O44" s="154">
        <v>1</v>
      </c>
      <c r="P44" s="154">
        <v>1</v>
      </c>
      <c r="Q44" s="154">
        <v>1</v>
      </c>
      <c r="R44" s="154">
        <v>1</v>
      </c>
      <c r="S44" s="154">
        <v>1</v>
      </c>
      <c r="T44" s="154">
        <v>1</v>
      </c>
      <c r="U44" s="154">
        <v>1</v>
      </c>
      <c r="V44" s="154">
        <v>1</v>
      </c>
      <c r="W44" s="154">
        <v>1</v>
      </c>
      <c r="X44" s="154">
        <v>1</v>
      </c>
      <c r="Y44" s="154">
        <v>1</v>
      </c>
      <c r="Z44" s="154">
        <v>1</v>
      </c>
      <c r="AA44" s="154">
        <v>1</v>
      </c>
      <c r="AB44" s="154">
        <v>1</v>
      </c>
      <c r="AC44" s="154">
        <v>1</v>
      </c>
      <c r="AD44" s="154">
        <v>1</v>
      </c>
      <c r="AE44" s="154">
        <v>1</v>
      </c>
      <c r="AF44" s="154">
        <v>1</v>
      </c>
      <c r="AG44" s="154">
        <v>1</v>
      </c>
      <c r="AH44" s="154">
        <v>1</v>
      </c>
      <c r="AI44" s="154">
        <v>0</v>
      </c>
      <c r="AJ44" s="156"/>
    </row>
    <row r="45" spans="1:37">
      <c r="C45" s="104" t="s">
        <v>100</v>
      </c>
      <c r="D45" s="104" t="s">
        <v>101</v>
      </c>
      <c r="E45" s="104">
        <v>100</v>
      </c>
      <c r="F45" s="104">
        <v>500</v>
      </c>
      <c r="G45" s="154" t="s">
        <v>103</v>
      </c>
      <c r="H45" s="155">
        <v>5</v>
      </c>
      <c r="I45" s="154" t="s">
        <v>61</v>
      </c>
      <c r="J45" s="154" t="s">
        <v>61</v>
      </c>
      <c r="K45" s="163" t="b">
        <v>1</v>
      </c>
      <c r="L45" s="163" t="b">
        <v>0</v>
      </c>
      <c r="M45" s="154">
        <v>5</v>
      </c>
      <c r="N45" s="154">
        <v>10.51</v>
      </c>
      <c r="O45" s="154">
        <v>5</v>
      </c>
      <c r="P45" s="154">
        <v>5</v>
      </c>
      <c r="Q45" s="154">
        <v>5</v>
      </c>
      <c r="R45" s="154">
        <v>5</v>
      </c>
      <c r="S45" s="154">
        <v>5</v>
      </c>
      <c r="T45" s="154">
        <v>5</v>
      </c>
      <c r="U45" s="154">
        <v>5</v>
      </c>
      <c r="V45" s="154">
        <v>5</v>
      </c>
      <c r="W45" s="154">
        <v>5</v>
      </c>
      <c r="X45" s="154">
        <v>5</v>
      </c>
      <c r="Y45" s="154">
        <v>5</v>
      </c>
      <c r="Z45" s="154">
        <v>5</v>
      </c>
      <c r="AA45" s="154">
        <v>5</v>
      </c>
      <c r="AB45" s="154">
        <v>5</v>
      </c>
      <c r="AC45" s="154">
        <v>3</v>
      </c>
      <c r="AD45" s="154">
        <v>1</v>
      </c>
      <c r="AE45" s="154">
        <v>1</v>
      </c>
      <c r="AF45" s="154">
        <v>1</v>
      </c>
      <c r="AG45" s="154">
        <v>1</v>
      </c>
      <c r="AH45" s="154">
        <v>0</v>
      </c>
      <c r="AI45" s="156"/>
      <c r="AJ45" s="156"/>
    </row>
    <row r="46" spans="1:37">
      <c r="C46" s="104" t="s">
        <v>100</v>
      </c>
      <c r="D46" s="104" t="s">
        <v>101</v>
      </c>
      <c r="E46" s="104">
        <v>100</v>
      </c>
      <c r="F46" s="104">
        <v>500</v>
      </c>
      <c r="G46" s="154" t="s">
        <v>104</v>
      </c>
      <c r="H46" s="155">
        <v>4</v>
      </c>
      <c r="I46" s="154" t="s">
        <v>61</v>
      </c>
      <c r="J46" s="154" t="s">
        <v>61</v>
      </c>
      <c r="K46" s="163" t="b">
        <v>1</v>
      </c>
      <c r="L46" s="163" t="b">
        <v>0</v>
      </c>
      <c r="M46" s="154">
        <v>4</v>
      </c>
      <c r="N46" s="154">
        <v>11.1</v>
      </c>
      <c r="O46" s="154">
        <v>0</v>
      </c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56"/>
      <c r="AG46" s="156"/>
      <c r="AH46" s="156"/>
      <c r="AI46" s="156"/>
      <c r="AJ46" s="156"/>
    </row>
    <row r="47" spans="1:37">
      <c r="C47" s="104" t="s">
        <v>100</v>
      </c>
      <c r="D47" s="104" t="s">
        <v>101</v>
      </c>
      <c r="E47" s="104">
        <v>100</v>
      </c>
      <c r="F47" s="104">
        <v>500</v>
      </c>
      <c r="G47" s="154" t="s">
        <v>105</v>
      </c>
      <c r="H47" s="155">
        <v>4</v>
      </c>
      <c r="I47" s="154" t="s">
        <v>61</v>
      </c>
      <c r="J47" s="154" t="s">
        <v>61</v>
      </c>
      <c r="K47" s="163" t="b">
        <v>1</v>
      </c>
      <c r="L47" s="163" t="b">
        <v>0</v>
      </c>
      <c r="M47" s="154">
        <v>4</v>
      </c>
      <c r="N47" s="154">
        <v>11.4</v>
      </c>
      <c r="O47" s="154">
        <v>0</v>
      </c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  <c r="AA47" s="156"/>
      <c r="AB47" s="156"/>
      <c r="AC47" s="156"/>
      <c r="AD47" s="156"/>
      <c r="AE47" s="156"/>
      <c r="AF47" s="156"/>
      <c r="AG47" s="156"/>
      <c r="AH47" s="156"/>
      <c r="AI47" s="156"/>
      <c r="AJ47" s="156"/>
    </row>
    <row r="48" spans="1:37">
      <c r="C48" s="104" t="s">
        <v>100</v>
      </c>
      <c r="D48" s="104" t="s">
        <v>101</v>
      </c>
      <c r="E48" s="104">
        <v>100</v>
      </c>
      <c r="F48" s="104">
        <v>500</v>
      </c>
      <c r="G48" s="154" t="s">
        <v>106</v>
      </c>
      <c r="H48" s="155">
        <v>4</v>
      </c>
      <c r="I48" s="154" t="s">
        <v>61</v>
      </c>
      <c r="J48" s="154" t="s">
        <v>61</v>
      </c>
      <c r="K48" s="163" t="b">
        <v>1</v>
      </c>
      <c r="L48" s="163" t="b">
        <v>0</v>
      </c>
      <c r="M48" s="154">
        <v>4</v>
      </c>
      <c r="N48" s="154">
        <v>12.01</v>
      </c>
      <c r="O48" s="154">
        <v>0</v>
      </c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56"/>
      <c r="AD48" s="156"/>
      <c r="AE48" s="156"/>
      <c r="AF48" s="156"/>
      <c r="AG48" s="156"/>
      <c r="AH48" s="156"/>
      <c r="AI48" s="156"/>
      <c r="AJ48" s="156"/>
    </row>
    <row r="49" spans="1:37">
      <c r="C49" s="104" t="s">
        <v>100</v>
      </c>
      <c r="D49" s="104" t="s">
        <v>101</v>
      </c>
      <c r="E49" s="104">
        <v>100</v>
      </c>
      <c r="F49" s="104">
        <v>500</v>
      </c>
      <c r="G49" s="154" t="s">
        <v>107</v>
      </c>
      <c r="H49" s="155">
        <v>5</v>
      </c>
      <c r="I49" s="154" t="s">
        <v>61</v>
      </c>
      <c r="J49" s="154" t="s">
        <v>61</v>
      </c>
      <c r="K49" s="163" t="b">
        <v>1</v>
      </c>
      <c r="L49" s="163" t="b">
        <v>0</v>
      </c>
      <c r="M49" s="154">
        <v>5</v>
      </c>
      <c r="N49" s="154">
        <v>12.2</v>
      </c>
      <c r="O49" s="154">
        <v>2</v>
      </c>
      <c r="P49" s="154">
        <v>2</v>
      </c>
      <c r="Q49" s="154">
        <v>2</v>
      </c>
      <c r="R49" s="154">
        <v>2</v>
      </c>
      <c r="S49" s="154">
        <v>2</v>
      </c>
      <c r="T49" s="154">
        <v>2</v>
      </c>
      <c r="U49" s="154">
        <v>2</v>
      </c>
      <c r="V49" s="154">
        <v>2</v>
      </c>
      <c r="W49" s="154">
        <v>2</v>
      </c>
      <c r="X49" s="154">
        <v>2</v>
      </c>
      <c r="Y49" s="154">
        <v>2</v>
      </c>
      <c r="Z49" s="154">
        <v>2</v>
      </c>
      <c r="AA49" s="154">
        <v>2</v>
      </c>
      <c r="AB49" s="154">
        <v>0</v>
      </c>
      <c r="AC49" s="156"/>
      <c r="AD49" s="156"/>
      <c r="AE49" s="156"/>
      <c r="AF49" s="156"/>
      <c r="AG49" s="156"/>
      <c r="AH49" s="156"/>
      <c r="AI49" s="156"/>
      <c r="AJ49" s="156"/>
    </row>
    <row r="50" spans="1:37">
      <c r="C50" s="104" t="s">
        <v>100</v>
      </c>
      <c r="D50" s="104" t="s">
        <v>101</v>
      </c>
      <c r="E50" s="104">
        <v>100</v>
      </c>
      <c r="F50" s="104">
        <v>500</v>
      </c>
      <c r="G50" s="154" t="s">
        <v>108</v>
      </c>
      <c r="H50" s="155">
        <v>3</v>
      </c>
      <c r="I50" s="154" t="s">
        <v>61</v>
      </c>
      <c r="J50" s="154" t="s">
        <v>61</v>
      </c>
      <c r="K50" s="163" t="b">
        <v>1</v>
      </c>
      <c r="L50" s="163" t="b">
        <v>0</v>
      </c>
      <c r="M50" s="154">
        <v>3</v>
      </c>
      <c r="N50" s="154">
        <v>12.34</v>
      </c>
      <c r="O50" s="154">
        <v>0</v>
      </c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6"/>
      <c r="AH50" s="156"/>
      <c r="AI50" s="156"/>
      <c r="AJ50" s="156"/>
    </row>
    <row r="51" spans="1:37" s="157" customFormat="1">
      <c r="A51" s="157">
        <v>8</v>
      </c>
      <c r="B51" s="159">
        <v>45932</v>
      </c>
      <c r="C51" s="157" t="s">
        <v>109</v>
      </c>
      <c r="D51" s="160" t="s">
        <v>110</v>
      </c>
      <c r="E51" s="157">
        <v>100</v>
      </c>
      <c r="F51" s="157">
        <v>500</v>
      </c>
      <c r="G51" s="157">
        <v>1</v>
      </c>
      <c r="H51" s="158">
        <v>4</v>
      </c>
      <c r="I51" s="157">
        <v>10.01</v>
      </c>
      <c r="J51" s="157">
        <v>10.19</v>
      </c>
      <c r="K51" s="164" t="b">
        <v>1</v>
      </c>
      <c r="L51" s="164" t="b">
        <v>0</v>
      </c>
      <c r="M51" s="157">
        <v>4</v>
      </c>
      <c r="N51" s="157">
        <v>10.39</v>
      </c>
      <c r="O51" s="157">
        <v>1</v>
      </c>
      <c r="P51" s="157">
        <v>1</v>
      </c>
      <c r="Q51" s="157">
        <v>1</v>
      </c>
      <c r="R51" s="157">
        <v>1</v>
      </c>
      <c r="S51" s="157">
        <v>1</v>
      </c>
      <c r="T51" s="157">
        <v>1</v>
      </c>
      <c r="U51" s="157">
        <v>1</v>
      </c>
      <c r="V51" s="157">
        <v>1</v>
      </c>
      <c r="W51" s="157">
        <v>1</v>
      </c>
      <c r="X51" s="157">
        <v>1</v>
      </c>
      <c r="Y51" s="157">
        <v>1</v>
      </c>
      <c r="Z51" s="157">
        <v>1</v>
      </c>
      <c r="AA51" s="157">
        <v>1</v>
      </c>
      <c r="AB51" s="157">
        <v>1</v>
      </c>
      <c r="AC51" s="157">
        <v>1</v>
      </c>
      <c r="AD51" s="157">
        <v>1</v>
      </c>
      <c r="AE51" s="157">
        <v>0</v>
      </c>
      <c r="AF51" s="165"/>
      <c r="AG51" s="165"/>
      <c r="AH51" s="165"/>
      <c r="AI51" s="165"/>
      <c r="AJ51" s="165"/>
    </row>
    <row r="52" spans="1:37">
      <c r="C52" s="104" t="s">
        <v>109</v>
      </c>
      <c r="D52" s="104" t="s">
        <v>110</v>
      </c>
      <c r="E52" s="104">
        <v>100</v>
      </c>
      <c r="F52" s="104">
        <v>500</v>
      </c>
      <c r="G52" s="104">
        <v>2</v>
      </c>
      <c r="H52" s="106">
        <v>4</v>
      </c>
      <c r="I52" s="104">
        <v>10.24</v>
      </c>
      <c r="J52" s="104">
        <v>10.35</v>
      </c>
      <c r="K52" s="107" t="b">
        <v>1</v>
      </c>
      <c r="L52" s="107" t="b">
        <v>0</v>
      </c>
      <c r="M52" s="104">
        <v>4</v>
      </c>
      <c r="N52" s="104">
        <v>10.53</v>
      </c>
      <c r="O52" s="104">
        <v>2</v>
      </c>
      <c r="P52" s="104">
        <v>2</v>
      </c>
      <c r="Q52" s="104">
        <v>2</v>
      </c>
      <c r="R52" s="104">
        <v>2</v>
      </c>
      <c r="S52" s="104">
        <v>2</v>
      </c>
      <c r="T52" s="104">
        <v>2</v>
      </c>
      <c r="U52" s="104">
        <v>2</v>
      </c>
      <c r="V52" s="104">
        <v>2</v>
      </c>
      <c r="W52" s="104">
        <v>2</v>
      </c>
      <c r="X52" s="104">
        <v>2</v>
      </c>
      <c r="Y52" s="104">
        <v>2</v>
      </c>
      <c r="Z52" s="104">
        <v>2</v>
      </c>
      <c r="AA52" s="104">
        <v>2</v>
      </c>
      <c r="AB52" s="104">
        <v>2</v>
      </c>
      <c r="AC52" s="104">
        <v>2</v>
      </c>
      <c r="AD52" s="104">
        <v>1</v>
      </c>
      <c r="AE52" s="104">
        <v>1</v>
      </c>
      <c r="AF52" s="104">
        <v>1</v>
      </c>
      <c r="AG52" s="104">
        <v>1</v>
      </c>
      <c r="AH52" s="104">
        <v>0</v>
      </c>
      <c r="AI52" s="108"/>
      <c r="AJ52" s="108"/>
    </row>
    <row r="53" spans="1:37">
      <c r="C53" s="104" t="s">
        <v>109</v>
      </c>
      <c r="D53" s="104" t="s">
        <v>110</v>
      </c>
      <c r="E53" s="104">
        <v>100</v>
      </c>
      <c r="F53" s="104">
        <v>500</v>
      </c>
      <c r="G53" s="104">
        <v>3</v>
      </c>
      <c r="H53" s="106">
        <v>4</v>
      </c>
      <c r="I53" s="104">
        <v>10.41</v>
      </c>
      <c r="J53" s="104">
        <v>10.57</v>
      </c>
      <c r="K53" s="107" t="b">
        <v>1</v>
      </c>
      <c r="L53" s="107" t="b">
        <v>0</v>
      </c>
      <c r="M53" s="104">
        <v>4</v>
      </c>
      <c r="N53" s="104">
        <v>11.14</v>
      </c>
      <c r="O53" s="104">
        <v>4</v>
      </c>
      <c r="P53" s="104">
        <v>4</v>
      </c>
      <c r="Q53" s="104">
        <v>4</v>
      </c>
      <c r="R53" s="104">
        <v>4</v>
      </c>
      <c r="S53" s="104">
        <v>4</v>
      </c>
      <c r="T53" s="104">
        <v>4</v>
      </c>
      <c r="U53" s="104">
        <v>4</v>
      </c>
      <c r="V53" s="104">
        <v>4</v>
      </c>
      <c r="W53" s="104">
        <v>4</v>
      </c>
      <c r="X53" s="104">
        <v>4</v>
      </c>
      <c r="Y53" s="104">
        <v>4</v>
      </c>
      <c r="Z53" s="104">
        <v>4</v>
      </c>
      <c r="AA53" s="104">
        <v>4</v>
      </c>
      <c r="AB53" s="104">
        <v>3</v>
      </c>
      <c r="AC53" s="104">
        <v>3</v>
      </c>
      <c r="AD53" s="104">
        <v>3</v>
      </c>
      <c r="AE53" s="104">
        <v>2</v>
      </c>
      <c r="AF53" s="104">
        <v>2</v>
      </c>
      <c r="AG53" s="104">
        <v>2</v>
      </c>
      <c r="AH53" s="104">
        <v>0</v>
      </c>
      <c r="AI53" s="108"/>
      <c r="AJ53" s="108"/>
    </row>
    <row r="54" spans="1:37">
      <c r="C54" s="104" t="s">
        <v>109</v>
      </c>
      <c r="D54" s="104" t="s">
        <v>110</v>
      </c>
      <c r="E54" s="104">
        <v>100</v>
      </c>
      <c r="F54" s="104">
        <v>500</v>
      </c>
      <c r="G54" s="104">
        <v>4</v>
      </c>
      <c r="H54" s="106">
        <v>1</v>
      </c>
      <c r="I54" s="104">
        <v>11</v>
      </c>
      <c r="J54" s="104">
        <v>11.16</v>
      </c>
      <c r="K54" s="107" t="b">
        <v>1</v>
      </c>
      <c r="L54" s="107" t="b">
        <v>0</v>
      </c>
      <c r="M54" s="104">
        <v>1</v>
      </c>
      <c r="N54" s="104">
        <v>11.3</v>
      </c>
      <c r="O54" s="104">
        <v>1</v>
      </c>
      <c r="P54" s="104">
        <v>1</v>
      </c>
      <c r="Q54" s="104">
        <v>1</v>
      </c>
      <c r="R54" s="104">
        <v>1</v>
      </c>
      <c r="S54" s="104">
        <v>1</v>
      </c>
      <c r="T54" s="104">
        <v>1</v>
      </c>
      <c r="U54" s="104">
        <v>1</v>
      </c>
      <c r="V54" s="104">
        <v>1</v>
      </c>
      <c r="W54" s="104">
        <v>1</v>
      </c>
      <c r="X54" s="104">
        <v>1</v>
      </c>
      <c r="Y54" s="104">
        <v>1</v>
      </c>
      <c r="Z54" s="104">
        <v>1</v>
      </c>
      <c r="AA54" s="104">
        <v>1</v>
      </c>
      <c r="AB54" s="104">
        <v>1</v>
      </c>
      <c r="AC54" s="104">
        <v>1</v>
      </c>
      <c r="AD54" s="104">
        <v>1</v>
      </c>
      <c r="AE54" s="104">
        <v>1</v>
      </c>
      <c r="AF54" s="104">
        <v>1</v>
      </c>
      <c r="AG54" s="104">
        <v>0</v>
      </c>
      <c r="AH54" s="108"/>
      <c r="AI54" s="108"/>
      <c r="AJ54" s="108"/>
    </row>
    <row r="55" spans="1:37">
      <c r="C55" s="104" t="s">
        <v>109</v>
      </c>
      <c r="D55" s="104" t="s">
        <v>110</v>
      </c>
      <c r="E55" s="104">
        <v>100</v>
      </c>
      <c r="F55" s="104">
        <v>500</v>
      </c>
      <c r="G55" s="104">
        <v>5</v>
      </c>
      <c r="H55" s="106">
        <v>4</v>
      </c>
      <c r="I55" s="104">
        <v>11.17</v>
      </c>
      <c r="J55" s="104">
        <v>11.33</v>
      </c>
      <c r="K55" s="107" t="b">
        <v>1</v>
      </c>
      <c r="L55" s="107" t="b">
        <v>0</v>
      </c>
      <c r="M55" s="104">
        <v>4</v>
      </c>
      <c r="N55" s="104">
        <v>11.49</v>
      </c>
      <c r="O55" s="104">
        <v>3</v>
      </c>
      <c r="P55" s="104">
        <v>3</v>
      </c>
      <c r="Q55" s="104">
        <v>3</v>
      </c>
      <c r="R55" s="104">
        <v>3</v>
      </c>
      <c r="S55" s="104">
        <v>3</v>
      </c>
      <c r="T55" s="104">
        <v>1</v>
      </c>
      <c r="U55" s="104">
        <v>1</v>
      </c>
      <c r="V55" s="104">
        <v>1</v>
      </c>
      <c r="W55" s="104">
        <v>1</v>
      </c>
      <c r="X55" s="104">
        <v>0</v>
      </c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</row>
    <row r="56" spans="1:37">
      <c r="C56" s="104" t="s">
        <v>109</v>
      </c>
      <c r="D56" s="104" t="s">
        <v>110</v>
      </c>
      <c r="E56" s="104">
        <v>100</v>
      </c>
      <c r="F56" s="104">
        <v>500</v>
      </c>
      <c r="G56" s="104">
        <v>6</v>
      </c>
      <c r="H56" s="106">
        <v>2</v>
      </c>
      <c r="I56" s="104">
        <v>11.36</v>
      </c>
      <c r="J56" s="104">
        <v>11.48</v>
      </c>
      <c r="K56" s="107" t="b">
        <v>1</v>
      </c>
      <c r="L56" s="107" t="b">
        <v>0</v>
      </c>
      <c r="M56" s="104">
        <v>2</v>
      </c>
      <c r="N56" s="104">
        <v>12.08</v>
      </c>
      <c r="O56" s="104">
        <v>2</v>
      </c>
      <c r="P56" s="104">
        <v>0</v>
      </c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</row>
    <row r="57" spans="1:37">
      <c r="C57" s="104" t="s">
        <v>109</v>
      </c>
      <c r="D57" s="104" t="s">
        <v>110</v>
      </c>
      <c r="E57" s="104">
        <v>100</v>
      </c>
      <c r="F57" s="104">
        <v>500</v>
      </c>
      <c r="G57" s="104">
        <v>7</v>
      </c>
      <c r="H57" s="106">
        <v>4</v>
      </c>
      <c r="I57" s="104">
        <v>11.5</v>
      </c>
      <c r="J57" s="104">
        <v>12.04</v>
      </c>
      <c r="K57" s="107" t="b">
        <v>1</v>
      </c>
      <c r="L57" s="107" t="b">
        <v>0</v>
      </c>
      <c r="M57" s="104">
        <v>4</v>
      </c>
      <c r="N57" s="104">
        <v>12.2</v>
      </c>
      <c r="O57" s="104">
        <v>3</v>
      </c>
      <c r="P57" s="104">
        <v>3</v>
      </c>
      <c r="Q57" s="104">
        <v>3</v>
      </c>
      <c r="R57" s="104">
        <v>3</v>
      </c>
      <c r="S57" s="104">
        <v>3</v>
      </c>
      <c r="T57" s="104">
        <v>3</v>
      </c>
      <c r="U57" s="104">
        <v>3</v>
      </c>
      <c r="V57" s="104">
        <v>3</v>
      </c>
      <c r="W57" s="104">
        <v>1</v>
      </c>
      <c r="X57" s="104">
        <v>1</v>
      </c>
      <c r="Y57" s="104">
        <v>1</v>
      </c>
      <c r="Z57" s="104">
        <v>1</v>
      </c>
      <c r="AA57" s="104">
        <v>1</v>
      </c>
      <c r="AB57" s="104">
        <v>0</v>
      </c>
      <c r="AC57" s="108"/>
      <c r="AD57" s="108"/>
      <c r="AE57" s="108"/>
      <c r="AF57" s="108"/>
      <c r="AG57" s="108"/>
      <c r="AH57" s="108"/>
      <c r="AI57" s="108"/>
      <c r="AJ57" s="108"/>
    </row>
    <row r="58" spans="1:37" s="157" customFormat="1">
      <c r="A58" s="157">
        <v>9</v>
      </c>
      <c r="B58" s="166">
        <v>45933</v>
      </c>
      <c r="C58" s="183" t="s">
        <v>111</v>
      </c>
      <c r="D58" s="160" t="s">
        <v>112</v>
      </c>
      <c r="E58" s="157">
        <v>100</v>
      </c>
      <c r="F58" s="157">
        <v>500</v>
      </c>
      <c r="G58" s="157">
        <v>1</v>
      </c>
      <c r="H58" s="158">
        <v>3</v>
      </c>
      <c r="I58" s="157">
        <v>10.09</v>
      </c>
      <c r="J58" s="157">
        <v>10.25</v>
      </c>
      <c r="K58" s="164" t="b">
        <v>1</v>
      </c>
      <c r="L58" s="164" t="b">
        <v>0</v>
      </c>
      <c r="M58" s="157">
        <v>3</v>
      </c>
      <c r="N58" s="157">
        <v>10.45</v>
      </c>
      <c r="O58" s="157">
        <v>1</v>
      </c>
      <c r="P58" s="157">
        <v>1</v>
      </c>
      <c r="Q58" s="157">
        <v>1</v>
      </c>
      <c r="R58" s="157">
        <v>1</v>
      </c>
      <c r="S58" s="157">
        <v>1</v>
      </c>
      <c r="T58" s="157">
        <v>1</v>
      </c>
      <c r="U58" s="157">
        <v>1</v>
      </c>
      <c r="V58" s="157">
        <v>1</v>
      </c>
      <c r="W58" s="157">
        <v>1</v>
      </c>
      <c r="X58" s="157">
        <v>1</v>
      </c>
      <c r="Y58" s="157">
        <v>1</v>
      </c>
      <c r="Z58" s="157">
        <v>1</v>
      </c>
      <c r="AA58" s="157">
        <v>1</v>
      </c>
      <c r="AB58" s="157">
        <v>1</v>
      </c>
      <c r="AC58" s="157">
        <v>1</v>
      </c>
      <c r="AD58" s="157">
        <v>0</v>
      </c>
      <c r="AE58" s="165"/>
      <c r="AF58" s="165"/>
      <c r="AG58" s="165"/>
      <c r="AH58" s="165"/>
      <c r="AI58" s="165"/>
      <c r="AJ58" s="165"/>
    </row>
    <row r="59" spans="1:37">
      <c r="C59" s="175" t="s">
        <v>113</v>
      </c>
      <c r="D59" s="104" t="s">
        <v>112</v>
      </c>
      <c r="E59" s="104">
        <v>100</v>
      </c>
      <c r="F59" s="104">
        <v>500</v>
      </c>
      <c r="G59" s="104">
        <v>2</v>
      </c>
      <c r="H59" s="106">
        <v>4</v>
      </c>
      <c r="I59" s="104">
        <v>10.27</v>
      </c>
      <c r="J59" s="104">
        <v>10.41</v>
      </c>
      <c r="K59" s="107" t="b">
        <v>1</v>
      </c>
      <c r="L59" s="107" t="b">
        <v>0</v>
      </c>
      <c r="M59" s="104">
        <v>4</v>
      </c>
      <c r="N59" s="104">
        <v>10.57</v>
      </c>
      <c r="O59" s="104">
        <v>1</v>
      </c>
      <c r="P59" s="104">
        <v>1</v>
      </c>
      <c r="Q59" s="104">
        <v>1</v>
      </c>
      <c r="R59" s="104">
        <v>1</v>
      </c>
      <c r="S59" s="104">
        <v>1</v>
      </c>
      <c r="T59" s="104">
        <v>1</v>
      </c>
      <c r="U59" s="104">
        <v>1</v>
      </c>
      <c r="V59" s="104">
        <v>1</v>
      </c>
      <c r="W59" s="104">
        <v>1</v>
      </c>
      <c r="X59" s="104">
        <v>1</v>
      </c>
      <c r="Y59" s="104">
        <v>1</v>
      </c>
      <c r="Z59" s="104">
        <v>1</v>
      </c>
      <c r="AA59" s="104">
        <v>1</v>
      </c>
      <c r="AB59" s="104">
        <v>1</v>
      </c>
      <c r="AC59" s="104">
        <v>1</v>
      </c>
      <c r="AD59" s="104">
        <v>1</v>
      </c>
      <c r="AE59" s="104">
        <v>1</v>
      </c>
      <c r="AF59" s="104">
        <v>0</v>
      </c>
      <c r="AG59" s="108"/>
      <c r="AH59" s="108"/>
      <c r="AI59" s="108"/>
      <c r="AJ59" s="108"/>
    </row>
    <row r="60" spans="1:37">
      <c r="C60" s="175" t="s">
        <v>114</v>
      </c>
      <c r="D60" s="104" t="s">
        <v>112</v>
      </c>
      <c r="E60" s="104">
        <v>100</v>
      </c>
      <c r="F60" s="104">
        <v>500</v>
      </c>
      <c r="G60" s="104">
        <v>3</v>
      </c>
      <c r="H60" s="106">
        <v>2</v>
      </c>
      <c r="I60" s="104">
        <v>10.43</v>
      </c>
      <c r="J60" s="104">
        <v>10.53</v>
      </c>
      <c r="K60" s="107" t="b">
        <v>1</v>
      </c>
      <c r="L60" s="107" t="b">
        <v>0</v>
      </c>
      <c r="M60" s="104">
        <v>2</v>
      </c>
      <c r="N60" s="104">
        <v>11.11</v>
      </c>
      <c r="O60" s="104">
        <v>1</v>
      </c>
      <c r="P60" s="104">
        <v>1</v>
      </c>
      <c r="Q60" s="104">
        <v>1</v>
      </c>
      <c r="R60" s="104">
        <v>1</v>
      </c>
      <c r="S60" s="104">
        <v>1</v>
      </c>
      <c r="T60" s="104">
        <v>1</v>
      </c>
      <c r="U60" s="104">
        <v>1</v>
      </c>
      <c r="V60" s="104">
        <v>1</v>
      </c>
      <c r="W60" s="104">
        <v>1</v>
      </c>
      <c r="X60" s="104">
        <v>1</v>
      </c>
      <c r="Y60" s="104">
        <v>1</v>
      </c>
      <c r="Z60" s="104">
        <v>1</v>
      </c>
      <c r="AA60" s="104">
        <v>1</v>
      </c>
      <c r="AB60" s="104">
        <v>1</v>
      </c>
      <c r="AC60" s="104">
        <v>1</v>
      </c>
      <c r="AD60" s="104">
        <v>1</v>
      </c>
      <c r="AE60" s="104">
        <v>1</v>
      </c>
      <c r="AF60" s="104">
        <v>1</v>
      </c>
      <c r="AG60" s="104">
        <v>0</v>
      </c>
      <c r="AH60" s="108"/>
      <c r="AI60" s="108"/>
      <c r="AJ60" s="108"/>
    </row>
    <row r="61" spans="1:37">
      <c r="C61" s="175" t="s">
        <v>115</v>
      </c>
      <c r="D61" s="104" t="s">
        <v>112</v>
      </c>
      <c r="E61" s="104">
        <v>100</v>
      </c>
      <c r="F61" s="104">
        <v>500</v>
      </c>
      <c r="G61" s="104">
        <v>4</v>
      </c>
      <c r="H61" s="106">
        <v>3</v>
      </c>
      <c r="I61" s="104">
        <v>11.43</v>
      </c>
      <c r="J61" s="104">
        <v>11.03</v>
      </c>
      <c r="K61" s="107" t="b">
        <v>1</v>
      </c>
      <c r="L61" s="107" t="b">
        <v>0</v>
      </c>
      <c r="M61" s="104">
        <v>3</v>
      </c>
      <c r="N61" s="104">
        <v>11.19</v>
      </c>
      <c r="O61" s="104">
        <v>3</v>
      </c>
      <c r="P61" s="104">
        <v>3</v>
      </c>
      <c r="Q61" s="104">
        <v>3</v>
      </c>
      <c r="R61" s="104">
        <v>3</v>
      </c>
      <c r="S61" s="104">
        <v>3</v>
      </c>
      <c r="T61" s="104">
        <v>3</v>
      </c>
      <c r="U61" s="104">
        <v>3</v>
      </c>
      <c r="V61" s="104">
        <v>3</v>
      </c>
      <c r="W61" s="104">
        <v>3</v>
      </c>
      <c r="X61" s="104">
        <v>3</v>
      </c>
      <c r="Y61" s="104">
        <v>3</v>
      </c>
      <c r="Z61" s="104">
        <v>3</v>
      </c>
      <c r="AA61" s="104">
        <v>3</v>
      </c>
      <c r="AB61" s="104">
        <v>3</v>
      </c>
      <c r="AC61" s="104">
        <v>2</v>
      </c>
      <c r="AD61" s="104">
        <v>2</v>
      </c>
      <c r="AE61" s="104">
        <v>2</v>
      </c>
      <c r="AF61" s="104">
        <v>2</v>
      </c>
      <c r="AG61" s="104">
        <v>2</v>
      </c>
      <c r="AH61" s="104">
        <v>2</v>
      </c>
      <c r="AI61" s="104">
        <v>2</v>
      </c>
      <c r="AJ61" s="104">
        <v>2</v>
      </c>
      <c r="AK61" s="104" t="s">
        <v>116</v>
      </c>
    </row>
    <row r="62" spans="1:37">
      <c r="C62" s="175" t="s">
        <v>117</v>
      </c>
      <c r="D62" s="104" t="s">
        <v>112</v>
      </c>
      <c r="E62" s="104">
        <v>100</v>
      </c>
      <c r="F62" s="104">
        <v>500</v>
      </c>
      <c r="G62" s="104">
        <v>5</v>
      </c>
      <c r="H62" s="106">
        <v>3</v>
      </c>
      <c r="I62" s="104">
        <v>11.13</v>
      </c>
      <c r="J62" s="104">
        <v>11.3</v>
      </c>
      <c r="K62" s="107" t="b">
        <v>1</v>
      </c>
      <c r="L62" s="107" t="b">
        <v>0</v>
      </c>
      <c r="M62" s="104">
        <v>3</v>
      </c>
      <c r="N62" s="104">
        <v>11.46</v>
      </c>
      <c r="O62" s="104">
        <v>1</v>
      </c>
      <c r="P62" s="104">
        <v>1</v>
      </c>
      <c r="Q62" s="104">
        <v>1</v>
      </c>
      <c r="R62" s="104">
        <v>1</v>
      </c>
      <c r="S62" s="104">
        <v>0</v>
      </c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</row>
    <row r="63" spans="1:37">
      <c r="C63" s="175" t="s">
        <v>118</v>
      </c>
      <c r="D63" s="104" t="s">
        <v>112</v>
      </c>
      <c r="E63" s="104">
        <v>100</v>
      </c>
      <c r="F63" s="104">
        <v>500</v>
      </c>
      <c r="G63" s="104">
        <v>6</v>
      </c>
      <c r="H63" s="106">
        <v>3</v>
      </c>
      <c r="I63" s="104">
        <v>11.4</v>
      </c>
      <c r="J63" s="104">
        <v>11.57</v>
      </c>
      <c r="K63" s="107" t="b">
        <v>1</v>
      </c>
      <c r="L63" s="107" t="b">
        <v>0</v>
      </c>
      <c r="M63" s="104">
        <v>3</v>
      </c>
      <c r="N63" s="104">
        <v>12.11</v>
      </c>
      <c r="O63" s="104">
        <v>2</v>
      </c>
      <c r="P63" s="104">
        <v>2</v>
      </c>
      <c r="Q63" s="104">
        <v>2</v>
      </c>
      <c r="R63" s="104">
        <v>2</v>
      </c>
      <c r="S63" s="104">
        <v>2</v>
      </c>
      <c r="T63" s="104">
        <v>2</v>
      </c>
      <c r="U63" s="104">
        <v>2</v>
      </c>
      <c r="V63" s="104">
        <v>2</v>
      </c>
      <c r="W63" s="104">
        <v>1</v>
      </c>
      <c r="X63" s="104">
        <v>1</v>
      </c>
      <c r="Y63" s="104">
        <v>1</v>
      </c>
      <c r="Z63" s="104">
        <v>1</v>
      </c>
      <c r="AA63" s="104">
        <v>1</v>
      </c>
      <c r="AB63" s="104">
        <v>1</v>
      </c>
      <c r="AC63" s="104">
        <v>0</v>
      </c>
      <c r="AD63" s="108"/>
      <c r="AE63" s="108"/>
      <c r="AF63" s="108"/>
      <c r="AG63" s="108"/>
      <c r="AH63" s="108"/>
      <c r="AI63" s="108"/>
      <c r="AJ63" s="108"/>
    </row>
    <row r="64" spans="1:37">
      <c r="C64" s="175" t="s">
        <v>119</v>
      </c>
      <c r="D64" s="104" t="s">
        <v>112</v>
      </c>
      <c r="E64" s="104">
        <v>100</v>
      </c>
      <c r="F64" s="104">
        <v>500</v>
      </c>
      <c r="G64" s="104" t="s">
        <v>102</v>
      </c>
      <c r="H64" s="106">
        <v>5</v>
      </c>
      <c r="I64" s="154" t="s">
        <v>61</v>
      </c>
      <c r="J64" s="154" t="s">
        <v>61</v>
      </c>
      <c r="K64" s="107" t="b">
        <v>1</v>
      </c>
      <c r="L64" s="107" t="b">
        <v>0</v>
      </c>
      <c r="M64" s="104">
        <v>5</v>
      </c>
      <c r="N64" s="104">
        <v>10.41</v>
      </c>
      <c r="O64" s="104">
        <v>0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</row>
    <row r="65" spans="1:37">
      <c r="C65" s="175" t="s">
        <v>120</v>
      </c>
      <c r="D65" s="104" t="s">
        <v>112</v>
      </c>
      <c r="E65" s="104">
        <v>100</v>
      </c>
      <c r="F65" s="104">
        <v>500</v>
      </c>
      <c r="G65" s="104" t="s">
        <v>103</v>
      </c>
      <c r="H65" s="106">
        <v>5</v>
      </c>
      <c r="I65" s="154" t="s">
        <v>61</v>
      </c>
      <c r="J65" s="154" t="s">
        <v>61</v>
      </c>
      <c r="K65" s="107" t="b">
        <v>1</v>
      </c>
      <c r="L65" s="107" t="b">
        <v>0</v>
      </c>
      <c r="M65" s="104">
        <v>5</v>
      </c>
      <c r="N65" s="104">
        <v>11.03</v>
      </c>
      <c r="O65" s="104">
        <v>1</v>
      </c>
      <c r="P65" s="104">
        <v>1</v>
      </c>
      <c r="Q65" s="104">
        <v>1</v>
      </c>
      <c r="R65" s="104">
        <v>1</v>
      </c>
      <c r="S65" s="104">
        <v>1</v>
      </c>
      <c r="T65" s="104">
        <v>1</v>
      </c>
      <c r="U65" s="104">
        <v>1</v>
      </c>
      <c r="V65" s="104">
        <v>1</v>
      </c>
      <c r="W65" s="104">
        <v>1</v>
      </c>
      <c r="X65" s="104">
        <v>1</v>
      </c>
      <c r="Y65" s="104">
        <v>1</v>
      </c>
      <c r="Z65" s="104">
        <v>1</v>
      </c>
      <c r="AA65" s="104">
        <v>1</v>
      </c>
      <c r="AB65" s="104">
        <v>0</v>
      </c>
      <c r="AC65" s="108"/>
      <c r="AD65" s="108"/>
      <c r="AE65" s="108"/>
      <c r="AF65" s="108"/>
      <c r="AG65" s="108"/>
      <c r="AH65" s="108"/>
      <c r="AI65" s="108"/>
      <c r="AJ65" s="108"/>
    </row>
    <row r="66" spans="1:37">
      <c r="C66" s="175" t="s">
        <v>121</v>
      </c>
      <c r="D66" s="104" t="s">
        <v>112</v>
      </c>
      <c r="E66" s="104">
        <v>100</v>
      </c>
      <c r="F66" s="104">
        <v>500</v>
      </c>
      <c r="G66" s="104" t="s">
        <v>104</v>
      </c>
      <c r="H66" s="106">
        <v>5</v>
      </c>
      <c r="I66" s="154" t="s">
        <v>61</v>
      </c>
      <c r="J66" s="154" t="s">
        <v>61</v>
      </c>
      <c r="K66" s="107" t="b">
        <v>1</v>
      </c>
      <c r="L66" s="107" t="b">
        <v>0</v>
      </c>
      <c r="M66" s="104">
        <v>5</v>
      </c>
      <c r="N66" s="104">
        <v>11.48</v>
      </c>
      <c r="O66" s="104">
        <v>3</v>
      </c>
      <c r="P66" s="104">
        <v>3</v>
      </c>
      <c r="Q66" s="104">
        <v>3</v>
      </c>
      <c r="R66" s="104">
        <v>3</v>
      </c>
      <c r="S66" s="104">
        <v>3</v>
      </c>
      <c r="T66" s="104">
        <v>3</v>
      </c>
      <c r="U66" s="104">
        <v>3</v>
      </c>
      <c r="V66" s="104">
        <v>3</v>
      </c>
      <c r="W66" s="104">
        <v>3</v>
      </c>
      <c r="X66" s="104">
        <v>3</v>
      </c>
      <c r="Y66" s="104">
        <v>3</v>
      </c>
      <c r="Z66" s="104">
        <v>3</v>
      </c>
      <c r="AA66" s="104">
        <v>2</v>
      </c>
      <c r="AB66" s="104">
        <v>1</v>
      </c>
      <c r="AC66" s="104">
        <v>1</v>
      </c>
      <c r="AD66" s="104">
        <v>1</v>
      </c>
      <c r="AE66" s="104">
        <v>1</v>
      </c>
      <c r="AF66" s="104">
        <v>1</v>
      </c>
      <c r="AG66" s="104">
        <v>0</v>
      </c>
      <c r="AH66" s="108"/>
      <c r="AI66" s="108"/>
      <c r="AJ66" s="108"/>
    </row>
    <row r="67" spans="1:37" s="109" customFormat="1">
      <c r="C67" s="182" t="s">
        <v>122</v>
      </c>
      <c r="D67" s="109" t="s">
        <v>112</v>
      </c>
      <c r="E67" s="109">
        <v>100</v>
      </c>
      <c r="F67" s="109">
        <v>500</v>
      </c>
      <c r="G67" s="109" t="s">
        <v>105</v>
      </c>
      <c r="H67" s="111">
        <v>5</v>
      </c>
      <c r="I67" s="167" t="s">
        <v>61</v>
      </c>
      <c r="J67" s="167" t="s">
        <v>61</v>
      </c>
      <c r="K67" s="112" t="b">
        <v>1</v>
      </c>
      <c r="L67" s="112" t="b">
        <v>0</v>
      </c>
      <c r="M67" s="109">
        <v>5</v>
      </c>
      <c r="N67" s="109">
        <v>12.07</v>
      </c>
      <c r="O67" s="109">
        <v>4</v>
      </c>
      <c r="P67" s="109">
        <v>4</v>
      </c>
      <c r="Q67" s="109">
        <v>4</v>
      </c>
      <c r="R67" s="109">
        <v>4</v>
      </c>
      <c r="S67" s="109">
        <v>4</v>
      </c>
      <c r="T67" s="109">
        <v>4</v>
      </c>
      <c r="U67" s="109">
        <v>4</v>
      </c>
      <c r="V67" s="109">
        <v>4</v>
      </c>
      <c r="W67" s="109">
        <v>4</v>
      </c>
      <c r="X67" s="109">
        <v>4</v>
      </c>
      <c r="Y67" s="109">
        <v>2</v>
      </c>
      <c r="Z67" s="109">
        <v>2</v>
      </c>
      <c r="AA67" s="109">
        <v>2</v>
      </c>
      <c r="AB67" s="109">
        <v>2</v>
      </c>
      <c r="AC67" s="109">
        <v>2</v>
      </c>
      <c r="AD67" s="109">
        <v>1</v>
      </c>
      <c r="AE67" s="109">
        <v>1</v>
      </c>
      <c r="AF67" s="109">
        <v>1</v>
      </c>
      <c r="AG67" s="109">
        <v>1</v>
      </c>
      <c r="AH67" s="109">
        <v>1</v>
      </c>
      <c r="AI67" s="109">
        <v>1</v>
      </c>
      <c r="AJ67" s="109">
        <v>1</v>
      </c>
      <c r="AK67" s="109" t="s">
        <v>123</v>
      </c>
    </row>
    <row r="68" spans="1:37">
      <c r="A68" s="104">
        <v>10</v>
      </c>
      <c r="B68" s="166">
        <v>45937</v>
      </c>
      <c r="C68" s="175" t="s">
        <v>124</v>
      </c>
      <c r="D68" s="104" t="s">
        <v>125</v>
      </c>
      <c r="E68" s="104">
        <v>100</v>
      </c>
      <c r="F68" s="104">
        <v>500</v>
      </c>
      <c r="G68" s="104">
        <v>1</v>
      </c>
      <c r="H68" s="106">
        <v>3</v>
      </c>
      <c r="I68" s="104">
        <v>10.16</v>
      </c>
      <c r="J68" s="104">
        <v>10.25</v>
      </c>
      <c r="K68" s="164" t="b">
        <v>1</v>
      </c>
      <c r="L68" s="164" t="b">
        <v>0</v>
      </c>
      <c r="M68" s="104">
        <v>3</v>
      </c>
      <c r="N68" s="104">
        <v>10.43</v>
      </c>
      <c r="O68" s="104">
        <v>1</v>
      </c>
      <c r="P68" s="104">
        <v>1</v>
      </c>
      <c r="Q68" s="104">
        <v>1</v>
      </c>
      <c r="R68" s="104">
        <v>1</v>
      </c>
      <c r="S68" s="104">
        <v>0</v>
      </c>
    </row>
    <row r="69" spans="1:37">
      <c r="C69" s="175" t="s">
        <v>124</v>
      </c>
      <c r="D69" s="104" t="s">
        <v>125</v>
      </c>
      <c r="G69" s="104">
        <v>2</v>
      </c>
      <c r="H69" s="106">
        <v>4</v>
      </c>
      <c r="I69" s="104">
        <v>10.29</v>
      </c>
      <c r="J69" s="104">
        <v>11.44</v>
      </c>
      <c r="K69" s="107" t="b">
        <v>1</v>
      </c>
      <c r="L69" s="107" t="b">
        <v>0</v>
      </c>
      <c r="M69" s="104">
        <v>4</v>
      </c>
      <c r="N69" s="104">
        <v>11.01</v>
      </c>
      <c r="O69" s="104">
        <v>2</v>
      </c>
      <c r="P69" s="104">
        <v>2</v>
      </c>
      <c r="Q69" s="104">
        <v>2</v>
      </c>
      <c r="R69" s="104">
        <v>2</v>
      </c>
      <c r="S69" s="104">
        <v>2</v>
      </c>
      <c r="T69" s="104">
        <v>2</v>
      </c>
      <c r="U69" s="104">
        <v>2</v>
      </c>
      <c r="V69" s="104">
        <v>1</v>
      </c>
      <c r="W69" s="104">
        <v>1</v>
      </c>
      <c r="X69" s="104">
        <v>1</v>
      </c>
      <c r="Y69" s="104">
        <v>1</v>
      </c>
      <c r="Z69" s="104">
        <v>1</v>
      </c>
      <c r="AA69" s="104">
        <v>1</v>
      </c>
      <c r="AB69" s="104">
        <v>1</v>
      </c>
      <c r="AC69" s="104">
        <v>1</v>
      </c>
      <c r="AD69" s="104">
        <v>1</v>
      </c>
      <c r="AE69" s="104">
        <v>1</v>
      </c>
      <c r="AF69" s="104">
        <v>1</v>
      </c>
      <c r="AG69" s="104">
        <v>1</v>
      </c>
      <c r="AH69" s="104">
        <v>1</v>
      </c>
      <c r="AI69" s="104">
        <v>1</v>
      </c>
      <c r="AJ69" s="104">
        <v>1</v>
      </c>
      <c r="AK69" s="104" t="s">
        <v>126</v>
      </c>
    </row>
    <row r="70" spans="1:37">
      <c r="C70" s="175" t="s">
        <v>124</v>
      </c>
      <c r="D70" s="104" t="s">
        <v>125</v>
      </c>
      <c r="G70" s="104">
        <v>3</v>
      </c>
      <c r="H70" s="106">
        <v>4</v>
      </c>
      <c r="I70" s="104">
        <v>10.55</v>
      </c>
      <c r="J70" s="104">
        <v>11.07</v>
      </c>
      <c r="K70" s="107" t="b">
        <v>1</v>
      </c>
      <c r="L70" s="107" t="b">
        <v>0</v>
      </c>
      <c r="M70" s="104">
        <v>4</v>
      </c>
      <c r="N70" s="104">
        <v>11.23</v>
      </c>
      <c r="O70" s="104">
        <v>2</v>
      </c>
      <c r="P70" s="104">
        <v>2</v>
      </c>
      <c r="Q70" s="104">
        <v>2</v>
      </c>
      <c r="R70" s="104">
        <v>2</v>
      </c>
      <c r="S70" s="104">
        <v>0</v>
      </c>
    </row>
    <row r="71" spans="1:37">
      <c r="C71" s="175" t="s">
        <v>124</v>
      </c>
      <c r="D71" s="104" t="s">
        <v>125</v>
      </c>
      <c r="G71" s="104">
        <v>4</v>
      </c>
      <c r="H71" s="106">
        <v>5</v>
      </c>
      <c r="I71" s="104">
        <v>11.12</v>
      </c>
      <c r="J71" s="104">
        <v>11.33</v>
      </c>
      <c r="K71" s="107" t="b">
        <v>1</v>
      </c>
      <c r="L71" s="107" t="b">
        <v>0</v>
      </c>
      <c r="M71" s="104">
        <v>5</v>
      </c>
      <c r="N71" s="104">
        <v>11.48</v>
      </c>
      <c r="O71" s="104">
        <v>5</v>
      </c>
      <c r="P71" s="104">
        <v>0</v>
      </c>
    </row>
    <row r="72" spans="1:37">
      <c r="C72" s="175" t="s">
        <v>124</v>
      </c>
      <c r="D72" s="104" t="s">
        <v>125</v>
      </c>
      <c r="G72" s="104">
        <v>5</v>
      </c>
      <c r="H72" s="106">
        <v>4</v>
      </c>
      <c r="I72" s="104">
        <v>11.48</v>
      </c>
      <c r="J72" s="104">
        <v>12.06</v>
      </c>
      <c r="K72" s="107" t="b">
        <v>1</v>
      </c>
      <c r="L72" s="107" t="b">
        <v>0</v>
      </c>
      <c r="M72" s="104">
        <v>4</v>
      </c>
      <c r="N72" s="104">
        <v>12.22</v>
      </c>
      <c r="O72" s="104">
        <v>3</v>
      </c>
      <c r="P72" s="104">
        <v>3</v>
      </c>
      <c r="Q72" s="104">
        <v>3</v>
      </c>
      <c r="R72" s="104">
        <v>3</v>
      </c>
      <c r="S72" s="104">
        <v>3</v>
      </c>
      <c r="T72" s="104">
        <v>3</v>
      </c>
      <c r="U72" s="104">
        <v>3</v>
      </c>
      <c r="V72" s="104">
        <v>3</v>
      </c>
      <c r="W72" s="104">
        <v>3</v>
      </c>
      <c r="X72" s="104">
        <v>3</v>
      </c>
      <c r="Y72" s="104">
        <v>3</v>
      </c>
      <c r="Z72" s="104">
        <v>3</v>
      </c>
      <c r="AA72" s="104">
        <v>3</v>
      </c>
      <c r="AB72" s="104">
        <v>3</v>
      </c>
      <c r="AC72" s="104">
        <v>1</v>
      </c>
      <c r="AD72" s="104">
        <v>1</v>
      </c>
      <c r="AE72" s="104">
        <v>1</v>
      </c>
      <c r="AF72" s="104">
        <v>1</v>
      </c>
      <c r="AG72" s="104">
        <v>1</v>
      </c>
      <c r="AH72" s="104">
        <v>1</v>
      </c>
      <c r="AI72" s="104">
        <v>1</v>
      </c>
      <c r="AJ72" s="104">
        <v>1</v>
      </c>
      <c r="AK72" s="104" t="s">
        <v>127</v>
      </c>
    </row>
    <row r="73" spans="1:37">
      <c r="C73" s="175" t="s">
        <v>124</v>
      </c>
      <c r="D73" s="104" t="s">
        <v>125</v>
      </c>
      <c r="G73" s="104">
        <v>6</v>
      </c>
      <c r="H73" s="106">
        <v>2</v>
      </c>
      <c r="I73" s="104">
        <v>12.09</v>
      </c>
      <c r="J73" s="104">
        <v>12.32</v>
      </c>
      <c r="K73" s="107" t="b">
        <v>1</v>
      </c>
      <c r="L73" s="107" t="b">
        <v>0</v>
      </c>
      <c r="M73" s="104">
        <v>2</v>
      </c>
      <c r="N73" s="104">
        <v>12.48</v>
      </c>
      <c r="O73" s="104">
        <v>2</v>
      </c>
      <c r="P73" s="104">
        <v>2</v>
      </c>
      <c r="Q73" s="104">
        <v>2</v>
      </c>
      <c r="R73" s="104">
        <v>2</v>
      </c>
      <c r="S73" s="104">
        <v>2</v>
      </c>
      <c r="T73" s="104">
        <v>2</v>
      </c>
      <c r="U73" s="104">
        <v>2</v>
      </c>
      <c r="V73" s="104">
        <v>2</v>
      </c>
      <c r="W73" s="104">
        <v>1</v>
      </c>
      <c r="X73" s="104">
        <v>1</v>
      </c>
      <c r="Y73" s="104">
        <v>1</v>
      </c>
      <c r="Z73" s="104">
        <v>0</v>
      </c>
    </row>
    <row r="74" spans="1:37">
      <c r="C74" s="175" t="s">
        <v>124</v>
      </c>
      <c r="D74" s="104" t="s">
        <v>125</v>
      </c>
      <c r="G74" s="104" t="s">
        <v>102</v>
      </c>
      <c r="H74" s="106">
        <v>5</v>
      </c>
      <c r="I74" s="154" t="s">
        <v>61</v>
      </c>
      <c r="J74" s="154" t="s">
        <v>61</v>
      </c>
      <c r="K74" s="107" t="b">
        <v>1</v>
      </c>
      <c r="L74" s="107" t="b">
        <v>0</v>
      </c>
      <c r="M74" s="104">
        <v>5</v>
      </c>
      <c r="N74" s="104">
        <v>10.47</v>
      </c>
      <c r="O74" s="104">
        <v>1</v>
      </c>
      <c r="P74" s="104">
        <v>1</v>
      </c>
      <c r="Q74" s="104">
        <v>1</v>
      </c>
      <c r="R74" s="104">
        <v>1</v>
      </c>
      <c r="S74" s="104">
        <v>1</v>
      </c>
      <c r="T74" s="104">
        <v>1</v>
      </c>
      <c r="U74" s="104">
        <v>1</v>
      </c>
      <c r="V74" s="104">
        <v>1</v>
      </c>
      <c r="W74" s="104">
        <v>0</v>
      </c>
    </row>
    <row r="75" spans="1:37">
      <c r="C75" s="175" t="s">
        <v>124</v>
      </c>
      <c r="D75" s="104" t="s">
        <v>125</v>
      </c>
      <c r="G75" s="104" t="s">
        <v>103</v>
      </c>
      <c r="H75" s="106">
        <v>4</v>
      </c>
      <c r="I75" s="154" t="s">
        <v>61</v>
      </c>
      <c r="J75" s="154" t="s">
        <v>61</v>
      </c>
      <c r="K75" s="107" t="b">
        <v>1</v>
      </c>
      <c r="L75" s="107" t="b">
        <v>0</v>
      </c>
      <c r="M75" s="104">
        <v>4</v>
      </c>
      <c r="N75" s="104">
        <v>11.02</v>
      </c>
      <c r="O75" s="104">
        <v>1</v>
      </c>
      <c r="P75" s="104">
        <v>1</v>
      </c>
      <c r="Q75" s="104">
        <v>1</v>
      </c>
      <c r="R75" s="104">
        <v>1</v>
      </c>
      <c r="S75" s="104">
        <v>1</v>
      </c>
      <c r="T75" s="104">
        <v>1</v>
      </c>
      <c r="U75" s="104">
        <v>1</v>
      </c>
      <c r="V75" s="104">
        <v>1</v>
      </c>
      <c r="W75" s="104">
        <v>1</v>
      </c>
      <c r="X75" s="104">
        <v>1</v>
      </c>
      <c r="Y75" s="104">
        <v>1</v>
      </c>
      <c r="Z75" s="104">
        <v>1</v>
      </c>
      <c r="AA75" s="104">
        <v>1</v>
      </c>
      <c r="AB75" s="104">
        <v>0</v>
      </c>
    </row>
    <row r="76" spans="1:37">
      <c r="C76" s="175" t="s">
        <v>124</v>
      </c>
      <c r="D76" s="104" t="s">
        <v>125</v>
      </c>
      <c r="G76" s="104" t="s">
        <v>104</v>
      </c>
      <c r="H76" s="106">
        <v>4</v>
      </c>
      <c r="I76" s="154" t="s">
        <v>61</v>
      </c>
      <c r="J76" s="154" t="s">
        <v>61</v>
      </c>
      <c r="K76" s="107" t="b">
        <v>1</v>
      </c>
      <c r="L76" s="107" t="b">
        <v>0</v>
      </c>
      <c r="M76" s="104">
        <v>4</v>
      </c>
      <c r="N76" s="104">
        <v>11.21</v>
      </c>
      <c r="O76" s="104">
        <v>1</v>
      </c>
      <c r="P76" s="104">
        <v>1</v>
      </c>
      <c r="Q76" s="104">
        <v>1</v>
      </c>
      <c r="R76" s="104">
        <v>1</v>
      </c>
      <c r="S76" s="104">
        <v>1</v>
      </c>
      <c r="T76" s="104">
        <v>1</v>
      </c>
      <c r="U76" s="104">
        <v>1</v>
      </c>
      <c r="V76" s="104">
        <v>1</v>
      </c>
      <c r="W76" s="104">
        <v>1</v>
      </c>
      <c r="X76" s="104">
        <v>1</v>
      </c>
      <c r="Y76" s="104">
        <v>1</v>
      </c>
      <c r="Z76" s="104">
        <v>1</v>
      </c>
      <c r="AA76" s="104">
        <v>0</v>
      </c>
    </row>
    <row r="77" spans="1:37">
      <c r="C77" s="175" t="s">
        <v>124</v>
      </c>
      <c r="D77" s="104" t="s">
        <v>125</v>
      </c>
      <c r="G77" s="104" t="s">
        <v>105</v>
      </c>
      <c r="H77" s="106">
        <v>3</v>
      </c>
      <c r="I77" s="154" t="s">
        <v>61</v>
      </c>
      <c r="J77" s="154" t="s">
        <v>61</v>
      </c>
      <c r="K77" s="107" t="b">
        <v>1</v>
      </c>
      <c r="L77" s="107" t="b">
        <v>0</v>
      </c>
      <c r="M77" s="104">
        <v>3</v>
      </c>
      <c r="N77" s="104">
        <v>11.41</v>
      </c>
      <c r="O77" s="104">
        <v>1</v>
      </c>
      <c r="P77" s="104">
        <v>1</v>
      </c>
      <c r="Q77" s="104">
        <v>1</v>
      </c>
      <c r="R77" s="104">
        <v>1</v>
      </c>
      <c r="S77" s="104">
        <v>1</v>
      </c>
      <c r="T77" s="104">
        <v>1</v>
      </c>
      <c r="U77" s="104">
        <v>1</v>
      </c>
      <c r="V77" s="104">
        <v>1</v>
      </c>
      <c r="W77" s="104">
        <v>0</v>
      </c>
    </row>
    <row r="78" spans="1:37">
      <c r="C78" s="175" t="s">
        <v>124</v>
      </c>
      <c r="D78" s="104" t="s">
        <v>125</v>
      </c>
      <c r="G78" s="104" t="s">
        <v>106</v>
      </c>
      <c r="H78" s="106">
        <v>4</v>
      </c>
      <c r="I78" s="154" t="s">
        <v>61</v>
      </c>
      <c r="J78" s="154" t="s">
        <v>61</v>
      </c>
      <c r="K78" s="107" t="b">
        <v>1</v>
      </c>
      <c r="L78" s="107" t="b">
        <v>0</v>
      </c>
      <c r="M78" s="104">
        <v>4</v>
      </c>
      <c r="N78" s="104">
        <v>12.25</v>
      </c>
      <c r="O78" s="104">
        <v>2</v>
      </c>
      <c r="P78" s="104">
        <v>2</v>
      </c>
      <c r="Q78" s="104">
        <v>2</v>
      </c>
      <c r="R78" s="104">
        <v>2</v>
      </c>
      <c r="S78" s="104">
        <v>2</v>
      </c>
      <c r="T78" s="104">
        <v>2</v>
      </c>
      <c r="U78" s="104">
        <v>2</v>
      </c>
      <c r="V78" s="104">
        <v>2</v>
      </c>
      <c r="W78" s="104">
        <v>2</v>
      </c>
      <c r="X78" s="104">
        <v>2</v>
      </c>
      <c r="Y78" s="104">
        <v>2</v>
      </c>
      <c r="Z78" s="104">
        <v>2</v>
      </c>
      <c r="AA78" s="104">
        <v>2</v>
      </c>
      <c r="AB78" s="104">
        <v>2</v>
      </c>
      <c r="AC78" s="104">
        <v>2</v>
      </c>
      <c r="AD78" s="104">
        <v>2</v>
      </c>
      <c r="AE78" s="104">
        <v>2</v>
      </c>
      <c r="AF78" s="104">
        <v>0</v>
      </c>
    </row>
    <row r="79" spans="1:37">
      <c r="C79" s="175" t="s">
        <v>124</v>
      </c>
      <c r="D79" s="104" t="s">
        <v>125</v>
      </c>
      <c r="G79" s="104" t="s">
        <v>107</v>
      </c>
      <c r="H79" s="106">
        <v>4</v>
      </c>
      <c r="I79" s="154" t="s">
        <v>61</v>
      </c>
      <c r="J79" s="154" t="s">
        <v>61</v>
      </c>
      <c r="K79" s="107" t="b">
        <v>1</v>
      </c>
      <c r="L79" s="107" t="b">
        <v>0</v>
      </c>
      <c r="M79" s="104">
        <v>4</v>
      </c>
      <c r="N79" s="104">
        <v>12.25</v>
      </c>
      <c r="O79" s="104">
        <v>4</v>
      </c>
      <c r="P79" s="104">
        <v>3</v>
      </c>
      <c r="Q79" s="104">
        <v>3</v>
      </c>
      <c r="R79" s="104">
        <v>3</v>
      </c>
      <c r="S79" s="104">
        <v>3</v>
      </c>
      <c r="T79" s="104">
        <v>3</v>
      </c>
      <c r="U79" s="104">
        <v>3</v>
      </c>
      <c r="V79" s="104">
        <v>3</v>
      </c>
      <c r="W79" s="104">
        <v>3</v>
      </c>
      <c r="X79" s="104">
        <v>3</v>
      </c>
      <c r="Y79" s="104">
        <v>1</v>
      </c>
      <c r="Z79" s="104">
        <v>0</v>
      </c>
    </row>
    <row r="80" spans="1:37" s="109" customFormat="1">
      <c r="C80" s="182" t="s">
        <v>124</v>
      </c>
      <c r="D80" s="109" t="s">
        <v>125</v>
      </c>
      <c r="G80" s="109" t="s">
        <v>108</v>
      </c>
      <c r="H80" s="111">
        <v>5</v>
      </c>
      <c r="I80" s="167" t="s">
        <v>61</v>
      </c>
      <c r="J80" s="167" t="s">
        <v>61</v>
      </c>
      <c r="K80" s="112" t="b">
        <v>1</v>
      </c>
      <c r="L80" s="112" t="b">
        <v>0</v>
      </c>
      <c r="M80" s="109">
        <v>5</v>
      </c>
      <c r="N80" s="109">
        <v>12.47</v>
      </c>
      <c r="O80" s="109">
        <v>5</v>
      </c>
      <c r="P80" s="109">
        <v>2</v>
      </c>
      <c r="Q80" s="109">
        <v>2</v>
      </c>
      <c r="R80" s="109">
        <v>2</v>
      </c>
      <c r="S80" s="109">
        <v>2</v>
      </c>
      <c r="T80" s="109">
        <v>2</v>
      </c>
      <c r="U80" s="109">
        <v>2</v>
      </c>
      <c r="V80" s="109">
        <v>2</v>
      </c>
      <c r="W80" s="109">
        <v>2</v>
      </c>
      <c r="X80" s="109">
        <v>2</v>
      </c>
      <c r="Y80" s="109">
        <v>2</v>
      </c>
      <c r="Z80" s="109">
        <v>2</v>
      </c>
      <c r="AA80" s="109">
        <v>1</v>
      </c>
      <c r="AB80" s="109">
        <v>0</v>
      </c>
    </row>
    <row r="81" spans="1:37">
      <c r="A81" s="104">
        <v>11</v>
      </c>
      <c r="B81" s="166">
        <v>45940</v>
      </c>
      <c r="C81" s="104" t="s">
        <v>128</v>
      </c>
      <c r="D81" s="11" t="s">
        <v>129</v>
      </c>
      <c r="E81" s="104">
        <v>100</v>
      </c>
      <c r="F81" s="104">
        <v>500</v>
      </c>
      <c r="G81" s="104">
        <v>1</v>
      </c>
      <c r="H81" s="106">
        <v>4</v>
      </c>
      <c r="I81" s="104">
        <v>10.14</v>
      </c>
      <c r="J81" s="104">
        <v>10.3</v>
      </c>
      <c r="K81" s="164" t="b">
        <v>1</v>
      </c>
      <c r="L81" s="164" t="b">
        <v>0</v>
      </c>
      <c r="M81" s="104">
        <v>4</v>
      </c>
      <c r="N81" s="104">
        <v>10.46</v>
      </c>
      <c r="O81" s="104">
        <v>1</v>
      </c>
      <c r="P81" s="104">
        <v>1</v>
      </c>
      <c r="Q81" s="104">
        <v>1</v>
      </c>
      <c r="R81" s="104">
        <v>1</v>
      </c>
      <c r="S81" s="104">
        <v>1</v>
      </c>
      <c r="T81" s="104">
        <v>1</v>
      </c>
      <c r="U81" s="104">
        <v>1</v>
      </c>
      <c r="V81" s="104">
        <v>1</v>
      </c>
      <c r="W81" s="104">
        <v>1</v>
      </c>
      <c r="X81" s="104">
        <v>1</v>
      </c>
      <c r="Y81" s="104">
        <v>1</v>
      </c>
      <c r="Z81" s="104">
        <v>1</v>
      </c>
      <c r="AA81" s="104">
        <v>1</v>
      </c>
      <c r="AB81" s="104">
        <v>0</v>
      </c>
      <c r="AC81" s="108"/>
      <c r="AD81" s="108"/>
      <c r="AE81" s="108"/>
      <c r="AF81" s="108"/>
      <c r="AG81" s="108"/>
      <c r="AH81" s="108"/>
      <c r="AI81" s="108"/>
      <c r="AJ81" s="108"/>
    </row>
    <row r="82" spans="1:37">
      <c r="C82" s="104" t="s">
        <v>128</v>
      </c>
      <c r="D82" s="11" t="s">
        <v>129</v>
      </c>
      <c r="G82" s="104">
        <v>2</v>
      </c>
      <c r="H82" s="106">
        <v>3</v>
      </c>
      <c r="I82" s="104">
        <v>10.33</v>
      </c>
      <c r="J82" s="104">
        <v>10.47</v>
      </c>
      <c r="K82" s="107" t="b">
        <v>1</v>
      </c>
      <c r="L82" s="107" t="b">
        <v>0</v>
      </c>
      <c r="M82" s="104">
        <v>3</v>
      </c>
      <c r="N82" s="104">
        <v>11.02</v>
      </c>
      <c r="O82" s="104">
        <v>0</v>
      </c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</row>
    <row r="83" spans="1:37">
      <c r="C83" s="104" t="s">
        <v>128</v>
      </c>
      <c r="D83" s="11" t="s">
        <v>129</v>
      </c>
      <c r="G83" s="104">
        <v>3</v>
      </c>
      <c r="H83" s="106">
        <v>1</v>
      </c>
      <c r="I83" s="104">
        <v>10.56</v>
      </c>
      <c r="J83" s="104">
        <v>11.07</v>
      </c>
      <c r="K83" s="107" t="b">
        <v>1</v>
      </c>
      <c r="L83" s="107" t="b">
        <v>0</v>
      </c>
      <c r="M83" s="104">
        <v>1</v>
      </c>
      <c r="N83" s="104">
        <v>11.24</v>
      </c>
      <c r="O83" s="104">
        <v>1</v>
      </c>
      <c r="P83" s="104">
        <v>1</v>
      </c>
      <c r="Q83" s="104">
        <v>1</v>
      </c>
      <c r="R83" s="104">
        <v>1</v>
      </c>
      <c r="S83" s="104">
        <v>1</v>
      </c>
      <c r="T83" s="104">
        <v>1</v>
      </c>
      <c r="U83" s="104">
        <v>1</v>
      </c>
      <c r="V83" s="104">
        <v>1</v>
      </c>
      <c r="W83" s="104">
        <v>1</v>
      </c>
      <c r="X83" s="104">
        <v>1</v>
      </c>
      <c r="Y83" s="104">
        <v>1</v>
      </c>
      <c r="Z83" s="104">
        <v>1</v>
      </c>
      <c r="AA83" s="104">
        <v>1</v>
      </c>
      <c r="AB83" s="104">
        <v>0</v>
      </c>
      <c r="AC83" s="108"/>
      <c r="AD83" s="108"/>
      <c r="AE83" s="108"/>
      <c r="AF83" s="108"/>
      <c r="AG83" s="108"/>
      <c r="AH83" s="108"/>
      <c r="AI83" s="108"/>
      <c r="AJ83" s="108"/>
    </row>
    <row r="84" spans="1:37">
      <c r="C84" s="104" t="s">
        <v>128</v>
      </c>
      <c r="D84" s="11" t="s">
        <v>129</v>
      </c>
      <c r="G84" s="104">
        <v>4</v>
      </c>
      <c r="H84" s="106">
        <v>4</v>
      </c>
      <c r="I84" s="104">
        <v>11.19</v>
      </c>
      <c r="J84" s="104">
        <v>11.36</v>
      </c>
      <c r="K84" s="107" t="b">
        <v>1</v>
      </c>
      <c r="L84" s="107" t="b">
        <v>0</v>
      </c>
      <c r="M84" s="104">
        <v>4</v>
      </c>
      <c r="N84" s="104">
        <v>11.52</v>
      </c>
      <c r="O84" s="104">
        <v>2</v>
      </c>
      <c r="P84" s="104">
        <v>2</v>
      </c>
      <c r="Q84" s="104">
        <v>2</v>
      </c>
      <c r="R84" s="104">
        <v>2</v>
      </c>
      <c r="S84" s="104">
        <v>2</v>
      </c>
      <c r="T84" s="104">
        <v>2</v>
      </c>
      <c r="U84" s="104">
        <v>2</v>
      </c>
      <c r="V84" s="104">
        <v>2</v>
      </c>
      <c r="W84" s="104">
        <v>2</v>
      </c>
      <c r="X84" s="104">
        <v>2</v>
      </c>
      <c r="Y84" s="104">
        <v>2</v>
      </c>
      <c r="Z84" s="104">
        <v>2</v>
      </c>
      <c r="AA84" s="104">
        <v>2</v>
      </c>
      <c r="AB84" s="104">
        <v>1</v>
      </c>
      <c r="AC84" s="104">
        <v>1</v>
      </c>
      <c r="AD84" s="104">
        <v>1</v>
      </c>
      <c r="AE84" s="104">
        <v>1</v>
      </c>
      <c r="AF84" s="104">
        <v>1</v>
      </c>
      <c r="AG84" s="104">
        <v>1</v>
      </c>
      <c r="AH84" s="104">
        <v>1</v>
      </c>
      <c r="AI84" s="104">
        <v>1</v>
      </c>
      <c r="AJ84" s="104">
        <v>1</v>
      </c>
      <c r="AK84" s="104" t="s">
        <v>130</v>
      </c>
    </row>
    <row r="85" spans="1:37">
      <c r="C85" s="104" t="s">
        <v>128</v>
      </c>
      <c r="D85" s="11" t="s">
        <v>129</v>
      </c>
      <c r="G85" s="104" t="s">
        <v>102</v>
      </c>
      <c r="H85" s="106">
        <v>4</v>
      </c>
      <c r="I85" s="154" t="s">
        <v>61</v>
      </c>
      <c r="J85" s="154" t="s">
        <v>61</v>
      </c>
      <c r="K85" s="107" t="b">
        <v>1</v>
      </c>
      <c r="L85" s="107" t="b">
        <v>0</v>
      </c>
      <c r="M85" s="104">
        <v>4</v>
      </c>
      <c r="N85" s="104">
        <v>10.37</v>
      </c>
      <c r="O85" s="104">
        <v>1</v>
      </c>
      <c r="P85" s="104">
        <v>1</v>
      </c>
      <c r="Q85" s="104">
        <v>1</v>
      </c>
      <c r="R85" s="104">
        <v>1</v>
      </c>
      <c r="S85" s="104">
        <v>1</v>
      </c>
      <c r="T85" s="104">
        <v>1</v>
      </c>
      <c r="U85" s="104">
        <v>1</v>
      </c>
      <c r="V85" s="104">
        <v>1</v>
      </c>
      <c r="W85" s="104">
        <v>1</v>
      </c>
      <c r="X85" s="104">
        <v>1</v>
      </c>
      <c r="Y85" s="104">
        <v>1</v>
      </c>
      <c r="Z85" s="104">
        <v>1</v>
      </c>
      <c r="AA85" s="104">
        <v>1</v>
      </c>
      <c r="AB85" s="104">
        <v>1</v>
      </c>
      <c r="AC85" s="104">
        <v>1</v>
      </c>
      <c r="AD85" s="104">
        <v>1</v>
      </c>
      <c r="AE85" s="104">
        <v>1</v>
      </c>
      <c r="AF85" s="104">
        <v>1</v>
      </c>
      <c r="AG85" s="104">
        <v>1</v>
      </c>
      <c r="AH85" s="108">
        <v>0</v>
      </c>
      <c r="AI85" s="108"/>
      <c r="AJ85" s="108"/>
    </row>
    <row r="86" spans="1:37">
      <c r="C86" s="104" t="s">
        <v>128</v>
      </c>
      <c r="D86" s="11" t="s">
        <v>129</v>
      </c>
      <c r="G86" s="104" t="s">
        <v>103</v>
      </c>
      <c r="H86" s="106">
        <v>6</v>
      </c>
      <c r="I86" s="154" t="s">
        <v>61</v>
      </c>
      <c r="J86" s="154" t="s">
        <v>61</v>
      </c>
      <c r="K86" s="107" t="b">
        <v>1</v>
      </c>
      <c r="L86" s="107" t="b">
        <v>0</v>
      </c>
      <c r="M86" s="104">
        <v>6</v>
      </c>
      <c r="N86" s="104">
        <v>10.57</v>
      </c>
      <c r="O86" s="104">
        <v>1</v>
      </c>
      <c r="P86" s="104">
        <v>1</v>
      </c>
      <c r="Q86" s="104">
        <v>1</v>
      </c>
      <c r="R86" s="104">
        <v>1</v>
      </c>
      <c r="S86" s="104">
        <v>1</v>
      </c>
      <c r="T86" s="104">
        <v>1</v>
      </c>
      <c r="U86" s="104">
        <v>1</v>
      </c>
      <c r="V86" s="104">
        <v>1</v>
      </c>
      <c r="W86" s="104">
        <v>1</v>
      </c>
      <c r="X86" s="104">
        <v>1</v>
      </c>
      <c r="Y86" s="104">
        <v>1</v>
      </c>
      <c r="Z86" s="104">
        <v>1</v>
      </c>
      <c r="AA86" s="104">
        <v>1</v>
      </c>
      <c r="AB86" s="104">
        <v>1</v>
      </c>
      <c r="AC86" s="104">
        <v>1</v>
      </c>
      <c r="AD86" s="104">
        <v>1</v>
      </c>
      <c r="AE86" s="104">
        <v>1</v>
      </c>
      <c r="AF86" s="104">
        <v>1</v>
      </c>
      <c r="AG86" s="104">
        <v>1</v>
      </c>
      <c r="AH86" s="108">
        <v>0</v>
      </c>
      <c r="AI86" s="108"/>
      <c r="AJ86" s="108"/>
    </row>
    <row r="87" spans="1:37">
      <c r="C87" s="104" t="s">
        <v>128</v>
      </c>
      <c r="D87" s="11" t="s">
        <v>129</v>
      </c>
      <c r="G87" s="104" t="s">
        <v>104</v>
      </c>
      <c r="H87" s="106">
        <v>4</v>
      </c>
      <c r="I87" s="154" t="s">
        <v>61</v>
      </c>
      <c r="J87" s="154" t="s">
        <v>61</v>
      </c>
      <c r="K87" s="107" t="b">
        <v>1</v>
      </c>
      <c r="L87" s="107" t="b">
        <v>0</v>
      </c>
      <c r="M87" s="104">
        <v>4</v>
      </c>
      <c r="N87" s="104">
        <v>11.08</v>
      </c>
      <c r="O87" s="104">
        <v>1</v>
      </c>
      <c r="P87" s="104">
        <v>1</v>
      </c>
      <c r="Q87" s="104">
        <v>1</v>
      </c>
      <c r="R87" s="104">
        <v>1</v>
      </c>
      <c r="S87" s="104">
        <v>1</v>
      </c>
      <c r="T87" s="104">
        <v>1</v>
      </c>
      <c r="U87" s="104">
        <v>1</v>
      </c>
      <c r="V87" s="104">
        <v>1</v>
      </c>
      <c r="W87" s="104">
        <v>1</v>
      </c>
      <c r="X87" s="104">
        <v>1</v>
      </c>
      <c r="Y87" s="104">
        <v>1</v>
      </c>
      <c r="Z87" s="104">
        <v>1</v>
      </c>
      <c r="AA87" s="104">
        <v>1</v>
      </c>
      <c r="AB87" s="104">
        <v>1</v>
      </c>
      <c r="AC87" s="104">
        <v>0</v>
      </c>
      <c r="AD87" s="108"/>
      <c r="AE87" s="108"/>
      <c r="AF87" s="108"/>
      <c r="AG87" s="108"/>
      <c r="AH87" s="108"/>
      <c r="AI87" s="108"/>
      <c r="AJ87" s="108"/>
    </row>
    <row r="88" spans="1:37">
      <c r="C88" s="104" t="s">
        <v>128</v>
      </c>
      <c r="D88" s="11" t="s">
        <v>129</v>
      </c>
      <c r="G88" s="104" t="s">
        <v>105</v>
      </c>
      <c r="H88" s="106">
        <v>5</v>
      </c>
      <c r="I88" s="154" t="s">
        <v>61</v>
      </c>
      <c r="J88" s="154" t="s">
        <v>61</v>
      </c>
      <c r="K88" s="107" t="b">
        <v>1</v>
      </c>
      <c r="L88" s="107" t="b">
        <v>0</v>
      </c>
      <c r="M88" s="104">
        <v>5</v>
      </c>
      <c r="N88" s="104">
        <v>11.26</v>
      </c>
      <c r="O88" s="104">
        <v>1</v>
      </c>
      <c r="P88" s="104">
        <v>1</v>
      </c>
      <c r="Q88" s="104">
        <v>1</v>
      </c>
      <c r="R88" s="104">
        <v>1</v>
      </c>
      <c r="S88" s="104">
        <v>1</v>
      </c>
      <c r="T88" s="104">
        <v>1</v>
      </c>
      <c r="U88" s="104">
        <v>1</v>
      </c>
      <c r="V88" s="104">
        <v>1</v>
      </c>
      <c r="W88" s="104">
        <v>1</v>
      </c>
      <c r="X88" s="104">
        <v>1</v>
      </c>
      <c r="Y88" s="104">
        <v>1</v>
      </c>
      <c r="Z88" s="104">
        <v>1</v>
      </c>
      <c r="AA88" s="104">
        <v>1</v>
      </c>
      <c r="AB88" s="104">
        <v>1</v>
      </c>
      <c r="AC88" s="104">
        <v>1</v>
      </c>
      <c r="AD88" s="104">
        <v>1</v>
      </c>
      <c r="AE88" s="104">
        <v>0</v>
      </c>
      <c r="AF88" s="108"/>
      <c r="AG88" s="108"/>
      <c r="AH88" s="108"/>
      <c r="AI88" s="108"/>
      <c r="AJ88" s="108"/>
    </row>
    <row r="89" spans="1:37">
      <c r="C89" s="104" t="s">
        <v>128</v>
      </c>
      <c r="D89" s="11" t="s">
        <v>129</v>
      </c>
      <c r="G89" s="104" t="s">
        <v>106</v>
      </c>
      <c r="H89" s="106">
        <v>5</v>
      </c>
      <c r="I89" s="154" t="s">
        <v>61</v>
      </c>
      <c r="J89" s="154" t="s">
        <v>61</v>
      </c>
      <c r="K89" s="107" t="b">
        <v>1</v>
      </c>
      <c r="L89" s="107" t="b">
        <v>0</v>
      </c>
      <c r="M89" s="104">
        <v>5</v>
      </c>
      <c r="N89" s="104">
        <v>11.46</v>
      </c>
      <c r="O89" s="104">
        <v>1</v>
      </c>
      <c r="P89" s="104">
        <v>1</v>
      </c>
      <c r="Q89" s="104">
        <v>1</v>
      </c>
      <c r="R89" s="104">
        <v>1</v>
      </c>
      <c r="S89" s="104">
        <v>1</v>
      </c>
      <c r="T89" s="104">
        <v>1</v>
      </c>
      <c r="U89" s="104">
        <v>1</v>
      </c>
      <c r="V89" s="104">
        <v>1</v>
      </c>
      <c r="W89" s="104">
        <v>1</v>
      </c>
      <c r="X89" s="104">
        <v>1</v>
      </c>
      <c r="Y89" s="104">
        <v>1</v>
      </c>
      <c r="Z89" s="104">
        <v>1</v>
      </c>
      <c r="AA89" s="104">
        <v>0</v>
      </c>
      <c r="AB89" s="108"/>
      <c r="AC89" s="108"/>
      <c r="AD89" s="108"/>
      <c r="AE89" s="108"/>
      <c r="AF89" s="108"/>
      <c r="AG89" s="108"/>
      <c r="AH89" s="108"/>
      <c r="AI89" s="108"/>
      <c r="AJ89" s="108"/>
    </row>
    <row r="90" spans="1:37" s="109" customFormat="1">
      <c r="C90" s="109" t="s">
        <v>128</v>
      </c>
      <c r="D90" s="28" t="s">
        <v>129</v>
      </c>
      <c r="F90" s="104"/>
      <c r="G90" s="109" t="s">
        <v>107</v>
      </c>
      <c r="H90" s="111">
        <v>6</v>
      </c>
      <c r="I90" s="167" t="s">
        <v>61</v>
      </c>
      <c r="J90" s="167" t="s">
        <v>61</v>
      </c>
      <c r="K90" s="112" t="b">
        <v>1</v>
      </c>
      <c r="L90" s="112" t="b">
        <v>0</v>
      </c>
      <c r="M90" s="109">
        <v>6</v>
      </c>
      <c r="N90" s="109">
        <v>12.1</v>
      </c>
      <c r="O90" s="109">
        <v>1</v>
      </c>
      <c r="P90" s="109">
        <v>1</v>
      </c>
      <c r="Q90" s="109">
        <v>0</v>
      </c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</row>
    <row r="91" spans="1:37">
      <c r="A91" s="120">
        <v>12</v>
      </c>
      <c r="B91" s="105">
        <v>45944</v>
      </c>
      <c r="C91" s="104" t="s">
        <v>131</v>
      </c>
      <c r="D91" s="104" t="s">
        <v>132</v>
      </c>
      <c r="E91" s="175">
        <v>100</v>
      </c>
      <c r="F91" s="183">
        <v>500</v>
      </c>
      <c r="G91" s="104">
        <v>1</v>
      </c>
      <c r="H91" s="106">
        <v>2</v>
      </c>
      <c r="I91" s="154">
        <v>9.56</v>
      </c>
      <c r="J91" s="154">
        <v>10.02</v>
      </c>
      <c r="K91" s="164" t="b">
        <v>1</v>
      </c>
      <c r="L91" s="164" t="b">
        <v>0</v>
      </c>
      <c r="M91" s="104">
        <v>2</v>
      </c>
      <c r="N91" s="104">
        <v>10.17</v>
      </c>
      <c r="O91" s="104">
        <v>1</v>
      </c>
      <c r="P91" s="104">
        <v>1</v>
      </c>
      <c r="Q91" s="104">
        <v>1</v>
      </c>
      <c r="R91" s="104">
        <v>1</v>
      </c>
      <c r="S91" s="104">
        <v>1</v>
      </c>
      <c r="T91" s="104">
        <v>1</v>
      </c>
      <c r="U91" s="104">
        <v>1</v>
      </c>
      <c r="V91" s="104">
        <v>1</v>
      </c>
      <c r="W91" s="104">
        <v>1</v>
      </c>
      <c r="X91" s="104">
        <v>1</v>
      </c>
      <c r="Y91" s="104">
        <v>1</v>
      </c>
      <c r="Z91" s="104">
        <v>1</v>
      </c>
      <c r="AA91" s="104">
        <v>1</v>
      </c>
      <c r="AB91" s="104">
        <v>1</v>
      </c>
      <c r="AC91" s="104">
        <v>0</v>
      </c>
    </row>
    <row r="92" spans="1:37">
      <c r="C92" s="104" t="s">
        <v>131</v>
      </c>
      <c r="D92" s="104" t="s">
        <v>132</v>
      </c>
      <c r="E92" s="175">
        <v>100</v>
      </c>
      <c r="F92" s="175">
        <v>500</v>
      </c>
      <c r="G92" s="104">
        <v>2</v>
      </c>
      <c r="H92" s="106">
        <v>3</v>
      </c>
      <c r="I92" s="104">
        <v>10.07</v>
      </c>
      <c r="J92" s="104">
        <v>10.199999999999999</v>
      </c>
      <c r="K92" s="107" t="b">
        <v>1</v>
      </c>
      <c r="L92" s="107" t="b">
        <v>0</v>
      </c>
      <c r="M92" s="104">
        <v>3</v>
      </c>
      <c r="N92" s="104">
        <v>10.36</v>
      </c>
      <c r="O92" s="104">
        <v>2</v>
      </c>
      <c r="P92" s="104">
        <v>2</v>
      </c>
      <c r="Q92" s="104">
        <v>2</v>
      </c>
      <c r="R92" s="104">
        <v>2</v>
      </c>
      <c r="S92" s="104">
        <v>2</v>
      </c>
      <c r="T92" s="104">
        <v>2</v>
      </c>
      <c r="U92" s="104">
        <v>2</v>
      </c>
      <c r="V92" s="104">
        <v>2</v>
      </c>
      <c r="W92" s="104">
        <v>2</v>
      </c>
      <c r="X92" s="104">
        <v>2</v>
      </c>
      <c r="Y92" s="104">
        <v>2</v>
      </c>
      <c r="Z92" s="104">
        <v>2</v>
      </c>
      <c r="AA92" s="104">
        <v>2</v>
      </c>
      <c r="AB92" s="104">
        <v>2</v>
      </c>
      <c r="AC92" s="104">
        <v>2</v>
      </c>
      <c r="AD92" s="104">
        <v>2</v>
      </c>
      <c r="AE92" s="104">
        <v>2</v>
      </c>
      <c r="AF92" s="104">
        <v>2</v>
      </c>
      <c r="AG92" s="104">
        <v>0</v>
      </c>
    </row>
    <row r="93" spans="1:37">
      <c r="C93" s="104" t="s">
        <v>131</v>
      </c>
      <c r="D93" s="104" t="s">
        <v>132</v>
      </c>
      <c r="E93" s="175">
        <v>100</v>
      </c>
      <c r="F93" s="175">
        <v>500</v>
      </c>
      <c r="G93" s="104">
        <v>3</v>
      </c>
      <c r="H93" s="106">
        <v>4</v>
      </c>
      <c r="I93" s="104">
        <v>10.26</v>
      </c>
      <c r="J93" s="104">
        <v>10.37</v>
      </c>
      <c r="K93" s="107" t="b">
        <v>1</v>
      </c>
      <c r="L93" s="107" t="b">
        <v>0</v>
      </c>
      <c r="M93" s="104">
        <v>4</v>
      </c>
      <c r="N93" s="104">
        <v>10.54</v>
      </c>
      <c r="O93" s="104">
        <v>1</v>
      </c>
      <c r="P93" s="104">
        <v>1</v>
      </c>
      <c r="Q93" s="104">
        <v>1</v>
      </c>
      <c r="R93" s="104">
        <v>1</v>
      </c>
      <c r="S93" s="104">
        <v>1</v>
      </c>
      <c r="T93" s="104">
        <v>1</v>
      </c>
      <c r="U93" s="104">
        <v>1</v>
      </c>
      <c r="V93" s="104">
        <v>1</v>
      </c>
      <c r="W93" s="104">
        <v>1</v>
      </c>
      <c r="X93" s="104">
        <v>1</v>
      </c>
      <c r="Y93" s="104">
        <v>1</v>
      </c>
      <c r="Z93" s="104">
        <v>1</v>
      </c>
      <c r="AA93" s="104">
        <v>1</v>
      </c>
      <c r="AB93" s="104">
        <v>1</v>
      </c>
      <c r="AC93" s="104">
        <v>1</v>
      </c>
      <c r="AD93" s="104">
        <v>0</v>
      </c>
    </row>
    <row r="94" spans="1:37">
      <c r="C94" s="104" t="s">
        <v>131</v>
      </c>
      <c r="D94" s="104" t="s">
        <v>132</v>
      </c>
      <c r="E94" s="175">
        <v>100</v>
      </c>
      <c r="F94" s="175">
        <v>500</v>
      </c>
      <c r="G94" s="104">
        <v>4</v>
      </c>
      <c r="H94" s="106">
        <v>2</v>
      </c>
      <c r="I94" s="104">
        <v>10.42</v>
      </c>
      <c r="J94" s="104">
        <v>10.54</v>
      </c>
      <c r="K94" s="107" t="b">
        <v>1</v>
      </c>
      <c r="L94" s="107" t="b">
        <v>0</v>
      </c>
      <c r="M94" s="104">
        <v>2</v>
      </c>
      <c r="N94" s="104">
        <v>11.09</v>
      </c>
      <c r="O94" s="104">
        <v>2</v>
      </c>
      <c r="P94" s="104">
        <v>2</v>
      </c>
      <c r="Q94" s="104">
        <v>2</v>
      </c>
      <c r="R94" s="104">
        <v>0</v>
      </c>
    </row>
    <row r="95" spans="1:37" ht="15.75">
      <c r="C95" s="104" t="s">
        <v>131</v>
      </c>
      <c r="D95" s="104" t="s">
        <v>132</v>
      </c>
      <c r="E95" s="175">
        <v>100</v>
      </c>
      <c r="F95" s="175">
        <v>500</v>
      </c>
      <c r="G95" s="104">
        <v>5</v>
      </c>
      <c r="H95" s="106">
        <v>3</v>
      </c>
      <c r="I95" s="104">
        <v>10.55</v>
      </c>
      <c r="J95" s="104">
        <v>11.09</v>
      </c>
      <c r="K95" s="107" t="b">
        <v>1</v>
      </c>
      <c r="L95" s="107" t="b">
        <v>0</v>
      </c>
      <c r="M95" s="104">
        <v>3</v>
      </c>
      <c r="N95" s="104">
        <v>11.25</v>
      </c>
      <c r="O95" s="104">
        <v>1</v>
      </c>
      <c r="P95" s="104">
        <v>2</v>
      </c>
      <c r="Q95" s="104">
        <v>2</v>
      </c>
      <c r="R95" s="104">
        <v>2</v>
      </c>
      <c r="S95" s="104">
        <v>2</v>
      </c>
      <c r="T95" s="104">
        <v>2</v>
      </c>
      <c r="U95" s="104">
        <v>2</v>
      </c>
      <c r="V95" s="104">
        <v>2</v>
      </c>
      <c r="W95" s="104">
        <v>2</v>
      </c>
      <c r="X95" s="104">
        <v>2</v>
      </c>
      <c r="Y95" s="104">
        <v>2</v>
      </c>
      <c r="Z95" s="104">
        <v>2</v>
      </c>
      <c r="AA95" s="104">
        <v>2</v>
      </c>
      <c r="AB95" s="104">
        <v>2</v>
      </c>
      <c r="AC95" s="104">
        <v>2</v>
      </c>
      <c r="AD95" s="104">
        <v>2</v>
      </c>
      <c r="AE95" s="104">
        <v>1</v>
      </c>
      <c r="AF95" s="104">
        <v>1</v>
      </c>
      <c r="AG95" s="104">
        <v>1</v>
      </c>
      <c r="AH95" s="104">
        <v>1</v>
      </c>
      <c r="AI95" s="104">
        <v>1</v>
      </c>
      <c r="AJ95" s="104">
        <v>0</v>
      </c>
      <c r="AK95" s="273" t="s">
        <v>133</v>
      </c>
    </row>
    <row r="96" spans="1:37">
      <c r="C96" s="104" t="s">
        <v>131</v>
      </c>
      <c r="D96" s="104" t="s">
        <v>132</v>
      </c>
      <c r="E96" s="175">
        <v>100</v>
      </c>
      <c r="F96" s="175">
        <v>500</v>
      </c>
      <c r="G96" s="104">
        <v>6</v>
      </c>
      <c r="H96" s="106">
        <v>3</v>
      </c>
      <c r="I96" s="104">
        <v>11.14</v>
      </c>
      <c r="J96" s="104">
        <v>11.27</v>
      </c>
      <c r="K96" s="107" t="b">
        <v>1</v>
      </c>
      <c r="L96" s="107" t="b">
        <v>0</v>
      </c>
      <c r="M96" s="104">
        <v>3</v>
      </c>
      <c r="N96" s="104">
        <v>11.43</v>
      </c>
      <c r="O96" s="104">
        <v>1</v>
      </c>
      <c r="P96" s="104">
        <v>2</v>
      </c>
      <c r="Q96" s="104">
        <v>2</v>
      </c>
      <c r="R96" s="104">
        <v>2</v>
      </c>
      <c r="S96" s="104">
        <v>2</v>
      </c>
      <c r="T96" s="104">
        <v>2</v>
      </c>
      <c r="U96" s="104">
        <v>2</v>
      </c>
      <c r="V96" s="104">
        <v>2</v>
      </c>
      <c r="W96" s="104">
        <v>2</v>
      </c>
      <c r="X96" s="104">
        <v>2</v>
      </c>
      <c r="Y96" s="104">
        <v>2</v>
      </c>
      <c r="Z96" s="104">
        <v>2</v>
      </c>
      <c r="AA96" s="104">
        <v>2</v>
      </c>
      <c r="AB96" s="104">
        <v>2</v>
      </c>
      <c r="AC96" s="104">
        <v>2</v>
      </c>
      <c r="AD96" s="104">
        <v>2</v>
      </c>
      <c r="AE96" s="104">
        <v>1</v>
      </c>
      <c r="AF96" s="104">
        <v>1</v>
      </c>
      <c r="AG96" s="104">
        <v>1</v>
      </c>
      <c r="AH96" s="104">
        <v>1</v>
      </c>
      <c r="AI96" s="104">
        <v>1</v>
      </c>
      <c r="AK96" s="104" t="s">
        <v>134</v>
      </c>
    </row>
    <row r="97" spans="1:37">
      <c r="C97" s="104" t="s">
        <v>131</v>
      </c>
      <c r="D97" s="104" t="s">
        <v>132</v>
      </c>
      <c r="E97" s="175">
        <v>100</v>
      </c>
      <c r="F97" s="175">
        <v>500</v>
      </c>
      <c r="G97" s="104">
        <v>7</v>
      </c>
      <c r="H97" s="106">
        <v>2</v>
      </c>
      <c r="I97" s="104">
        <v>11.3</v>
      </c>
      <c r="J97" s="104">
        <v>11.39</v>
      </c>
      <c r="K97" s="107" t="b">
        <v>1</v>
      </c>
      <c r="L97" s="107" t="b">
        <v>0</v>
      </c>
      <c r="M97" s="104">
        <v>2</v>
      </c>
      <c r="N97" s="104">
        <v>11.55</v>
      </c>
      <c r="O97" s="104">
        <v>1</v>
      </c>
      <c r="P97" s="104">
        <v>1</v>
      </c>
      <c r="Q97" s="104">
        <v>1</v>
      </c>
      <c r="R97" s="104">
        <v>1</v>
      </c>
      <c r="S97" s="104">
        <v>1</v>
      </c>
      <c r="T97" s="104">
        <v>1</v>
      </c>
      <c r="U97" s="104">
        <v>1</v>
      </c>
      <c r="V97" s="104">
        <v>1</v>
      </c>
      <c r="W97" s="104">
        <v>1</v>
      </c>
      <c r="X97" s="104">
        <v>1</v>
      </c>
      <c r="Y97" s="104">
        <v>1</v>
      </c>
      <c r="Z97" s="104">
        <v>1</v>
      </c>
      <c r="AA97" s="104">
        <v>1</v>
      </c>
      <c r="AB97" s="104">
        <v>1</v>
      </c>
      <c r="AC97" s="104">
        <v>1</v>
      </c>
      <c r="AD97" s="104">
        <v>1</v>
      </c>
      <c r="AE97" s="104">
        <v>1</v>
      </c>
      <c r="AF97" s="104">
        <v>1</v>
      </c>
      <c r="AG97" s="104">
        <v>1</v>
      </c>
      <c r="AH97" s="104">
        <v>1</v>
      </c>
      <c r="AI97" s="104">
        <v>1</v>
      </c>
      <c r="AK97" s="104" t="s">
        <v>135</v>
      </c>
    </row>
    <row r="98" spans="1:37">
      <c r="C98" s="104" t="s">
        <v>131</v>
      </c>
      <c r="D98" s="104" t="s">
        <v>132</v>
      </c>
      <c r="E98" s="175">
        <v>100</v>
      </c>
      <c r="F98" s="175">
        <v>500</v>
      </c>
      <c r="G98" s="104">
        <v>8</v>
      </c>
      <c r="H98" s="106">
        <v>3</v>
      </c>
      <c r="I98" s="104">
        <v>11.41</v>
      </c>
      <c r="J98" s="104">
        <v>11.53</v>
      </c>
      <c r="K98" s="107" t="b">
        <v>1</v>
      </c>
      <c r="L98" s="107" t="b">
        <v>0</v>
      </c>
      <c r="M98" s="104">
        <v>3</v>
      </c>
      <c r="N98" s="104">
        <v>12.08</v>
      </c>
      <c r="O98" s="104">
        <v>1</v>
      </c>
      <c r="P98" s="104">
        <v>1</v>
      </c>
      <c r="Q98" s="104">
        <v>1</v>
      </c>
      <c r="R98" s="104">
        <v>1</v>
      </c>
      <c r="S98" s="104">
        <v>1</v>
      </c>
      <c r="T98" s="104">
        <v>1</v>
      </c>
      <c r="U98" s="104">
        <v>1</v>
      </c>
      <c r="V98" s="104">
        <v>1</v>
      </c>
      <c r="W98" s="104">
        <v>1</v>
      </c>
      <c r="X98" s="104">
        <v>1</v>
      </c>
      <c r="Y98" s="104">
        <v>1</v>
      </c>
      <c r="Z98" s="104">
        <v>1</v>
      </c>
      <c r="AA98" s="104">
        <v>1</v>
      </c>
      <c r="AB98" s="104">
        <v>1</v>
      </c>
      <c r="AC98" s="104">
        <v>1</v>
      </c>
      <c r="AD98" s="104">
        <v>0</v>
      </c>
    </row>
    <row r="99" spans="1:37" s="109" customFormat="1">
      <c r="C99" s="109" t="s">
        <v>131</v>
      </c>
      <c r="D99" s="109" t="s">
        <v>132</v>
      </c>
      <c r="E99" s="182">
        <v>100</v>
      </c>
      <c r="F99" s="182">
        <v>500</v>
      </c>
      <c r="G99" s="109">
        <v>9</v>
      </c>
      <c r="H99" s="111">
        <v>4</v>
      </c>
      <c r="I99" s="109">
        <v>11.56</v>
      </c>
      <c r="J99" s="109">
        <v>12.09</v>
      </c>
      <c r="K99" s="112" t="b">
        <v>1</v>
      </c>
      <c r="L99" s="112" t="b">
        <v>0</v>
      </c>
      <c r="M99" s="109">
        <v>4</v>
      </c>
      <c r="N99" s="109">
        <v>12.25</v>
      </c>
      <c r="O99" s="109">
        <v>1</v>
      </c>
      <c r="P99" s="109">
        <v>1</v>
      </c>
      <c r="Q99" s="109">
        <v>1</v>
      </c>
      <c r="R99" s="109">
        <v>1</v>
      </c>
      <c r="S99" s="109">
        <v>1</v>
      </c>
      <c r="T99" s="109">
        <v>1</v>
      </c>
      <c r="U99" s="109">
        <v>1</v>
      </c>
      <c r="V99" s="109">
        <v>1</v>
      </c>
      <c r="W99" s="109">
        <v>1</v>
      </c>
      <c r="X99" s="109">
        <v>1</v>
      </c>
      <c r="Y99" s="109">
        <v>1</v>
      </c>
      <c r="Z99" s="109">
        <v>1</v>
      </c>
      <c r="AA99" s="109">
        <v>1</v>
      </c>
      <c r="AB99" s="109">
        <v>0</v>
      </c>
    </row>
    <row r="100" spans="1:37">
      <c r="A100" s="120">
        <v>13</v>
      </c>
      <c r="B100" s="105">
        <v>45946</v>
      </c>
      <c r="D100" s="11" t="s">
        <v>136</v>
      </c>
      <c r="E100" s="104">
        <v>100</v>
      </c>
      <c r="F100" s="104">
        <v>500</v>
      </c>
      <c r="G100" s="104">
        <v>1</v>
      </c>
      <c r="H100" s="106">
        <v>1</v>
      </c>
      <c r="I100" s="104">
        <v>10.34</v>
      </c>
      <c r="J100" s="104">
        <v>10.45</v>
      </c>
      <c r="K100" s="164" t="b">
        <v>1</v>
      </c>
      <c r="L100" s="164" t="b">
        <v>0</v>
      </c>
      <c r="M100" s="104">
        <v>1</v>
      </c>
      <c r="N100" s="104">
        <v>11</v>
      </c>
      <c r="O100" s="104">
        <v>0</v>
      </c>
    </row>
    <row r="101" spans="1:37">
      <c r="D101" s="11" t="s">
        <v>136</v>
      </c>
      <c r="E101" s="104">
        <v>100</v>
      </c>
      <c r="F101" s="104">
        <v>500</v>
      </c>
      <c r="G101" s="104">
        <v>2</v>
      </c>
      <c r="H101" s="106">
        <v>3</v>
      </c>
      <c r="I101" s="104">
        <v>10.47</v>
      </c>
      <c r="J101" s="104">
        <v>11</v>
      </c>
      <c r="K101" s="107" t="b">
        <v>1</v>
      </c>
      <c r="L101" s="107" t="b">
        <v>0</v>
      </c>
      <c r="M101" s="104">
        <v>3</v>
      </c>
      <c r="N101" s="104">
        <v>11.15</v>
      </c>
      <c r="O101" s="104">
        <v>0</v>
      </c>
    </row>
    <row r="102" spans="1:37">
      <c r="D102" s="11" t="s">
        <v>136</v>
      </c>
      <c r="E102" s="104">
        <v>100</v>
      </c>
      <c r="F102" s="104">
        <v>500</v>
      </c>
      <c r="G102" s="104">
        <v>3</v>
      </c>
      <c r="H102" s="106">
        <v>3</v>
      </c>
      <c r="I102" s="104">
        <v>11.03</v>
      </c>
      <c r="J102" s="104">
        <v>11.12</v>
      </c>
      <c r="K102" s="107" t="b">
        <v>1</v>
      </c>
      <c r="L102" s="107" t="b">
        <v>0</v>
      </c>
      <c r="M102" s="104">
        <v>3</v>
      </c>
      <c r="N102" s="104">
        <v>11.27</v>
      </c>
      <c r="O102" s="104">
        <v>0</v>
      </c>
    </row>
    <row r="103" spans="1:37">
      <c r="D103" s="11" t="s">
        <v>136</v>
      </c>
      <c r="E103" s="104">
        <v>100</v>
      </c>
      <c r="F103" s="104">
        <v>500</v>
      </c>
      <c r="G103" s="104">
        <v>4</v>
      </c>
      <c r="H103" s="106">
        <v>1</v>
      </c>
      <c r="I103" s="104">
        <v>11.14</v>
      </c>
      <c r="J103" s="104">
        <v>11.23</v>
      </c>
      <c r="K103" s="107" t="b">
        <v>1</v>
      </c>
      <c r="L103" s="107" t="b">
        <v>0</v>
      </c>
      <c r="M103" s="104">
        <v>1</v>
      </c>
      <c r="N103" s="104">
        <v>11.28</v>
      </c>
      <c r="O103" s="104">
        <v>0</v>
      </c>
    </row>
    <row r="104" spans="1:37">
      <c r="D104" s="11" t="s">
        <v>136</v>
      </c>
      <c r="E104" s="104">
        <v>100</v>
      </c>
      <c r="F104" s="104">
        <v>500</v>
      </c>
      <c r="G104" s="104">
        <v>5</v>
      </c>
      <c r="H104" s="106">
        <v>2</v>
      </c>
      <c r="I104" s="104">
        <v>11.26</v>
      </c>
      <c r="J104" s="104">
        <v>11.42</v>
      </c>
      <c r="K104" s="107" t="b">
        <v>1</v>
      </c>
      <c r="L104" s="107" t="b">
        <v>0</v>
      </c>
      <c r="M104" s="104">
        <v>2</v>
      </c>
      <c r="N104" s="104">
        <v>11.57</v>
      </c>
      <c r="O104" s="104">
        <v>0</v>
      </c>
    </row>
    <row r="105" spans="1:37" s="157" customFormat="1">
      <c r="A105" s="280">
        <v>14</v>
      </c>
      <c r="B105" s="166">
        <v>45950</v>
      </c>
      <c r="C105" s="157" t="s">
        <v>137</v>
      </c>
      <c r="D105" s="160" t="s">
        <v>138</v>
      </c>
      <c r="E105" s="157">
        <v>100</v>
      </c>
      <c r="F105" s="157">
        <v>500</v>
      </c>
      <c r="G105" s="157">
        <v>1</v>
      </c>
      <c r="H105" s="158">
        <v>3</v>
      </c>
      <c r="I105" s="157">
        <v>10.11</v>
      </c>
      <c r="J105" s="157">
        <v>10.23</v>
      </c>
      <c r="K105" s="164" t="b">
        <v>1</v>
      </c>
      <c r="L105" s="164" t="b">
        <v>0</v>
      </c>
      <c r="M105" s="157">
        <v>3</v>
      </c>
      <c r="N105" s="157">
        <v>10.39</v>
      </c>
      <c r="O105" s="157">
        <v>2</v>
      </c>
      <c r="P105" s="157">
        <v>2</v>
      </c>
      <c r="Q105" s="157">
        <v>2</v>
      </c>
      <c r="R105" s="157">
        <v>2</v>
      </c>
      <c r="S105" s="157">
        <v>2</v>
      </c>
      <c r="T105" s="157">
        <v>2</v>
      </c>
      <c r="U105" s="157">
        <v>2</v>
      </c>
      <c r="V105" s="157">
        <v>2</v>
      </c>
      <c r="W105" s="157">
        <v>2</v>
      </c>
      <c r="X105" s="157">
        <v>2</v>
      </c>
      <c r="Y105" s="157">
        <v>2</v>
      </c>
      <c r="Z105" s="157">
        <v>2</v>
      </c>
      <c r="AA105" s="157">
        <v>2</v>
      </c>
      <c r="AB105" s="157">
        <v>2</v>
      </c>
      <c r="AC105" s="157">
        <v>2</v>
      </c>
      <c r="AD105" s="157">
        <v>2</v>
      </c>
      <c r="AE105" s="157">
        <v>2</v>
      </c>
      <c r="AF105" s="157">
        <v>2</v>
      </c>
      <c r="AG105" s="157">
        <v>2</v>
      </c>
      <c r="AH105" s="157">
        <v>2</v>
      </c>
      <c r="AI105" s="281">
        <v>2</v>
      </c>
    </row>
    <row r="106" spans="1:37">
      <c r="C106" s="104" t="s">
        <v>137</v>
      </c>
      <c r="D106" s="104" t="s">
        <v>138</v>
      </c>
      <c r="E106" s="104">
        <v>100</v>
      </c>
      <c r="F106" s="104">
        <v>500</v>
      </c>
      <c r="G106" s="104">
        <v>2</v>
      </c>
      <c r="H106" s="106">
        <v>2</v>
      </c>
      <c r="I106" s="104">
        <v>10.25</v>
      </c>
      <c r="J106" s="104">
        <v>10.31</v>
      </c>
      <c r="K106" s="107" t="b">
        <v>1</v>
      </c>
      <c r="L106" s="107" t="b">
        <v>0</v>
      </c>
      <c r="M106" s="104">
        <v>2</v>
      </c>
      <c r="N106" s="104">
        <v>10.47</v>
      </c>
      <c r="O106" s="104">
        <v>1</v>
      </c>
      <c r="P106" s="104">
        <v>1</v>
      </c>
      <c r="Q106" s="104">
        <v>1</v>
      </c>
      <c r="R106" s="104">
        <v>1</v>
      </c>
      <c r="S106" s="104">
        <v>1</v>
      </c>
      <c r="T106" s="104">
        <v>1</v>
      </c>
      <c r="U106" s="104">
        <v>1</v>
      </c>
      <c r="V106" s="104">
        <v>1</v>
      </c>
      <c r="W106" s="104">
        <v>1</v>
      </c>
      <c r="X106" s="104">
        <v>1</v>
      </c>
      <c r="Y106" s="104">
        <v>1</v>
      </c>
      <c r="Z106" s="104">
        <v>1</v>
      </c>
      <c r="AA106" s="104">
        <v>1</v>
      </c>
      <c r="AB106" s="104">
        <v>1</v>
      </c>
      <c r="AC106" s="104">
        <v>1</v>
      </c>
      <c r="AD106" s="104">
        <v>0</v>
      </c>
    </row>
    <row r="107" spans="1:37">
      <c r="C107" s="104" t="s">
        <v>137</v>
      </c>
      <c r="D107" s="104" t="s">
        <v>138</v>
      </c>
      <c r="E107" s="104">
        <v>100</v>
      </c>
      <c r="F107" s="104">
        <v>500</v>
      </c>
      <c r="G107" s="104">
        <v>3</v>
      </c>
      <c r="H107" s="106">
        <v>4</v>
      </c>
      <c r="I107" s="104">
        <v>10.42</v>
      </c>
      <c r="J107" s="104">
        <v>10.55</v>
      </c>
      <c r="K107" s="107" t="b">
        <v>1</v>
      </c>
      <c r="L107" s="107" t="b">
        <v>0</v>
      </c>
      <c r="M107" s="104">
        <v>4</v>
      </c>
      <c r="N107" s="104">
        <v>11.12</v>
      </c>
      <c r="O107" s="104">
        <v>3</v>
      </c>
      <c r="P107" s="104">
        <v>3</v>
      </c>
      <c r="Q107" s="104">
        <v>3</v>
      </c>
      <c r="R107" s="104">
        <v>3</v>
      </c>
      <c r="S107" s="104">
        <v>3</v>
      </c>
      <c r="T107" s="104">
        <v>3</v>
      </c>
      <c r="U107" s="104">
        <v>3</v>
      </c>
      <c r="V107" s="104">
        <v>3</v>
      </c>
      <c r="W107" s="104">
        <v>3</v>
      </c>
      <c r="X107" s="104">
        <v>3</v>
      </c>
      <c r="Y107" s="104">
        <v>3</v>
      </c>
      <c r="Z107" s="104">
        <v>3</v>
      </c>
      <c r="AA107" s="104">
        <v>3</v>
      </c>
      <c r="AB107" s="104">
        <v>3</v>
      </c>
      <c r="AC107" s="104">
        <v>2</v>
      </c>
      <c r="AD107" s="104">
        <v>2</v>
      </c>
      <c r="AE107" s="104">
        <v>2</v>
      </c>
      <c r="AF107" s="104">
        <v>1</v>
      </c>
      <c r="AG107" s="104">
        <v>0</v>
      </c>
    </row>
    <row r="108" spans="1:37">
      <c r="C108" s="104" t="s">
        <v>137</v>
      </c>
      <c r="D108" s="104" t="s">
        <v>138</v>
      </c>
      <c r="E108" s="104">
        <v>100</v>
      </c>
      <c r="F108" s="104">
        <v>500</v>
      </c>
      <c r="G108" s="104">
        <v>4</v>
      </c>
      <c r="H108" s="106">
        <v>3</v>
      </c>
      <c r="I108" s="104">
        <v>11.07</v>
      </c>
      <c r="J108" s="104">
        <v>11.16</v>
      </c>
      <c r="K108" s="107" t="b">
        <v>1</v>
      </c>
      <c r="L108" s="107" t="b">
        <v>0</v>
      </c>
      <c r="M108" s="104">
        <v>3</v>
      </c>
      <c r="N108" s="104">
        <v>11.33</v>
      </c>
      <c r="O108" s="104">
        <v>1</v>
      </c>
      <c r="P108" s="104">
        <v>1</v>
      </c>
      <c r="Q108" s="104">
        <v>1</v>
      </c>
      <c r="R108" s="104">
        <v>1</v>
      </c>
      <c r="S108" s="104">
        <v>1</v>
      </c>
      <c r="T108" s="104">
        <v>1</v>
      </c>
      <c r="U108" s="104">
        <v>1</v>
      </c>
      <c r="V108" s="104">
        <v>1</v>
      </c>
      <c r="W108" s="104">
        <v>1</v>
      </c>
      <c r="X108" s="104">
        <v>1</v>
      </c>
      <c r="Y108" s="104">
        <v>1</v>
      </c>
      <c r="Z108" s="104">
        <v>1</v>
      </c>
      <c r="AA108" s="104">
        <v>1</v>
      </c>
      <c r="AB108" s="104">
        <v>1</v>
      </c>
      <c r="AC108" s="104">
        <v>1</v>
      </c>
      <c r="AD108" s="104">
        <v>1</v>
      </c>
      <c r="AE108" s="104">
        <v>1</v>
      </c>
      <c r="AF108" s="104">
        <v>1</v>
      </c>
      <c r="AG108" s="104">
        <v>1</v>
      </c>
      <c r="AH108" s="104">
        <v>1</v>
      </c>
      <c r="AI108" s="128">
        <v>1</v>
      </c>
    </row>
    <row r="109" spans="1:37">
      <c r="C109" s="104" t="s">
        <v>139</v>
      </c>
      <c r="D109" s="104" t="s">
        <v>138</v>
      </c>
      <c r="E109" s="104">
        <v>100</v>
      </c>
      <c r="F109" s="104">
        <v>500</v>
      </c>
      <c r="G109" s="104">
        <v>5</v>
      </c>
      <c r="H109" s="106">
        <v>3</v>
      </c>
      <c r="I109" s="104">
        <v>11.27</v>
      </c>
      <c r="J109" s="104">
        <v>11.39</v>
      </c>
      <c r="K109" s="107" t="b">
        <v>1</v>
      </c>
      <c r="L109" s="107" t="b">
        <v>0</v>
      </c>
      <c r="M109" s="104">
        <v>3</v>
      </c>
      <c r="N109" s="104">
        <v>11.55</v>
      </c>
      <c r="O109" s="104">
        <v>1</v>
      </c>
      <c r="P109" s="104">
        <v>1</v>
      </c>
      <c r="Q109" s="104">
        <v>1</v>
      </c>
      <c r="R109" s="104">
        <v>1</v>
      </c>
      <c r="S109" s="104">
        <v>1</v>
      </c>
      <c r="T109" s="104">
        <v>1</v>
      </c>
      <c r="U109" s="104">
        <v>1</v>
      </c>
      <c r="V109" s="104">
        <v>1</v>
      </c>
      <c r="W109" s="104">
        <v>1</v>
      </c>
      <c r="X109" s="104">
        <v>1</v>
      </c>
      <c r="Y109" s="104">
        <v>1</v>
      </c>
      <c r="Z109" s="104">
        <v>1</v>
      </c>
      <c r="AA109" s="104">
        <v>1</v>
      </c>
      <c r="AB109" s="104">
        <v>1</v>
      </c>
      <c r="AC109" s="104">
        <v>1</v>
      </c>
      <c r="AD109" s="104">
        <v>1</v>
      </c>
      <c r="AE109" s="104">
        <v>1</v>
      </c>
      <c r="AF109" s="104">
        <v>1</v>
      </c>
      <c r="AG109" s="104">
        <v>1</v>
      </c>
      <c r="AH109" s="104">
        <v>1</v>
      </c>
      <c r="AI109" s="128">
        <v>1</v>
      </c>
      <c r="AK109" s="104" t="s">
        <v>140</v>
      </c>
    </row>
    <row r="110" spans="1:37">
      <c r="C110" s="104" t="s">
        <v>139</v>
      </c>
      <c r="D110" s="104" t="s">
        <v>138</v>
      </c>
      <c r="E110" s="104">
        <v>100</v>
      </c>
      <c r="F110" s="104">
        <v>500</v>
      </c>
      <c r="G110" s="104">
        <v>6</v>
      </c>
      <c r="H110" s="106">
        <v>3</v>
      </c>
      <c r="I110" s="104">
        <v>11.41</v>
      </c>
      <c r="J110" s="104">
        <v>11.49</v>
      </c>
      <c r="K110" s="107" t="b">
        <v>1</v>
      </c>
      <c r="L110" s="107" t="b">
        <v>0</v>
      </c>
      <c r="M110" s="104">
        <v>3</v>
      </c>
      <c r="N110" s="104">
        <v>12.05</v>
      </c>
      <c r="O110" s="104">
        <v>1</v>
      </c>
      <c r="P110" s="104">
        <v>1</v>
      </c>
      <c r="Q110" s="104">
        <v>1</v>
      </c>
      <c r="R110" s="104">
        <v>1</v>
      </c>
      <c r="S110" s="104">
        <v>1</v>
      </c>
      <c r="T110" s="104">
        <v>1</v>
      </c>
      <c r="U110" s="104">
        <v>1</v>
      </c>
      <c r="V110" s="104">
        <v>1</v>
      </c>
      <c r="W110" s="104">
        <v>1</v>
      </c>
      <c r="X110" s="104">
        <v>1</v>
      </c>
      <c r="Y110" s="104">
        <v>1</v>
      </c>
      <c r="Z110" s="104">
        <v>1</v>
      </c>
      <c r="AA110" s="104">
        <v>1</v>
      </c>
      <c r="AB110" s="104">
        <v>0</v>
      </c>
    </row>
    <row r="111" spans="1:37">
      <c r="C111" s="104" t="s">
        <v>139</v>
      </c>
      <c r="D111" s="104" t="s">
        <v>138</v>
      </c>
      <c r="E111" s="104">
        <v>100</v>
      </c>
      <c r="F111" s="104">
        <v>500</v>
      </c>
      <c r="G111" s="104">
        <v>7</v>
      </c>
      <c r="H111" s="106">
        <v>3</v>
      </c>
      <c r="I111" s="104">
        <v>11.55</v>
      </c>
      <c r="J111" s="104">
        <v>12.07</v>
      </c>
      <c r="K111" s="107" t="b">
        <v>1</v>
      </c>
      <c r="L111" s="107" t="b">
        <v>0</v>
      </c>
      <c r="M111" s="104">
        <v>3</v>
      </c>
      <c r="N111" s="104">
        <v>11.23</v>
      </c>
      <c r="O111" s="104">
        <v>1</v>
      </c>
      <c r="P111" s="104">
        <v>1</v>
      </c>
      <c r="Q111" s="104">
        <v>1</v>
      </c>
      <c r="R111" s="104">
        <v>1</v>
      </c>
      <c r="S111" s="104">
        <v>1</v>
      </c>
      <c r="T111" s="104">
        <v>1</v>
      </c>
      <c r="U111" s="104">
        <v>1</v>
      </c>
      <c r="V111" s="104">
        <v>1</v>
      </c>
      <c r="W111" s="104">
        <v>1</v>
      </c>
      <c r="X111" s="104">
        <v>1</v>
      </c>
      <c r="Y111" s="104">
        <v>1</v>
      </c>
      <c r="Z111" s="104">
        <v>1</v>
      </c>
      <c r="AA111" s="104">
        <v>1</v>
      </c>
      <c r="AB111" s="104">
        <v>1</v>
      </c>
      <c r="AC111" s="104">
        <v>0</v>
      </c>
    </row>
    <row r="112" spans="1:37">
      <c r="C112" s="104" t="s">
        <v>139</v>
      </c>
      <c r="D112" s="104" t="s">
        <v>138</v>
      </c>
      <c r="E112" s="104">
        <v>100</v>
      </c>
      <c r="F112" s="104">
        <v>500</v>
      </c>
      <c r="G112" s="104">
        <v>8</v>
      </c>
      <c r="H112" s="106">
        <v>3</v>
      </c>
      <c r="I112" s="104">
        <v>12.1</v>
      </c>
      <c r="J112" s="104">
        <v>12.25</v>
      </c>
      <c r="K112" s="107" t="b">
        <v>1</v>
      </c>
      <c r="L112" s="107" t="b">
        <v>0</v>
      </c>
      <c r="M112" s="104">
        <v>3</v>
      </c>
      <c r="N112" s="104">
        <v>12.4</v>
      </c>
      <c r="O112" s="104">
        <v>1</v>
      </c>
      <c r="P112" s="104">
        <v>1</v>
      </c>
      <c r="Q112" s="104">
        <v>1</v>
      </c>
      <c r="R112" s="104">
        <v>1</v>
      </c>
      <c r="S112" s="104">
        <v>1</v>
      </c>
      <c r="T112" s="104">
        <v>1</v>
      </c>
      <c r="U112" s="104">
        <v>1</v>
      </c>
      <c r="V112" s="104">
        <v>1</v>
      </c>
      <c r="W112" s="104">
        <v>1</v>
      </c>
      <c r="X112" s="104">
        <v>1</v>
      </c>
      <c r="Y112" s="104">
        <v>1</v>
      </c>
      <c r="Z112" s="104">
        <v>1</v>
      </c>
      <c r="AA112" s="104">
        <v>1</v>
      </c>
      <c r="AB112" s="104">
        <v>1</v>
      </c>
      <c r="AC112" s="104">
        <v>0</v>
      </c>
    </row>
    <row r="113" spans="1:37">
      <c r="C113" s="104" t="s">
        <v>139</v>
      </c>
      <c r="D113" s="104" t="s">
        <v>138</v>
      </c>
      <c r="E113" s="104">
        <v>100</v>
      </c>
      <c r="F113" s="104">
        <v>500</v>
      </c>
      <c r="G113" s="104">
        <v>9</v>
      </c>
      <c r="H113" s="106">
        <v>2</v>
      </c>
      <c r="I113" s="104">
        <v>12.32</v>
      </c>
      <c r="J113" s="104">
        <v>12.38</v>
      </c>
      <c r="K113" s="107" t="b">
        <v>1</v>
      </c>
      <c r="L113" s="107" t="b">
        <v>0</v>
      </c>
      <c r="M113" s="104">
        <v>2</v>
      </c>
      <c r="N113" s="104">
        <v>12.53</v>
      </c>
      <c r="O113" s="104">
        <v>1</v>
      </c>
      <c r="P113" s="104">
        <v>1</v>
      </c>
      <c r="Q113" s="104">
        <v>1</v>
      </c>
      <c r="R113" s="104">
        <v>1</v>
      </c>
      <c r="S113" s="104">
        <v>1</v>
      </c>
      <c r="T113" s="104">
        <v>1</v>
      </c>
      <c r="U113" s="104">
        <v>1</v>
      </c>
      <c r="V113" s="104">
        <v>1</v>
      </c>
      <c r="W113" s="104">
        <v>1</v>
      </c>
      <c r="X113" s="104">
        <v>1</v>
      </c>
      <c r="Y113" s="104">
        <v>1</v>
      </c>
      <c r="Z113" s="104">
        <v>1</v>
      </c>
      <c r="AA113" s="104">
        <v>1</v>
      </c>
      <c r="AB113" s="104">
        <v>1</v>
      </c>
      <c r="AC113" s="104">
        <v>1</v>
      </c>
      <c r="AD113" s="104">
        <v>1</v>
      </c>
      <c r="AE113" s="104">
        <v>1</v>
      </c>
      <c r="AF113" s="104">
        <v>1</v>
      </c>
      <c r="AG113" s="104">
        <v>1</v>
      </c>
      <c r="AH113" s="104">
        <v>1</v>
      </c>
      <c r="AI113" s="104">
        <v>0</v>
      </c>
      <c r="AK113" s="104" t="s">
        <v>141</v>
      </c>
    </row>
    <row r="114" spans="1:37">
      <c r="D114" s="104" t="s">
        <v>138</v>
      </c>
      <c r="E114" s="104">
        <v>100</v>
      </c>
      <c r="F114" s="104">
        <v>500</v>
      </c>
      <c r="G114" s="104" t="s">
        <v>102</v>
      </c>
      <c r="H114" s="106">
        <v>5</v>
      </c>
      <c r="I114" s="104" t="s">
        <v>61</v>
      </c>
      <c r="J114" s="104" t="s">
        <v>61</v>
      </c>
      <c r="K114" s="107" t="b">
        <v>1</v>
      </c>
      <c r="L114" s="107" t="b">
        <v>0</v>
      </c>
      <c r="M114" s="104">
        <v>5</v>
      </c>
      <c r="N114" s="104">
        <v>10.46</v>
      </c>
      <c r="O114" s="104">
        <v>2</v>
      </c>
      <c r="P114" s="104">
        <v>2</v>
      </c>
      <c r="Q114" s="104">
        <v>2</v>
      </c>
      <c r="R114" s="104">
        <v>2</v>
      </c>
      <c r="S114" s="104">
        <v>2</v>
      </c>
      <c r="T114" s="104">
        <v>2</v>
      </c>
      <c r="U114" s="104">
        <v>2</v>
      </c>
      <c r="V114" s="104">
        <v>2</v>
      </c>
      <c r="W114" s="104">
        <v>2</v>
      </c>
      <c r="X114" s="104">
        <v>2</v>
      </c>
      <c r="Y114" s="104">
        <v>2</v>
      </c>
      <c r="Z114" s="104">
        <v>2</v>
      </c>
      <c r="AA114" s="104">
        <v>2</v>
      </c>
      <c r="AB114" s="104">
        <v>1</v>
      </c>
      <c r="AC114" s="104">
        <v>1</v>
      </c>
      <c r="AD114" s="104">
        <v>1</v>
      </c>
      <c r="AE114" s="104">
        <v>1</v>
      </c>
      <c r="AF114" s="104">
        <v>1</v>
      </c>
      <c r="AG114" s="104">
        <v>1</v>
      </c>
      <c r="AH114" s="104">
        <v>1</v>
      </c>
      <c r="AI114" s="128">
        <v>1</v>
      </c>
    </row>
    <row r="115" spans="1:37">
      <c r="D115" s="104" t="s">
        <v>138</v>
      </c>
      <c r="E115" s="104">
        <v>100</v>
      </c>
      <c r="F115" s="104">
        <v>500</v>
      </c>
      <c r="G115" s="104" t="s">
        <v>103</v>
      </c>
      <c r="H115" s="106">
        <v>4</v>
      </c>
      <c r="I115" s="104" t="s">
        <v>61</v>
      </c>
      <c r="J115" s="104" t="s">
        <v>61</v>
      </c>
      <c r="K115" s="107" t="b">
        <v>1</v>
      </c>
      <c r="L115" s="107" t="b">
        <v>0</v>
      </c>
      <c r="M115" s="104">
        <v>4</v>
      </c>
      <c r="N115" s="104">
        <v>11.13</v>
      </c>
      <c r="O115" s="104">
        <v>2</v>
      </c>
      <c r="P115" s="104">
        <v>2</v>
      </c>
      <c r="Q115" s="104">
        <v>2</v>
      </c>
      <c r="R115" s="104">
        <v>2</v>
      </c>
      <c r="S115" s="104">
        <v>2</v>
      </c>
      <c r="T115" s="104">
        <v>2</v>
      </c>
      <c r="U115" s="104">
        <v>2</v>
      </c>
      <c r="V115" s="104">
        <v>2</v>
      </c>
      <c r="W115" s="104">
        <v>2</v>
      </c>
      <c r="X115" s="104">
        <v>2</v>
      </c>
      <c r="Y115" s="104">
        <v>2</v>
      </c>
      <c r="Z115" s="104">
        <v>2</v>
      </c>
      <c r="AA115" s="104">
        <v>2</v>
      </c>
      <c r="AB115" s="104">
        <v>2</v>
      </c>
      <c r="AC115" s="104">
        <v>2</v>
      </c>
      <c r="AD115" s="104">
        <v>2</v>
      </c>
      <c r="AE115" s="104">
        <v>2</v>
      </c>
      <c r="AF115" s="104">
        <v>1</v>
      </c>
      <c r="AG115" s="104">
        <v>1</v>
      </c>
      <c r="AH115" s="104">
        <v>0</v>
      </c>
    </row>
    <row r="116" spans="1:37">
      <c r="D116" s="104" t="s">
        <v>138</v>
      </c>
      <c r="E116" s="104">
        <v>100</v>
      </c>
      <c r="F116" s="104">
        <v>500</v>
      </c>
      <c r="G116" s="104" t="s">
        <v>104</v>
      </c>
      <c r="H116" s="106">
        <v>5</v>
      </c>
      <c r="I116" s="104" t="s">
        <v>61</v>
      </c>
      <c r="J116" s="104" t="s">
        <v>61</v>
      </c>
      <c r="K116" s="107" t="b">
        <v>1</v>
      </c>
      <c r="L116" s="107" t="b">
        <v>0</v>
      </c>
      <c r="M116" s="104">
        <v>5</v>
      </c>
      <c r="N116" s="104">
        <v>11.34</v>
      </c>
      <c r="O116" s="104">
        <v>1</v>
      </c>
      <c r="P116" s="104">
        <v>1</v>
      </c>
      <c r="Q116" s="104">
        <v>1</v>
      </c>
      <c r="R116" s="104">
        <v>1</v>
      </c>
      <c r="S116" s="104">
        <v>1</v>
      </c>
      <c r="T116" s="104">
        <v>1</v>
      </c>
      <c r="U116" s="104">
        <v>1</v>
      </c>
      <c r="V116" s="104">
        <v>1</v>
      </c>
      <c r="W116" s="104">
        <v>1</v>
      </c>
      <c r="X116" s="104">
        <v>1</v>
      </c>
      <c r="Y116" s="104">
        <v>1</v>
      </c>
      <c r="Z116" s="104">
        <v>1</v>
      </c>
      <c r="AA116" s="104">
        <v>1</v>
      </c>
      <c r="AB116" s="104">
        <v>0</v>
      </c>
    </row>
    <row r="117" spans="1:37">
      <c r="D117" s="104" t="s">
        <v>138</v>
      </c>
      <c r="E117" s="104">
        <v>100</v>
      </c>
      <c r="F117" s="104">
        <v>500</v>
      </c>
      <c r="G117" s="104" t="s">
        <v>105</v>
      </c>
      <c r="H117" s="106">
        <v>5</v>
      </c>
      <c r="I117" s="104" t="s">
        <v>61</v>
      </c>
      <c r="J117" s="104" t="s">
        <v>61</v>
      </c>
      <c r="K117" s="107" t="b">
        <v>1</v>
      </c>
      <c r="L117" s="107" t="b">
        <v>0</v>
      </c>
      <c r="M117" s="104">
        <v>5</v>
      </c>
      <c r="N117" s="104">
        <v>11.57</v>
      </c>
      <c r="O117" s="104">
        <v>0</v>
      </c>
    </row>
    <row r="118" spans="1:37">
      <c r="D118" s="104" t="s">
        <v>138</v>
      </c>
      <c r="E118" s="104">
        <v>100</v>
      </c>
      <c r="F118" s="104">
        <v>500</v>
      </c>
      <c r="G118" s="104" t="s">
        <v>106</v>
      </c>
      <c r="H118" s="106">
        <v>3</v>
      </c>
      <c r="I118" s="104" t="s">
        <v>61</v>
      </c>
      <c r="J118" s="104" t="s">
        <v>61</v>
      </c>
      <c r="K118" s="107" t="b">
        <v>1</v>
      </c>
      <c r="L118" s="107" t="b">
        <v>0</v>
      </c>
      <c r="M118" s="104">
        <v>3</v>
      </c>
      <c r="N118" s="104">
        <v>12.19</v>
      </c>
      <c r="O118" s="104">
        <v>1</v>
      </c>
      <c r="P118" s="104">
        <v>1</v>
      </c>
      <c r="Q118" s="104">
        <v>1</v>
      </c>
      <c r="R118" s="104">
        <v>1</v>
      </c>
      <c r="S118" s="104">
        <v>1</v>
      </c>
      <c r="T118" s="104">
        <v>1</v>
      </c>
      <c r="U118" s="104">
        <v>1</v>
      </c>
      <c r="V118" s="104">
        <v>1</v>
      </c>
      <c r="W118" s="104">
        <v>1</v>
      </c>
      <c r="X118" s="104">
        <v>1</v>
      </c>
      <c r="Y118" s="104">
        <v>1</v>
      </c>
      <c r="Z118" s="104">
        <v>1</v>
      </c>
      <c r="AA118" s="104">
        <v>1</v>
      </c>
      <c r="AB118" s="104">
        <v>0</v>
      </c>
    </row>
    <row r="119" spans="1:37">
      <c r="D119" s="104" t="s">
        <v>138</v>
      </c>
      <c r="E119" s="104">
        <v>100</v>
      </c>
      <c r="F119" s="104">
        <v>500</v>
      </c>
      <c r="G119" s="104" t="s">
        <v>107</v>
      </c>
      <c r="H119" s="106">
        <v>5</v>
      </c>
      <c r="I119" s="104" t="s">
        <v>61</v>
      </c>
      <c r="J119" s="104" t="s">
        <v>61</v>
      </c>
      <c r="K119" s="107" t="b">
        <v>1</v>
      </c>
      <c r="L119" s="107" t="b">
        <v>0</v>
      </c>
      <c r="M119" s="104">
        <v>5</v>
      </c>
      <c r="N119" s="104">
        <v>12.38</v>
      </c>
      <c r="O119" s="104">
        <v>1</v>
      </c>
      <c r="P119" s="104">
        <v>1</v>
      </c>
      <c r="Q119" s="104">
        <v>1</v>
      </c>
      <c r="R119" s="104">
        <v>1</v>
      </c>
      <c r="S119" s="104">
        <v>1</v>
      </c>
      <c r="T119" s="104">
        <v>1</v>
      </c>
      <c r="U119" s="104">
        <v>1</v>
      </c>
      <c r="V119" s="104">
        <v>1</v>
      </c>
      <c r="W119" s="104">
        <v>1</v>
      </c>
      <c r="X119" s="104">
        <v>1</v>
      </c>
      <c r="Y119" s="104">
        <v>1</v>
      </c>
      <c r="Z119" s="104">
        <v>1</v>
      </c>
      <c r="AA119" s="104">
        <v>1</v>
      </c>
      <c r="AB119" s="104">
        <v>0</v>
      </c>
    </row>
    <row r="120" spans="1:37" s="109" customFormat="1">
      <c r="D120" s="109" t="s">
        <v>138</v>
      </c>
      <c r="E120" s="109">
        <v>100</v>
      </c>
      <c r="F120" s="109">
        <v>500</v>
      </c>
      <c r="G120" s="109" t="s">
        <v>108</v>
      </c>
      <c r="H120" s="111">
        <v>4</v>
      </c>
      <c r="I120" s="109" t="s">
        <v>61</v>
      </c>
      <c r="J120" s="109" t="s">
        <v>61</v>
      </c>
      <c r="K120" s="112" t="b">
        <v>1</v>
      </c>
      <c r="L120" s="112" t="b">
        <v>0</v>
      </c>
      <c r="M120" s="109">
        <v>4</v>
      </c>
      <c r="N120" s="109">
        <v>12.54</v>
      </c>
      <c r="O120" s="109">
        <v>0</v>
      </c>
    </row>
    <row r="121" spans="1:37">
      <c r="A121" s="347">
        <v>15</v>
      </c>
      <c r="B121" s="166">
        <v>45952</v>
      </c>
      <c r="C121" s="104" t="s">
        <v>142</v>
      </c>
      <c r="D121" s="104" t="s">
        <v>143</v>
      </c>
      <c r="E121" s="104">
        <v>100</v>
      </c>
      <c r="F121" s="104">
        <v>500</v>
      </c>
      <c r="G121" s="104">
        <v>1</v>
      </c>
      <c r="H121" s="106">
        <v>3</v>
      </c>
      <c r="I121" s="104">
        <v>10.25</v>
      </c>
      <c r="J121" s="104">
        <v>10.34</v>
      </c>
      <c r="K121" s="164" t="b">
        <v>1</v>
      </c>
      <c r="L121" s="164" t="b">
        <v>0</v>
      </c>
      <c r="M121" s="104">
        <v>3</v>
      </c>
      <c r="N121" s="104">
        <v>10.51</v>
      </c>
      <c r="O121" s="104">
        <v>1</v>
      </c>
      <c r="P121" s="104">
        <v>1</v>
      </c>
      <c r="Q121" s="104">
        <v>1</v>
      </c>
      <c r="R121" s="104">
        <v>1</v>
      </c>
      <c r="S121" s="104">
        <v>1</v>
      </c>
      <c r="T121" s="104">
        <v>1</v>
      </c>
      <c r="U121" s="104">
        <v>1</v>
      </c>
      <c r="V121" s="104">
        <v>1</v>
      </c>
      <c r="W121" s="104">
        <v>1</v>
      </c>
      <c r="X121" s="104">
        <v>1</v>
      </c>
      <c r="Y121" s="104">
        <v>1</v>
      </c>
      <c r="Z121" s="104">
        <v>1</v>
      </c>
      <c r="AA121" s="104">
        <v>1</v>
      </c>
      <c r="AB121" s="104">
        <v>1</v>
      </c>
      <c r="AC121" s="104">
        <v>1</v>
      </c>
      <c r="AD121" s="104">
        <v>1</v>
      </c>
      <c r="AE121" s="104">
        <v>1</v>
      </c>
      <c r="AF121" s="104">
        <v>1</v>
      </c>
      <c r="AG121" s="104">
        <v>1</v>
      </c>
      <c r="AH121" s="104">
        <v>1</v>
      </c>
    </row>
    <row r="122" spans="1:37">
      <c r="C122" s="104" t="s">
        <v>142</v>
      </c>
      <c r="D122" s="104" t="s">
        <v>143</v>
      </c>
      <c r="E122" s="104">
        <v>100</v>
      </c>
      <c r="F122" s="104">
        <v>500</v>
      </c>
      <c r="G122" s="104">
        <v>2</v>
      </c>
      <c r="H122" s="106">
        <v>3</v>
      </c>
      <c r="I122" s="104">
        <v>10.36</v>
      </c>
      <c r="J122" s="104">
        <v>10.46</v>
      </c>
      <c r="K122" s="107" t="b">
        <v>1</v>
      </c>
      <c r="L122" s="107" t="b">
        <v>0</v>
      </c>
      <c r="M122" s="104">
        <v>3</v>
      </c>
      <c r="N122" s="104">
        <v>11.03</v>
      </c>
      <c r="O122" s="104">
        <v>1</v>
      </c>
      <c r="P122" s="104">
        <v>1</v>
      </c>
      <c r="Q122" s="104">
        <v>1</v>
      </c>
      <c r="R122" s="104">
        <v>1</v>
      </c>
      <c r="S122" s="104">
        <v>1</v>
      </c>
      <c r="T122" s="104">
        <v>1</v>
      </c>
      <c r="U122" s="104">
        <v>1</v>
      </c>
      <c r="V122" s="104">
        <v>1</v>
      </c>
      <c r="W122" s="104">
        <v>1</v>
      </c>
      <c r="X122" s="104">
        <v>1</v>
      </c>
      <c r="Y122" s="104">
        <v>1</v>
      </c>
      <c r="Z122" s="104">
        <v>1</v>
      </c>
      <c r="AA122" s="104">
        <v>1</v>
      </c>
      <c r="AB122" s="104">
        <v>1</v>
      </c>
      <c r="AC122" s="104">
        <v>1</v>
      </c>
      <c r="AD122" s="104">
        <v>0</v>
      </c>
    </row>
    <row r="123" spans="1:37">
      <c r="C123" s="104" t="s">
        <v>142</v>
      </c>
      <c r="D123" s="104" t="s">
        <v>143</v>
      </c>
      <c r="E123" s="104">
        <v>100</v>
      </c>
      <c r="F123" s="104">
        <v>500</v>
      </c>
      <c r="G123" s="104">
        <v>3</v>
      </c>
      <c r="H123" s="106">
        <v>3</v>
      </c>
      <c r="I123" s="104">
        <v>10.5</v>
      </c>
      <c r="J123" s="104">
        <v>10.59</v>
      </c>
      <c r="K123" s="107" t="b">
        <v>1</v>
      </c>
      <c r="L123" s="107" t="b">
        <v>0</v>
      </c>
      <c r="M123" s="104">
        <v>3</v>
      </c>
      <c r="N123" s="104">
        <v>11.17</v>
      </c>
      <c r="O123" s="104">
        <v>0</v>
      </c>
    </row>
    <row r="124" spans="1:37">
      <c r="C124" s="104" t="s">
        <v>142</v>
      </c>
      <c r="D124" s="104" t="s">
        <v>143</v>
      </c>
      <c r="E124" s="104">
        <v>100</v>
      </c>
      <c r="F124" s="104">
        <v>500</v>
      </c>
      <c r="G124" s="104">
        <v>4</v>
      </c>
      <c r="H124" s="106">
        <v>3</v>
      </c>
      <c r="I124" s="104">
        <v>11.08</v>
      </c>
      <c r="J124" s="104">
        <v>11.19</v>
      </c>
      <c r="K124" s="107" t="b">
        <v>1</v>
      </c>
      <c r="L124" s="107" t="b">
        <v>0</v>
      </c>
      <c r="M124" s="104">
        <v>3</v>
      </c>
      <c r="N124" s="104">
        <v>11.34</v>
      </c>
      <c r="O124" s="104">
        <v>1</v>
      </c>
      <c r="P124" s="104">
        <v>1</v>
      </c>
      <c r="Q124" s="104">
        <v>1</v>
      </c>
      <c r="R124" s="104">
        <v>1</v>
      </c>
      <c r="S124" s="104">
        <v>1</v>
      </c>
      <c r="T124" s="104">
        <v>1</v>
      </c>
      <c r="U124" s="104">
        <v>1</v>
      </c>
      <c r="V124" s="104">
        <v>1</v>
      </c>
      <c r="W124" s="104">
        <v>1</v>
      </c>
      <c r="X124" s="104">
        <v>1</v>
      </c>
      <c r="Y124" s="104">
        <v>1</v>
      </c>
      <c r="Z124" s="104">
        <v>1</v>
      </c>
      <c r="AA124" s="104">
        <v>1</v>
      </c>
    </row>
    <row r="125" spans="1:37">
      <c r="C125" s="104" t="s">
        <v>142</v>
      </c>
      <c r="D125" s="104" t="s">
        <v>143</v>
      </c>
      <c r="E125" s="104">
        <v>100</v>
      </c>
      <c r="F125" s="104">
        <v>500</v>
      </c>
      <c r="G125" s="104">
        <v>5</v>
      </c>
      <c r="H125" s="106">
        <v>1</v>
      </c>
      <c r="I125" s="104">
        <v>11.22</v>
      </c>
      <c r="J125" s="104">
        <v>11.25</v>
      </c>
      <c r="K125" s="107" t="b">
        <v>1</v>
      </c>
      <c r="L125" s="107" t="b">
        <v>0</v>
      </c>
      <c r="M125" s="104">
        <v>1</v>
      </c>
      <c r="N125" s="104">
        <v>11.4</v>
      </c>
      <c r="O125" s="104">
        <v>0</v>
      </c>
    </row>
    <row r="126" spans="1:37">
      <c r="C126" s="104" t="s">
        <v>142</v>
      </c>
      <c r="D126" s="104" t="s">
        <v>143</v>
      </c>
      <c r="E126" s="104">
        <v>100</v>
      </c>
      <c r="F126" s="104">
        <v>500</v>
      </c>
      <c r="G126" s="104">
        <v>6</v>
      </c>
      <c r="H126" s="106">
        <v>3</v>
      </c>
      <c r="I126" s="104">
        <v>11.29</v>
      </c>
      <c r="J126" s="104">
        <v>11.4</v>
      </c>
      <c r="K126" s="107" t="b">
        <v>1</v>
      </c>
      <c r="L126" s="107" t="b">
        <v>0</v>
      </c>
      <c r="M126" s="104">
        <v>3</v>
      </c>
      <c r="N126" s="104">
        <v>11.55</v>
      </c>
      <c r="O126" s="104">
        <v>0</v>
      </c>
    </row>
    <row r="127" spans="1:37">
      <c r="C127" s="104" t="s">
        <v>142</v>
      </c>
      <c r="D127" s="104" t="s">
        <v>143</v>
      </c>
      <c r="E127" s="104">
        <v>100</v>
      </c>
      <c r="F127" s="104">
        <v>500</v>
      </c>
      <c r="G127" s="104">
        <v>7</v>
      </c>
      <c r="H127" s="106">
        <v>3</v>
      </c>
      <c r="I127" s="104">
        <v>11.46</v>
      </c>
      <c r="J127" s="104">
        <v>11.56</v>
      </c>
      <c r="K127" s="107" t="b">
        <v>1</v>
      </c>
      <c r="L127" s="107" t="b">
        <v>0</v>
      </c>
      <c r="M127" s="104">
        <v>3</v>
      </c>
      <c r="N127" s="104">
        <v>12.14</v>
      </c>
      <c r="O127" s="104">
        <v>0</v>
      </c>
    </row>
    <row r="128" spans="1:37">
      <c r="C128" s="104" t="s">
        <v>142</v>
      </c>
      <c r="D128" s="104" t="s">
        <v>143</v>
      </c>
      <c r="E128" s="104">
        <v>100</v>
      </c>
      <c r="F128" s="104">
        <v>500</v>
      </c>
      <c r="G128" s="104">
        <v>8</v>
      </c>
      <c r="H128" s="106">
        <v>2</v>
      </c>
      <c r="I128" s="104">
        <v>11.59</v>
      </c>
      <c r="J128" s="104">
        <v>12.08</v>
      </c>
      <c r="K128" s="107" t="b">
        <v>1</v>
      </c>
      <c r="L128" s="107" t="b">
        <v>0</v>
      </c>
      <c r="M128" s="104">
        <v>2</v>
      </c>
      <c r="N128" s="104">
        <v>12.2</v>
      </c>
      <c r="O128" s="104">
        <v>0</v>
      </c>
    </row>
    <row r="129" spans="1:35">
      <c r="C129" s="104" t="s">
        <v>142</v>
      </c>
      <c r="D129" s="104" t="s">
        <v>143</v>
      </c>
      <c r="E129" s="104">
        <v>100</v>
      </c>
      <c r="F129" s="104">
        <v>500</v>
      </c>
      <c r="G129" s="104">
        <v>9</v>
      </c>
      <c r="H129" s="106">
        <v>3</v>
      </c>
      <c r="I129" s="104">
        <v>12.08</v>
      </c>
      <c r="J129" s="104">
        <v>12.19</v>
      </c>
      <c r="K129" s="107" t="b">
        <v>1</v>
      </c>
      <c r="L129" s="107" t="b">
        <v>0</v>
      </c>
      <c r="M129" s="104">
        <v>3</v>
      </c>
      <c r="N129" s="104">
        <v>12.35</v>
      </c>
      <c r="O129" s="104">
        <v>0</v>
      </c>
    </row>
    <row r="130" spans="1:35">
      <c r="C130" s="104" t="s">
        <v>142</v>
      </c>
      <c r="D130" s="104" t="s">
        <v>143</v>
      </c>
      <c r="E130" s="104">
        <v>100</v>
      </c>
      <c r="F130" s="104">
        <v>500</v>
      </c>
      <c r="G130" s="104" t="s">
        <v>144</v>
      </c>
      <c r="H130" s="106">
        <v>4</v>
      </c>
      <c r="I130" s="104" t="s">
        <v>61</v>
      </c>
      <c r="J130" s="104" t="s">
        <v>61</v>
      </c>
      <c r="K130" s="107" t="b">
        <v>1</v>
      </c>
      <c r="L130" s="107" t="b">
        <v>0</v>
      </c>
      <c r="M130" s="104">
        <v>4</v>
      </c>
      <c r="N130" s="104">
        <v>11.1</v>
      </c>
      <c r="O130" s="104">
        <v>2</v>
      </c>
      <c r="P130" s="104">
        <v>2</v>
      </c>
      <c r="Q130" s="104">
        <v>1</v>
      </c>
      <c r="R130" s="104">
        <v>0</v>
      </c>
    </row>
    <row r="131" spans="1:35">
      <c r="C131" s="104" t="s">
        <v>142</v>
      </c>
      <c r="D131" s="104" t="s">
        <v>143</v>
      </c>
      <c r="E131" s="104">
        <v>100</v>
      </c>
      <c r="F131" s="104">
        <v>500</v>
      </c>
      <c r="G131" s="104" t="s">
        <v>145</v>
      </c>
      <c r="H131" s="106">
        <v>3</v>
      </c>
      <c r="I131" s="104" t="s">
        <v>61</v>
      </c>
      <c r="J131" s="104" t="s">
        <v>61</v>
      </c>
      <c r="K131" s="107" t="b">
        <v>1</v>
      </c>
      <c r="L131" s="107" t="b">
        <v>0</v>
      </c>
      <c r="M131" s="104">
        <v>3</v>
      </c>
      <c r="N131" s="104">
        <v>11.26</v>
      </c>
      <c r="O131" s="104">
        <v>0</v>
      </c>
    </row>
    <row r="132" spans="1:35">
      <c r="C132" s="104" t="s">
        <v>142</v>
      </c>
      <c r="D132" s="104" t="s">
        <v>143</v>
      </c>
      <c r="E132" s="104">
        <v>100</v>
      </c>
      <c r="F132" s="104">
        <v>500</v>
      </c>
      <c r="G132" s="104" t="s">
        <v>146</v>
      </c>
      <c r="H132" s="106">
        <v>3</v>
      </c>
      <c r="I132" s="104" t="s">
        <v>61</v>
      </c>
      <c r="J132" s="104" t="s">
        <v>61</v>
      </c>
      <c r="K132" s="107" t="b">
        <v>1</v>
      </c>
      <c r="L132" s="107" t="b">
        <v>0</v>
      </c>
      <c r="M132" s="104">
        <v>3</v>
      </c>
      <c r="N132" s="104">
        <v>11.41</v>
      </c>
      <c r="O132" s="104">
        <v>0</v>
      </c>
    </row>
    <row r="133" spans="1:35">
      <c r="C133" s="104" t="s">
        <v>142</v>
      </c>
      <c r="D133" s="104" t="s">
        <v>143</v>
      </c>
      <c r="E133" s="104">
        <v>100</v>
      </c>
      <c r="F133" s="104">
        <v>500</v>
      </c>
      <c r="G133" s="104" t="s">
        <v>147</v>
      </c>
      <c r="H133" s="106">
        <v>3</v>
      </c>
      <c r="I133" s="104" t="s">
        <v>61</v>
      </c>
      <c r="J133" s="104" t="s">
        <v>61</v>
      </c>
      <c r="K133" s="107" t="b">
        <v>1</v>
      </c>
      <c r="L133" s="107" t="b">
        <v>0</v>
      </c>
      <c r="M133" s="104">
        <v>3</v>
      </c>
      <c r="N133" s="104">
        <v>11.57</v>
      </c>
      <c r="O133" s="104">
        <v>0</v>
      </c>
    </row>
    <row r="134" spans="1:35">
      <c r="C134" s="104" t="s">
        <v>142</v>
      </c>
      <c r="D134" s="104" t="s">
        <v>143</v>
      </c>
      <c r="E134" s="104">
        <v>100</v>
      </c>
      <c r="F134" s="104">
        <v>500</v>
      </c>
      <c r="G134" s="104" t="s">
        <v>148</v>
      </c>
      <c r="H134" s="106">
        <v>3</v>
      </c>
      <c r="I134" s="104" t="s">
        <v>61</v>
      </c>
      <c r="J134" s="104" t="s">
        <v>61</v>
      </c>
      <c r="K134" s="107" t="b">
        <v>1</v>
      </c>
      <c r="L134" s="107" t="b">
        <v>0</v>
      </c>
      <c r="M134" s="104">
        <v>3</v>
      </c>
      <c r="N134" s="104">
        <v>12.12</v>
      </c>
      <c r="O134" s="104">
        <v>0</v>
      </c>
    </row>
    <row r="135" spans="1:35">
      <c r="C135" s="104" t="s">
        <v>142</v>
      </c>
      <c r="D135" s="104" t="s">
        <v>143</v>
      </c>
      <c r="E135" s="104">
        <v>100</v>
      </c>
      <c r="F135" s="104">
        <v>500</v>
      </c>
      <c r="G135" s="104" t="s">
        <v>149</v>
      </c>
      <c r="H135" s="106">
        <v>3</v>
      </c>
      <c r="I135" s="104" t="s">
        <v>61</v>
      </c>
      <c r="J135" s="104" t="s">
        <v>61</v>
      </c>
      <c r="K135" s="107" t="b">
        <v>1</v>
      </c>
      <c r="L135" s="107" t="b">
        <v>0</v>
      </c>
      <c r="M135" s="104">
        <v>3</v>
      </c>
      <c r="N135" s="104">
        <v>12.32</v>
      </c>
      <c r="O135" s="104">
        <v>0</v>
      </c>
    </row>
    <row r="136" spans="1:35" s="323" customFormat="1" ht="15.75" thickBot="1">
      <c r="C136" s="323" t="s">
        <v>142</v>
      </c>
      <c r="D136" s="323" t="s">
        <v>143</v>
      </c>
      <c r="E136" s="323">
        <v>100</v>
      </c>
      <c r="F136" s="323">
        <v>500</v>
      </c>
      <c r="G136" s="323" t="s">
        <v>150</v>
      </c>
      <c r="H136" s="348">
        <v>3</v>
      </c>
      <c r="I136" s="323" t="s">
        <v>61</v>
      </c>
      <c r="J136" s="323" t="s">
        <v>61</v>
      </c>
      <c r="K136" s="349" t="b">
        <v>1</v>
      </c>
      <c r="L136" s="349" t="b">
        <v>0</v>
      </c>
      <c r="M136" s="323">
        <v>3</v>
      </c>
      <c r="N136" s="323">
        <v>12.45</v>
      </c>
      <c r="O136" s="323">
        <v>0</v>
      </c>
    </row>
    <row r="137" spans="1:35">
      <c r="A137" s="104">
        <v>16</v>
      </c>
      <c r="B137" s="166">
        <v>45954</v>
      </c>
      <c r="C137" s="104" t="s">
        <v>151</v>
      </c>
      <c r="D137" s="104" t="s">
        <v>152</v>
      </c>
      <c r="E137" s="104">
        <v>100</v>
      </c>
      <c r="F137" s="104">
        <v>500</v>
      </c>
      <c r="G137" s="364" t="s">
        <v>153</v>
      </c>
      <c r="H137" s="106">
        <v>4</v>
      </c>
      <c r="I137" s="104">
        <v>9.58</v>
      </c>
      <c r="J137" s="104">
        <v>10.08</v>
      </c>
      <c r="K137" s="164" t="b">
        <v>1</v>
      </c>
      <c r="L137" s="164" t="b">
        <v>0</v>
      </c>
      <c r="M137" s="104">
        <v>4</v>
      </c>
      <c r="N137" s="104">
        <v>10.25</v>
      </c>
      <c r="O137" s="104">
        <v>3</v>
      </c>
      <c r="P137" s="104">
        <v>3</v>
      </c>
      <c r="Q137" s="104">
        <v>3</v>
      </c>
      <c r="R137" s="104">
        <v>3</v>
      </c>
      <c r="S137" s="104">
        <v>3</v>
      </c>
      <c r="T137" s="104">
        <v>3</v>
      </c>
      <c r="U137" s="104">
        <v>3</v>
      </c>
      <c r="V137" s="104">
        <v>3</v>
      </c>
      <c r="W137" s="104">
        <v>3</v>
      </c>
      <c r="X137" s="104">
        <v>3</v>
      </c>
      <c r="Y137" s="104">
        <v>3</v>
      </c>
      <c r="Z137" s="104">
        <v>3</v>
      </c>
      <c r="AA137" s="104">
        <v>3</v>
      </c>
      <c r="AB137" s="104">
        <v>3</v>
      </c>
      <c r="AC137" s="104">
        <v>0</v>
      </c>
    </row>
    <row r="138" spans="1:35">
      <c r="C138" s="104" t="s">
        <v>151</v>
      </c>
      <c r="D138" s="104" t="s">
        <v>152</v>
      </c>
      <c r="E138" s="104">
        <v>100</v>
      </c>
      <c r="F138" s="104">
        <v>500</v>
      </c>
      <c r="G138" s="364" t="s">
        <v>154</v>
      </c>
      <c r="H138" s="106">
        <v>4</v>
      </c>
      <c r="I138" s="104">
        <v>10.11</v>
      </c>
      <c r="J138" s="104">
        <v>10.23</v>
      </c>
      <c r="K138" s="107" t="b">
        <v>1</v>
      </c>
      <c r="L138" s="107" t="b">
        <v>0</v>
      </c>
      <c r="M138" s="104">
        <v>4</v>
      </c>
      <c r="N138" s="104">
        <v>10.38</v>
      </c>
      <c r="O138" s="104">
        <v>3</v>
      </c>
      <c r="P138" s="104">
        <v>3</v>
      </c>
      <c r="Q138" s="104">
        <v>3</v>
      </c>
      <c r="R138" s="104">
        <v>3</v>
      </c>
      <c r="S138" s="104">
        <v>3</v>
      </c>
      <c r="T138" s="104">
        <v>3</v>
      </c>
      <c r="U138" s="104">
        <v>3</v>
      </c>
      <c r="V138" s="104">
        <v>3</v>
      </c>
      <c r="W138" s="104">
        <v>3</v>
      </c>
      <c r="X138" s="104">
        <v>3</v>
      </c>
      <c r="Y138" s="104">
        <v>3</v>
      </c>
      <c r="Z138" s="104">
        <v>3</v>
      </c>
      <c r="AA138" s="104">
        <v>3</v>
      </c>
      <c r="AB138" s="104">
        <v>1</v>
      </c>
      <c r="AC138" s="104">
        <v>1</v>
      </c>
      <c r="AD138" s="104">
        <v>1</v>
      </c>
      <c r="AE138" s="104">
        <v>1</v>
      </c>
      <c r="AF138" s="104">
        <v>1</v>
      </c>
      <c r="AG138" s="104">
        <v>0</v>
      </c>
    </row>
    <row r="139" spans="1:35">
      <c r="C139" s="104" t="s">
        <v>151</v>
      </c>
      <c r="D139" s="104" t="s">
        <v>152</v>
      </c>
      <c r="E139" s="104">
        <v>100</v>
      </c>
      <c r="F139" s="104">
        <v>500</v>
      </c>
      <c r="G139" s="364" t="s">
        <v>155</v>
      </c>
      <c r="H139" s="106">
        <v>4</v>
      </c>
      <c r="I139" s="104">
        <v>10.24</v>
      </c>
      <c r="J139" s="104">
        <v>10.35</v>
      </c>
      <c r="K139" s="107" t="b">
        <v>1</v>
      </c>
      <c r="L139" s="107" t="b">
        <v>0</v>
      </c>
      <c r="M139" s="104">
        <v>4</v>
      </c>
      <c r="N139" s="104">
        <v>10.51</v>
      </c>
      <c r="O139" s="104">
        <v>1</v>
      </c>
      <c r="P139" s="104">
        <v>1</v>
      </c>
      <c r="Q139" s="104">
        <v>1</v>
      </c>
      <c r="R139" s="104">
        <v>1</v>
      </c>
      <c r="S139" s="104">
        <v>1</v>
      </c>
      <c r="T139" s="104">
        <v>1</v>
      </c>
      <c r="U139" s="104">
        <v>1</v>
      </c>
      <c r="V139" s="104">
        <v>1</v>
      </c>
      <c r="W139" s="104">
        <v>1</v>
      </c>
      <c r="X139" s="104">
        <v>1</v>
      </c>
      <c r="Y139" s="104">
        <v>1</v>
      </c>
      <c r="Z139" s="104">
        <v>1</v>
      </c>
      <c r="AA139" s="104">
        <v>1</v>
      </c>
      <c r="AB139" s="104">
        <v>1</v>
      </c>
      <c r="AC139" s="104">
        <v>1</v>
      </c>
      <c r="AD139" s="104">
        <v>0</v>
      </c>
    </row>
    <row r="140" spans="1:35">
      <c r="C140" s="104" t="s">
        <v>151</v>
      </c>
      <c r="D140" s="104" t="s">
        <v>152</v>
      </c>
      <c r="E140" s="104">
        <v>100</v>
      </c>
      <c r="F140" s="104">
        <v>500</v>
      </c>
      <c r="G140" s="364" t="s">
        <v>156</v>
      </c>
      <c r="H140" s="106">
        <v>3</v>
      </c>
      <c r="I140" s="104">
        <v>10.37</v>
      </c>
      <c r="J140" s="104">
        <v>10.51</v>
      </c>
      <c r="K140" s="107" t="b">
        <v>1</v>
      </c>
      <c r="L140" s="107" t="b">
        <v>0</v>
      </c>
      <c r="M140" s="104">
        <v>3</v>
      </c>
      <c r="N140" s="104">
        <v>11.07</v>
      </c>
      <c r="O140" s="104">
        <v>2</v>
      </c>
      <c r="P140" s="104">
        <v>2</v>
      </c>
      <c r="Q140" s="104">
        <v>2</v>
      </c>
      <c r="R140" s="104">
        <v>2</v>
      </c>
      <c r="S140" s="104">
        <v>2</v>
      </c>
      <c r="T140" s="104">
        <v>2</v>
      </c>
      <c r="U140" s="104">
        <v>2</v>
      </c>
      <c r="V140" s="104">
        <v>2</v>
      </c>
      <c r="W140" s="104">
        <v>2</v>
      </c>
      <c r="X140" s="104">
        <v>2</v>
      </c>
      <c r="Y140" s="104">
        <v>2</v>
      </c>
      <c r="Z140" s="104">
        <v>2</v>
      </c>
      <c r="AA140" s="104">
        <v>2</v>
      </c>
      <c r="AB140" s="104">
        <v>1</v>
      </c>
      <c r="AC140" s="104">
        <v>1</v>
      </c>
      <c r="AD140" s="104">
        <v>0</v>
      </c>
    </row>
    <row r="141" spans="1:35">
      <c r="C141" s="104" t="s">
        <v>151</v>
      </c>
      <c r="D141" s="104" t="s">
        <v>152</v>
      </c>
      <c r="E141" s="104">
        <v>100</v>
      </c>
      <c r="F141" s="104">
        <v>500</v>
      </c>
      <c r="G141" s="364" t="s">
        <v>157</v>
      </c>
      <c r="H141" s="106">
        <v>2</v>
      </c>
      <c r="I141" s="104">
        <v>10.54</v>
      </c>
      <c r="J141" s="104">
        <v>11.03</v>
      </c>
      <c r="K141" s="107" t="b">
        <v>1</v>
      </c>
      <c r="L141" s="107" t="b">
        <v>0</v>
      </c>
      <c r="M141" s="104">
        <v>2</v>
      </c>
      <c r="N141" s="104">
        <v>11.2</v>
      </c>
      <c r="O141" s="104">
        <v>2</v>
      </c>
      <c r="P141" s="104">
        <v>2</v>
      </c>
      <c r="Q141" s="104">
        <v>2</v>
      </c>
      <c r="R141" s="104">
        <v>2</v>
      </c>
      <c r="S141" s="104">
        <v>2</v>
      </c>
      <c r="T141" s="104">
        <v>2</v>
      </c>
      <c r="U141" s="104">
        <v>2</v>
      </c>
      <c r="V141" s="104">
        <v>2</v>
      </c>
      <c r="W141" s="104">
        <v>2</v>
      </c>
      <c r="X141" s="104">
        <v>2</v>
      </c>
      <c r="Y141" s="104">
        <v>2</v>
      </c>
      <c r="Z141" s="104">
        <v>2</v>
      </c>
      <c r="AA141" s="104">
        <v>2</v>
      </c>
      <c r="AB141" s="104">
        <v>2</v>
      </c>
      <c r="AC141" s="104">
        <v>2</v>
      </c>
      <c r="AD141" s="104">
        <v>1</v>
      </c>
      <c r="AE141" s="104">
        <v>1</v>
      </c>
      <c r="AF141" s="104">
        <v>1</v>
      </c>
      <c r="AG141" s="104">
        <v>0</v>
      </c>
    </row>
    <row r="142" spans="1:35">
      <c r="C142" s="104" t="s">
        <v>151</v>
      </c>
      <c r="D142" s="104" t="s">
        <v>152</v>
      </c>
      <c r="E142" s="104">
        <v>100</v>
      </c>
      <c r="F142" s="104">
        <v>500</v>
      </c>
      <c r="G142" s="364" t="s">
        <v>158</v>
      </c>
      <c r="H142" s="106">
        <v>4</v>
      </c>
      <c r="I142" s="104">
        <v>11.05</v>
      </c>
      <c r="J142" s="104">
        <v>11.19</v>
      </c>
      <c r="K142" s="107" t="b">
        <v>1</v>
      </c>
      <c r="L142" s="107" t="b">
        <v>0</v>
      </c>
      <c r="M142" s="104">
        <v>4</v>
      </c>
      <c r="N142" s="104">
        <v>11.33</v>
      </c>
      <c r="O142" s="104">
        <v>3</v>
      </c>
      <c r="P142" s="104">
        <v>3</v>
      </c>
      <c r="Q142" s="104">
        <v>3</v>
      </c>
      <c r="R142" s="104">
        <v>3</v>
      </c>
      <c r="S142" s="104">
        <v>3</v>
      </c>
      <c r="T142" s="104">
        <v>3</v>
      </c>
      <c r="U142" s="104">
        <v>3</v>
      </c>
      <c r="V142" s="104">
        <v>3</v>
      </c>
      <c r="W142" s="104">
        <v>3</v>
      </c>
      <c r="X142" s="104">
        <v>2</v>
      </c>
      <c r="Y142" s="104">
        <v>2</v>
      </c>
      <c r="Z142" s="104">
        <v>2</v>
      </c>
      <c r="AA142" s="104">
        <v>2</v>
      </c>
      <c r="AB142" s="104">
        <v>2</v>
      </c>
      <c r="AC142" s="104">
        <v>2</v>
      </c>
      <c r="AD142" s="104">
        <v>2</v>
      </c>
      <c r="AE142" s="104">
        <v>2</v>
      </c>
      <c r="AF142" s="104">
        <v>2</v>
      </c>
      <c r="AG142" s="104">
        <v>2</v>
      </c>
      <c r="AH142" s="104">
        <v>1</v>
      </c>
      <c r="AI142" s="104">
        <v>1</v>
      </c>
    </row>
    <row r="143" spans="1:35">
      <c r="C143" s="104" t="s">
        <v>151</v>
      </c>
      <c r="D143" s="104" t="s">
        <v>152</v>
      </c>
      <c r="E143" s="104">
        <v>100</v>
      </c>
      <c r="F143" s="104">
        <v>500</v>
      </c>
      <c r="G143" s="364" t="s">
        <v>159</v>
      </c>
      <c r="H143" s="106">
        <v>2</v>
      </c>
      <c r="I143" s="104">
        <v>11.24</v>
      </c>
      <c r="J143" s="104">
        <v>11.34</v>
      </c>
      <c r="K143" s="107" t="b">
        <v>1</v>
      </c>
      <c r="L143" s="107" t="b">
        <v>0</v>
      </c>
      <c r="M143" s="104">
        <v>2</v>
      </c>
      <c r="N143" s="104">
        <v>11.53</v>
      </c>
      <c r="O143" s="104">
        <v>1</v>
      </c>
      <c r="P143" s="104">
        <v>1</v>
      </c>
      <c r="Q143" s="104">
        <v>1</v>
      </c>
      <c r="R143" s="104">
        <v>1</v>
      </c>
      <c r="S143" s="104">
        <v>1</v>
      </c>
      <c r="T143" s="104">
        <v>1</v>
      </c>
      <c r="U143" s="104">
        <v>1</v>
      </c>
      <c r="V143" s="104">
        <v>1</v>
      </c>
      <c r="W143" s="104">
        <v>1</v>
      </c>
      <c r="X143" s="104">
        <v>0</v>
      </c>
    </row>
    <row r="144" spans="1:35">
      <c r="C144" s="104" t="s">
        <v>151</v>
      </c>
      <c r="D144" s="104" t="s">
        <v>152</v>
      </c>
      <c r="E144" s="104">
        <v>100</v>
      </c>
      <c r="F144" s="104">
        <v>500</v>
      </c>
      <c r="G144" s="364" t="s">
        <v>160</v>
      </c>
      <c r="H144" s="106">
        <v>2</v>
      </c>
      <c r="I144" s="104">
        <v>11.39</v>
      </c>
      <c r="J144" s="104">
        <v>11.48</v>
      </c>
      <c r="K144" s="107" t="b">
        <v>1</v>
      </c>
      <c r="L144" s="107" t="b">
        <v>0</v>
      </c>
      <c r="M144" s="104">
        <v>2</v>
      </c>
      <c r="N144" s="104">
        <v>12.06</v>
      </c>
      <c r="O144" s="104">
        <v>2</v>
      </c>
      <c r="P144" s="104">
        <v>2</v>
      </c>
      <c r="Q144" s="104">
        <v>2</v>
      </c>
      <c r="R144" s="104">
        <v>0</v>
      </c>
    </row>
    <row r="145" spans="1:31">
      <c r="C145" s="104" t="s">
        <v>151</v>
      </c>
      <c r="D145" s="104" t="s">
        <v>152</v>
      </c>
      <c r="E145" s="104">
        <v>100</v>
      </c>
      <c r="F145" s="104">
        <v>500</v>
      </c>
      <c r="G145" s="364" t="s">
        <v>161</v>
      </c>
      <c r="H145" s="106">
        <v>3</v>
      </c>
      <c r="I145" s="104">
        <v>11.5</v>
      </c>
      <c r="J145" s="104">
        <v>12.02</v>
      </c>
      <c r="K145" s="107" t="b">
        <v>1</v>
      </c>
      <c r="L145" s="107" t="b">
        <v>0</v>
      </c>
      <c r="M145" s="104">
        <v>3</v>
      </c>
      <c r="N145" s="104">
        <v>12.19</v>
      </c>
      <c r="O145" s="104">
        <v>2</v>
      </c>
      <c r="P145" s="104">
        <v>2</v>
      </c>
      <c r="Q145" s="104">
        <v>0</v>
      </c>
    </row>
    <row r="146" spans="1:31" s="109" customFormat="1">
      <c r="C146" s="109" t="s">
        <v>151</v>
      </c>
      <c r="D146" s="109" t="s">
        <v>152</v>
      </c>
      <c r="E146" s="109">
        <v>100</v>
      </c>
      <c r="F146" s="109">
        <v>500</v>
      </c>
      <c r="G146" s="365" t="s">
        <v>162</v>
      </c>
      <c r="H146" s="111">
        <v>1</v>
      </c>
      <c r="I146" s="109">
        <v>12.04</v>
      </c>
      <c r="J146" s="109">
        <v>12.15</v>
      </c>
      <c r="K146" s="112" t="b">
        <v>1</v>
      </c>
      <c r="L146" s="112" t="b">
        <v>0</v>
      </c>
      <c r="M146" s="109">
        <v>1</v>
      </c>
      <c r="N146" s="109">
        <v>12.3</v>
      </c>
      <c r="O146" s="109">
        <v>1</v>
      </c>
      <c r="P146" s="109">
        <v>0</v>
      </c>
    </row>
    <row r="147" spans="1:31">
      <c r="A147" s="104">
        <v>17</v>
      </c>
      <c r="B147" s="166">
        <v>45958</v>
      </c>
      <c r="C147" s="104" t="s">
        <v>163</v>
      </c>
      <c r="D147" s="11" t="s">
        <v>164</v>
      </c>
      <c r="E147" s="104">
        <v>100</v>
      </c>
      <c r="F147" s="104">
        <v>500</v>
      </c>
      <c r="G147" s="104" t="s">
        <v>153</v>
      </c>
      <c r="H147" s="106">
        <v>1</v>
      </c>
      <c r="I147" s="104">
        <v>10.44</v>
      </c>
      <c r="J147" s="104">
        <v>10.54</v>
      </c>
      <c r="K147" s="164" t="b">
        <v>1</v>
      </c>
      <c r="L147" s="164" t="b">
        <v>0</v>
      </c>
      <c r="M147" s="104">
        <v>1</v>
      </c>
      <c r="N147" s="104" t="s">
        <v>165</v>
      </c>
      <c r="O147" s="104">
        <v>0</v>
      </c>
    </row>
    <row r="148" spans="1:31">
      <c r="C148" s="104" t="s">
        <v>163</v>
      </c>
      <c r="D148" s="11" t="s">
        <v>164</v>
      </c>
      <c r="E148" s="104">
        <v>100</v>
      </c>
      <c r="F148" s="104">
        <v>500</v>
      </c>
      <c r="G148" s="104" t="s">
        <v>154</v>
      </c>
      <c r="H148" s="106">
        <v>3</v>
      </c>
      <c r="I148" s="104">
        <v>10.55</v>
      </c>
      <c r="J148" s="104">
        <v>11.06</v>
      </c>
      <c r="K148" s="107" t="b">
        <v>1</v>
      </c>
      <c r="L148" s="107" t="b">
        <v>0</v>
      </c>
      <c r="M148" s="104">
        <v>3</v>
      </c>
      <c r="N148" s="104">
        <v>11.22</v>
      </c>
      <c r="O148" s="104">
        <v>0</v>
      </c>
    </row>
    <row r="149" spans="1:31">
      <c r="C149" s="104" t="s">
        <v>163</v>
      </c>
      <c r="D149" s="11" t="s">
        <v>164</v>
      </c>
      <c r="E149" s="104">
        <v>100</v>
      </c>
      <c r="F149" s="104">
        <v>500</v>
      </c>
      <c r="G149" s="104" t="s">
        <v>155</v>
      </c>
      <c r="H149" s="106">
        <v>3</v>
      </c>
      <c r="I149" s="104">
        <v>11.11</v>
      </c>
      <c r="J149" s="104">
        <v>11.21</v>
      </c>
      <c r="K149" s="107" t="b">
        <v>1</v>
      </c>
      <c r="L149" s="107" t="b">
        <v>0</v>
      </c>
      <c r="M149" s="104">
        <v>3</v>
      </c>
      <c r="N149" s="104">
        <v>11.37</v>
      </c>
      <c r="W149" s="104">
        <v>1</v>
      </c>
      <c r="Z149" s="104">
        <v>1</v>
      </c>
      <c r="AA149" s="104">
        <v>1</v>
      </c>
      <c r="AB149" s="104">
        <v>1</v>
      </c>
      <c r="AC149" s="104">
        <v>0</v>
      </c>
    </row>
    <row r="150" spans="1:31">
      <c r="C150" s="104" t="s">
        <v>163</v>
      </c>
      <c r="D150" s="11" t="s">
        <v>164</v>
      </c>
      <c r="E150" s="104">
        <v>100</v>
      </c>
      <c r="F150" s="104">
        <v>500</v>
      </c>
      <c r="G150" s="104" t="s">
        <v>156</v>
      </c>
      <c r="H150" s="106">
        <v>3</v>
      </c>
      <c r="I150" s="104">
        <v>11.24</v>
      </c>
      <c r="J150" s="104">
        <v>11.35</v>
      </c>
      <c r="K150" s="107" t="b">
        <v>1</v>
      </c>
      <c r="L150" s="107" t="b">
        <v>0</v>
      </c>
      <c r="M150" s="104">
        <v>3</v>
      </c>
      <c r="N150" s="104">
        <v>11.5</v>
      </c>
      <c r="T150" s="104">
        <v>1</v>
      </c>
      <c r="X150" s="104">
        <v>1</v>
      </c>
      <c r="Y150" s="104">
        <v>1</v>
      </c>
      <c r="AE150" s="104">
        <v>1</v>
      </c>
    </row>
    <row r="151" spans="1:31">
      <c r="C151" s="104" t="s">
        <v>163</v>
      </c>
      <c r="D151" s="11" t="s">
        <v>164</v>
      </c>
      <c r="E151" s="104">
        <v>100</v>
      </c>
      <c r="F151" s="104">
        <v>500</v>
      </c>
      <c r="G151" s="104" t="s">
        <v>157</v>
      </c>
      <c r="H151" s="106">
        <v>3</v>
      </c>
      <c r="I151" s="104">
        <v>11.4</v>
      </c>
      <c r="J151" s="104">
        <v>11.51</v>
      </c>
      <c r="K151" s="107" t="b">
        <v>1</v>
      </c>
      <c r="L151" s="107" t="b">
        <v>0</v>
      </c>
      <c r="M151" s="104">
        <v>3</v>
      </c>
      <c r="N151" s="104">
        <v>12.07</v>
      </c>
      <c r="O151" s="104">
        <v>0</v>
      </c>
    </row>
    <row r="152" spans="1:31">
      <c r="C152" s="104" t="s">
        <v>163</v>
      </c>
      <c r="D152" s="11" t="s">
        <v>164</v>
      </c>
      <c r="E152" s="104">
        <v>100</v>
      </c>
      <c r="F152" s="104">
        <v>500</v>
      </c>
      <c r="G152" s="104" t="s">
        <v>158</v>
      </c>
      <c r="H152" s="106">
        <v>2</v>
      </c>
      <c r="I152" s="104">
        <v>11.53</v>
      </c>
      <c r="J152" s="104">
        <v>12.03</v>
      </c>
      <c r="K152" s="107" t="b">
        <v>1</v>
      </c>
      <c r="L152" s="107" t="b">
        <v>0</v>
      </c>
      <c r="M152" s="104">
        <v>2</v>
      </c>
      <c r="N152" s="104">
        <v>12.17</v>
      </c>
      <c r="T152" s="104">
        <v>1</v>
      </c>
      <c r="W152" s="104">
        <v>1</v>
      </c>
      <c r="AA152" s="104">
        <v>1</v>
      </c>
      <c r="AE152" s="104">
        <v>1</v>
      </c>
    </row>
    <row r="153" spans="1:31">
      <c r="C153" s="104" t="s">
        <v>163</v>
      </c>
      <c r="D153" s="11" t="s">
        <v>164</v>
      </c>
      <c r="E153" s="104">
        <v>100</v>
      </c>
      <c r="F153" s="104">
        <v>500</v>
      </c>
      <c r="G153" s="104" t="s">
        <v>159</v>
      </c>
      <c r="H153" s="106">
        <v>2</v>
      </c>
      <c r="I153" s="104">
        <v>12.07</v>
      </c>
      <c r="J153" s="104">
        <v>12.17</v>
      </c>
      <c r="K153" s="107" t="b">
        <v>1</v>
      </c>
      <c r="L153" s="107" t="b">
        <v>0</v>
      </c>
      <c r="M153" s="104">
        <v>2</v>
      </c>
      <c r="N153" s="104">
        <v>12.32</v>
      </c>
      <c r="S153" s="104">
        <v>1</v>
      </c>
      <c r="W153" s="104">
        <v>1</v>
      </c>
      <c r="Z153" s="104">
        <v>1</v>
      </c>
      <c r="AA153" s="104">
        <v>1</v>
      </c>
    </row>
    <row r="154" spans="1:31">
      <c r="C154" s="104" t="s">
        <v>163</v>
      </c>
      <c r="D154" s="11" t="s">
        <v>164</v>
      </c>
      <c r="E154" s="104">
        <v>100</v>
      </c>
      <c r="F154" s="104">
        <v>500</v>
      </c>
      <c r="G154" s="104" t="s">
        <v>160</v>
      </c>
      <c r="H154" s="106">
        <v>3</v>
      </c>
      <c r="I154" s="104">
        <v>12.2</v>
      </c>
      <c r="J154" s="104">
        <v>12.31</v>
      </c>
      <c r="K154" s="107" t="b">
        <v>1</v>
      </c>
      <c r="L154" s="107" t="b">
        <v>0</v>
      </c>
      <c r="M154" s="104">
        <v>3</v>
      </c>
      <c r="N154" s="104">
        <v>12.46</v>
      </c>
      <c r="O154" s="104">
        <v>0</v>
      </c>
    </row>
    <row r="155" spans="1:31">
      <c r="C155" s="104" t="s">
        <v>163</v>
      </c>
      <c r="D155" s="11" t="s">
        <v>164</v>
      </c>
      <c r="E155" s="104">
        <v>100</v>
      </c>
      <c r="F155" s="104">
        <v>500</v>
      </c>
      <c r="G155" s="104" t="s">
        <v>161</v>
      </c>
      <c r="H155" s="106">
        <v>3</v>
      </c>
      <c r="I155" s="104">
        <v>12.33</v>
      </c>
      <c r="J155" s="104">
        <v>12.41</v>
      </c>
      <c r="K155" s="107" t="b">
        <v>1</v>
      </c>
      <c r="L155" s="107" t="b">
        <v>0</v>
      </c>
      <c r="M155" s="104">
        <v>3</v>
      </c>
      <c r="N155" s="104">
        <v>12.55</v>
      </c>
      <c r="O155" s="104">
        <v>0</v>
      </c>
    </row>
    <row r="156" spans="1:31">
      <c r="C156" s="104" t="s">
        <v>163</v>
      </c>
      <c r="D156" s="11" t="s">
        <v>164</v>
      </c>
      <c r="E156" s="104">
        <v>100</v>
      </c>
      <c r="F156" s="104">
        <v>500</v>
      </c>
      <c r="G156" s="104" t="s">
        <v>162</v>
      </c>
      <c r="H156" s="106">
        <v>3</v>
      </c>
      <c r="I156" s="104">
        <v>12.44</v>
      </c>
      <c r="J156" s="104">
        <v>12.52</v>
      </c>
      <c r="K156" s="107" t="b">
        <v>1</v>
      </c>
      <c r="L156" s="107" t="b">
        <v>0</v>
      </c>
      <c r="M156" s="104">
        <v>3</v>
      </c>
      <c r="N156" s="104">
        <v>13.05</v>
      </c>
      <c r="R156" s="104">
        <v>1</v>
      </c>
      <c r="S156" s="104">
        <v>0</v>
      </c>
    </row>
    <row r="157" spans="1:31" s="323" customFormat="1" ht="15.75" thickBot="1">
      <c r="C157" s="323" t="s">
        <v>163</v>
      </c>
      <c r="D157" s="308" t="s">
        <v>164</v>
      </c>
      <c r="E157" s="323">
        <v>100</v>
      </c>
      <c r="F157" s="323">
        <v>500</v>
      </c>
      <c r="G157" s="323" t="s">
        <v>166</v>
      </c>
      <c r="H157" s="348">
        <v>3</v>
      </c>
      <c r="I157" s="323">
        <v>12.54</v>
      </c>
      <c r="J157" s="323">
        <v>13.04</v>
      </c>
      <c r="K157" s="349" t="b">
        <v>1</v>
      </c>
      <c r="L157" s="349" t="b">
        <v>0</v>
      </c>
      <c r="M157" s="323">
        <v>3</v>
      </c>
      <c r="N157" s="323">
        <v>12.21</v>
      </c>
      <c r="Q157" s="323">
        <v>1</v>
      </c>
      <c r="W157" s="323">
        <v>1</v>
      </c>
      <c r="Y157" s="323">
        <v>1</v>
      </c>
    </row>
    <row r="158" spans="1:31">
      <c r="A158" s="104">
        <v>18</v>
      </c>
      <c r="B158" s="105">
        <v>45960</v>
      </c>
      <c r="C158" s="104" t="s">
        <v>167</v>
      </c>
      <c r="D158" s="104" t="s">
        <v>168</v>
      </c>
      <c r="E158" s="104">
        <v>100</v>
      </c>
      <c r="F158" s="104">
        <v>500</v>
      </c>
      <c r="G158" s="104" t="s">
        <v>153</v>
      </c>
      <c r="H158" s="106">
        <v>3</v>
      </c>
      <c r="I158" s="104">
        <v>10.01</v>
      </c>
      <c r="J158" s="104">
        <v>10.11</v>
      </c>
      <c r="K158" s="107" t="b">
        <v>1</v>
      </c>
      <c r="L158" s="107" t="b">
        <v>0</v>
      </c>
      <c r="M158" s="104">
        <v>3</v>
      </c>
      <c r="N158" s="104">
        <v>10.27</v>
      </c>
      <c r="O158" s="104">
        <v>0</v>
      </c>
    </row>
    <row r="159" spans="1:31">
      <c r="C159" s="104" t="s">
        <v>167</v>
      </c>
      <c r="D159" s="104" t="s">
        <v>168</v>
      </c>
      <c r="E159" s="104">
        <v>100</v>
      </c>
      <c r="F159" s="104">
        <v>500</v>
      </c>
      <c r="G159" s="104" t="s">
        <v>154</v>
      </c>
      <c r="H159" s="106">
        <v>1</v>
      </c>
      <c r="I159" s="104">
        <v>10.119999999999999</v>
      </c>
      <c r="J159" s="104">
        <v>10.16</v>
      </c>
      <c r="K159" s="107" t="b">
        <v>1</v>
      </c>
      <c r="L159" s="107" t="b">
        <v>0</v>
      </c>
      <c r="M159" s="104">
        <v>1</v>
      </c>
      <c r="N159" s="104">
        <v>10.34</v>
      </c>
      <c r="O159" s="104">
        <v>0</v>
      </c>
    </row>
    <row r="160" spans="1:31">
      <c r="C160" s="104" t="s">
        <v>167</v>
      </c>
      <c r="D160" s="104" t="s">
        <v>168</v>
      </c>
      <c r="E160" s="104">
        <v>100</v>
      </c>
      <c r="F160" s="104">
        <v>500</v>
      </c>
      <c r="G160" s="104" t="s">
        <v>155</v>
      </c>
      <c r="H160" s="106">
        <v>3</v>
      </c>
      <c r="I160" s="104">
        <v>10.210000000000001</v>
      </c>
      <c r="J160" s="104">
        <v>10.35</v>
      </c>
      <c r="K160" s="107" t="b">
        <v>1</v>
      </c>
      <c r="L160" s="107" t="b">
        <v>0</v>
      </c>
      <c r="M160" s="104">
        <v>3</v>
      </c>
      <c r="N160" s="104">
        <v>10.5</v>
      </c>
      <c r="V160" s="104">
        <v>2</v>
      </c>
      <c r="W160" s="104">
        <v>0</v>
      </c>
    </row>
    <row r="161" spans="1:35">
      <c r="C161" s="104" t="s">
        <v>167</v>
      </c>
      <c r="D161" s="104" t="s">
        <v>168</v>
      </c>
      <c r="E161" s="104">
        <v>100</v>
      </c>
      <c r="F161" s="104">
        <v>500</v>
      </c>
      <c r="G161" s="104" t="s">
        <v>156</v>
      </c>
      <c r="H161" s="106">
        <v>3</v>
      </c>
      <c r="I161" s="104">
        <v>10.37</v>
      </c>
      <c r="J161" s="104">
        <v>10.5</v>
      </c>
      <c r="K161" s="107" t="b">
        <v>1</v>
      </c>
      <c r="L161" s="107" t="b">
        <v>0</v>
      </c>
      <c r="M161" s="104">
        <v>3</v>
      </c>
      <c r="N161" s="104">
        <v>11.06</v>
      </c>
      <c r="O161" s="104">
        <v>0</v>
      </c>
    </row>
    <row r="162" spans="1:35">
      <c r="C162" s="104" t="s">
        <v>167</v>
      </c>
      <c r="D162" s="104" t="s">
        <v>168</v>
      </c>
      <c r="E162" s="104">
        <v>100</v>
      </c>
      <c r="F162" s="104">
        <v>500</v>
      </c>
      <c r="G162" s="104" t="s">
        <v>157</v>
      </c>
      <c r="H162" s="106">
        <v>3</v>
      </c>
      <c r="I162" s="104">
        <v>10.53</v>
      </c>
      <c r="J162" s="104">
        <v>11.03</v>
      </c>
      <c r="K162" s="107" t="b">
        <v>1</v>
      </c>
      <c r="L162" s="107" t="b">
        <v>0</v>
      </c>
      <c r="M162" s="104">
        <v>3</v>
      </c>
      <c r="N162" s="104">
        <v>11.19</v>
      </c>
      <c r="O162" s="104">
        <v>0</v>
      </c>
    </row>
    <row r="163" spans="1:35">
      <c r="C163" s="104" t="s">
        <v>167</v>
      </c>
      <c r="D163" s="104" t="s">
        <v>168</v>
      </c>
      <c r="E163" s="104">
        <v>100</v>
      </c>
      <c r="F163" s="104">
        <v>500</v>
      </c>
      <c r="G163" s="104" t="s">
        <v>158</v>
      </c>
      <c r="H163" s="106">
        <v>3</v>
      </c>
      <c r="I163" s="104">
        <v>11.06</v>
      </c>
      <c r="J163" s="104">
        <v>11.19</v>
      </c>
      <c r="K163" s="107" t="b">
        <v>1</v>
      </c>
      <c r="L163" s="107" t="b">
        <v>0</v>
      </c>
      <c r="M163" s="104">
        <v>3</v>
      </c>
      <c r="N163" s="104">
        <v>11.35</v>
      </c>
      <c r="Q163" s="104">
        <v>1</v>
      </c>
      <c r="R163" s="104">
        <v>0</v>
      </c>
    </row>
    <row r="164" spans="1:35">
      <c r="C164" s="104" t="s">
        <v>167</v>
      </c>
      <c r="D164" s="104" t="s">
        <v>168</v>
      </c>
      <c r="E164" s="104">
        <v>100</v>
      </c>
      <c r="F164" s="104">
        <v>500</v>
      </c>
      <c r="G164" s="104" t="s">
        <v>159</v>
      </c>
      <c r="H164" s="106">
        <v>3</v>
      </c>
      <c r="I164" s="104">
        <v>11.21</v>
      </c>
      <c r="J164" s="104">
        <v>11.33</v>
      </c>
      <c r="K164" s="107" t="b">
        <v>1</v>
      </c>
      <c r="L164" s="107" t="b">
        <v>0</v>
      </c>
      <c r="M164" s="104">
        <v>3</v>
      </c>
      <c r="N164" s="104">
        <v>11.48</v>
      </c>
      <c r="O164" s="104">
        <v>0</v>
      </c>
    </row>
    <row r="165" spans="1:35">
      <c r="C165" s="104" t="s">
        <v>167</v>
      </c>
      <c r="D165" s="104" t="s">
        <v>168</v>
      </c>
      <c r="E165" s="104">
        <v>100</v>
      </c>
      <c r="F165" s="104">
        <v>500</v>
      </c>
      <c r="G165" s="104" t="s">
        <v>160</v>
      </c>
      <c r="H165" s="106">
        <v>3</v>
      </c>
      <c r="I165" s="104">
        <v>11.35</v>
      </c>
      <c r="J165" s="104">
        <v>11.48</v>
      </c>
      <c r="K165" s="107" t="b">
        <v>1</v>
      </c>
      <c r="L165" s="107" t="b">
        <v>0</v>
      </c>
      <c r="M165" s="104">
        <v>3</v>
      </c>
      <c r="N165" s="104">
        <v>12.09</v>
      </c>
      <c r="P165" s="104">
        <v>2</v>
      </c>
      <c r="Q165" s="104">
        <v>1</v>
      </c>
      <c r="R165" s="104">
        <v>0</v>
      </c>
    </row>
    <row r="166" spans="1:35">
      <c r="C166" s="104" t="s">
        <v>167</v>
      </c>
      <c r="D166" s="104" t="s">
        <v>168</v>
      </c>
      <c r="E166" s="104">
        <v>100</v>
      </c>
      <c r="F166" s="104">
        <v>500</v>
      </c>
      <c r="G166" s="104" t="s">
        <v>161</v>
      </c>
      <c r="H166" s="106">
        <v>3</v>
      </c>
      <c r="I166" s="104">
        <v>11.5</v>
      </c>
      <c r="J166" s="104">
        <v>12.01</v>
      </c>
      <c r="K166" s="107" t="b">
        <v>1</v>
      </c>
      <c r="L166" s="107" t="b">
        <v>0</v>
      </c>
      <c r="M166" s="104">
        <v>3</v>
      </c>
      <c r="N166" s="104">
        <v>12.17</v>
      </c>
      <c r="O166" s="104">
        <v>0</v>
      </c>
    </row>
    <row r="167" spans="1:35" s="323" customFormat="1" ht="15.75" thickBot="1">
      <c r="C167" s="323" t="s">
        <v>167</v>
      </c>
      <c r="D167" s="323" t="s">
        <v>168</v>
      </c>
      <c r="E167" s="323">
        <v>100</v>
      </c>
      <c r="F167" s="323">
        <v>500</v>
      </c>
      <c r="G167" s="323" t="s">
        <v>162</v>
      </c>
      <c r="H167" s="348">
        <v>1</v>
      </c>
      <c r="I167" s="323">
        <v>12.1</v>
      </c>
      <c r="J167" s="323">
        <v>12.19</v>
      </c>
      <c r="K167" s="349" t="b">
        <v>1</v>
      </c>
      <c r="L167" s="349" t="b">
        <v>0</v>
      </c>
      <c r="M167" s="323">
        <v>1</v>
      </c>
      <c r="N167" s="323">
        <v>12.34</v>
      </c>
      <c r="O167" s="323">
        <v>0</v>
      </c>
    </row>
    <row r="168" spans="1:35">
      <c r="A168" s="104">
        <v>19</v>
      </c>
      <c r="B168" s="105">
        <v>45961</v>
      </c>
      <c r="C168" s="104" t="s">
        <v>169</v>
      </c>
      <c r="D168" s="104" t="s">
        <v>170</v>
      </c>
      <c r="E168" s="104">
        <v>100</v>
      </c>
      <c r="F168" s="104">
        <v>500</v>
      </c>
      <c r="G168" s="376" t="s">
        <v>153</v>
      </c>
      <c r="H168" s="106">
        <v>3</v>
      </c>
      <c r="I168" s="104">
        <v>10.32</v>
      </c>
      <c r="J168" s="104">
        <v>10.42</v>
      </c>
      <c r="K168" s="107" t="b">
        <v>1</v>
      </c>
      <c r="L168" s="107" t="b">
        <v>0</v>
      </c>
      <c r="M168" s="104">
        <v>3</v>
      </c>
      <c r="N168" s="104">
        <v>11</v>
      </c>
      <c r="R168" s="104">
        <v>1</v>
      </c>
      <c r="AE168" s="104">
        <v>1</v>
      </c>
    </row>
    <row r="169" spans="1:35">
      <c r="C169" s="104" t="s">
        <v>169</v>
      </c>
      <c r="D169" s="104" t="s">
        <v>170</v>
      </c>
      <c r="E169" s="104">
        <v>100</v>
      </c>
      <c r="F169" s="104">
        <v>500</v>
      </c>
      <c r="G169" s="376" t="s">
        <v>154</v>
      </c>
      <c r="H169" s="106">
        <v>2</v>
      </c>
      <c r="I169" s="104">
        <v>10.48</v>
      </c>
      <c r="J169" s="104">
        <v>10.57</v>
      </c>
      <c r="K169" s="107" t="b">
        <v>1</v>
      </c>
      <c r="L169" s="107" t="b">
        <v>0</v>
      </c>
      <c r="M169" s="104">
        <v>2</v>
      </c>
      <c r="N169" s="104">
        <v>11.12</v>
      </c>
      <c r="O169" s="104">
        <v>0</v>
      </c>
    </row>
    <row r="170" spans="1:35">
      <c r="C170" s="104" t="s">
        <v>169</v>
      </c>
      <c r="D170" s="104" t="s">
        <v>170</v>
      </c>
      <c r="E170" s="104">
        <v>100</v>
      </c>
      <c r="F170" s="104">
        <v>500</v>
      </c>
      <c r="G170" s="376" t="s">
        <v>155</v>
      </c>
      <c r="H170" s="106">
        <v>4</v>
      </c>
      <c r="I170" s="104">
        <v>10.59</v>
      </c>
      <c r="J170" s="104">
        <v>11.13</v>
      </c>
      <c r="K170" s="107" t="b">
        <v>1</v>
      </c>
      <c r="L170" s="107" t="b">
        <v>0</v>
      </c>
      <c r="M170" s="104">
        <v>4</v>
      </c>
      <c r="N170" s="104">
        <v>11.28</v>
      </c>
      <c r="O170" s="104">
        <v>0</v>
      </c>
    </row>
    <row r="171" spans="1:35">
      <c r="C171" s="104" t="s">
        <v>169</v>
      </c>
      <c r="D171" s="104" t="s">
        <v>170</v>
      </c>
      <c r="E171" s="104">
        <v>100</v>
      </c>
      <c r="F171" s="104">
        <v>500</v>
      </c>
      <c r="G171" s="376" t="s">
        <v>156</v>
      </c>
      <c r="H171" s="106">
        <v>4</v>
      </c>
      <c r="I171" s="104">
        <v>11.14</v>
      </c>
      <c r="J171" s="104">
        <v>11.26</v>
      </c>
      <c r="K171" s="107" t="b">
        <v>1</v>
      </c>
      <c r="L171" s="107" t="b">
        <v>0</v>
      </c>
      <c r="M171" s="104">
        <v>4</v>
      </c>
      <c r="N171" s="104">
        <v>11.41</v>
      </c>
      <c r="R171" s="104">
        <v>1</v>
      </c>
      <c r="AA171" s="104">
        <v>1</v>
      </c>
    </row>
    <row r="172" spans="1:35">
      <c r="C172" s="104" t="s">
        <v>169</v>
      </c>
      <c r="D172" s="104" t="s">
        <v>170</v>
      </c>
      <c r="E172" s="104">
        <v>100</v>
      </c>
      <c r="F172" s="104">
        <v>500</v>
      </c>
      <c r="G172" s="376" t="s">
        <v>157</v>
      </c>
      <c r="H172" s="106">
        <v>4</v>
      </c>
      <c r="I172" s="104">
        <v>11.34</v>
      </c>
      <c r="J172" s="104">
        <v>11.44</v>
      </c>
      <c r="K172" s="107" t="b">
        <v>1</v>
      </c>
      <c r="L172" s="107" t="b">
        <v>0</v>
      </c>
      <c r="M172" s="104">
        <v>4</v>
      </c>
      <c r="N172" s="104">
        <v>12.05</v>
      </c>
      <c r="Q172" s="104">
        <v>3</v>
      </c>
      <c r="AA172" s="104">
        <v>1</v>
      </c>
    </row>
    <row r="173" spans="1:35">
      <c r="C173" s="104" t="s">
        <v>169</v>
      </c>
      <c r="D173" s="104" t="s">
        <v>170</v>
      </c>
      <c r="E173" s="104">
        <v>100</v>
      </c>
      <c r="F173" s="104">
        <v>500</v>
      </c>
      <c r="G173" s="376" t="s">
        <v>158</v>
      </c>
      <c r="H173" s="106">
        <v>4</v>
      </c>
      <c r="I173" s="104">
        <v>11.47</v>
      </c>
      <c r="J173" s="104">
        <v>11.59</v>
      </c>
      <c r="K173" s="107" t="b">
        <v>1</v>
      </c>
      <c r="L173" s="107" t="b">
        <v>0</v>
      </c>
      <c r="M173" s="104">
        <v>4</v>
      </c>
      <c r="N173" s="104">
        <v>12.14</v>
      </c>
      <c r="Q173" s="104">
        <v>4</v>
      </c>
      <c r="AA173" s="104">
        <v>1</v>
      </c>
    </row>
    <row r="174" spans="1:35" s="323" customFormat="1" ht="15.75" thickBot="1">
      <c r="C174" s="323" t="s">
        <v>169</v>
      </c>
      <c r="D174" s="323" t="s">
        <v>170</v>
      </c>
      <c r="E174" s="323">
        <v>100</v>
      </c>
      <c r="F174" s="323">
        <v>500</v>
      </c>
      <c r="G174" s="388" t="s">
        <v>159</v>
      </c>
      <c r="H174" s="348">
        <v>3</v>
      </c>
      <c r="I174" s="323">
        <v>12.02</v>
      </c>
      <c r="J174" s="323">
        <v>12.14</v>
      </c>
      <c r="K174" s="349" t="b">
        <v>1</v>
      </c>
      <c r="L174" s="349" t="b">
        <v>0</v>
      </c>
      <c r="M174" s="323">
        <v>3</v>
      </c>
      <c r="N174" s="323">
        <v>12.3</v>
      </c>
      <c r="O174" s="323">
        <v>1</v>
      </c>
      <c r="T174" s="323">
        <v>1</v>
      </c>
    </row>
    <row r="175" spans="1:35">
      <c r="A175" s="104">
        <v>20</v>
      </c>
      <c r="B175" s="105">
        <v>45964</v>
      </c>
      <c r="C175" s="104" t="s">
        <v>171</v>
      </c>
      <c r="D175" s="104" t="s">
        <v>172</v>
      </c>
      <c r="E175" s="104">
        <v>100</v>
      </c>
      <c r="F175" s="104">
        <v>500</v>
      </c>
      <c r="G175" s="104" t="s">
        <v>153</v>
      </c>
      <c r="H175" s="106">
        <v>3</v>
      </c>
      <c r="I175" s="104">
        <v>10.17</v>
      </c>
      <c r="J175" s="104">
        <v>10.26</v>
      </c>
      <c r="K175" s="107" t="b">
        <v>1</v>
      </c>
      <c r="L175" s="107" t="b">
        <v>0</v>
      </c>
      <c r="M175" s="104">
        <v>3</v>
      </c>
      <c r="N175" s="104">
        <v>10.42</v>
      </c>
      <c r="X175" s="104">
        <v>2</v>
      </c>
      <c r="AE175" s="104">
        <v>1</v>
      </c>
      <c r="AF175" s="104">
        <v>1</v>
      </c>
      <c r="AI175" s="104">
        <v>1</v>
      </c>
    </row>
    <row r="176" spans="1:35">
      <c r="C176" s="104" t="s">
        <v>171</v>
      </c>
      <c r="D176" s="104" t="s">
        <v>172</v>
      </c>
      <c r="E176" s="104">
        <v>100</v>
      </c>
      <c r="F176" s="104">
        <v>500</v>
      </c>
      <c r="G176" s="104" t="s">
        <v>154</v>
      </c>
      <c r="H176" s="106">
        <v>3</v>
      </c>
      <c r="I176" s="104">
        <v>10.29</v>
      </c>
      <c r="J176" s="104">
        <v>10.4</v>
      </c>
      <c r="K176" s="107" t="b">
        <v>1</v>
      </c>
      <c r="L176" s="107" t="b">
        <v>0</v>
      </c>
      <c r="M176" s="104">
        <v>3</v>
      </c>
      <c r="N176" s="104">
        <v>10.54</v>
      </c>
      <c r="O176" s="104">
        <v>0</v>
      </c>
    </row>
    <row r="177" spans="1:35">
      <c r="C177" s="104" t="s">
        <v>171</v>
      </c>
      <c r="D177" s="104" t="s">
        <v>172</v>
      </c>
      <c r="E177" s="104">
        <v>100</v>
      </c>
      <c r="F177" s="104">
        <v>500</v>
      </c>
      <c r="G177" s="104" t="s">
        <v>155</v>
      </c>
      <c r="H177" s="106">
        <v>3</v>
      </c>
      <c r="I177" s="104">
        <v>11</v>
      </c>
      <c r="J177" s="104">
        <v>11.07</v>
      </c>
      <c r="K177" s="107" t="b">
        <v>1</v>
      </c>
      <c r="L177" s="107" t="b">
        <v>0</v>
      </c>
      <c r="M177" s="104">
        <v>3</v>
      </c>
      <c r="N177" s="104">
        <v>11.23</v>
      </c>
      <c r="O177" s="104">
        <v>0</v>
      </c>
    </row>
    <row r="178" spans="1:35">
      <c r="C178" s="104" t="s">
        <v>171</v>
      </c>
      <c r="D178" s="104" t="s">
        <v>172</v>
      </c>
      <c r="E178" s="104">
        <v>100</v>
      </c>
      <c r="F178" s="104">
        <v>500</v>
      </c>
      <c r="G178" s="104" t="s">
        <v>156</v>
      </c>
      <c r="H178" s="106">
        <v>3</v>
      </c>
      <c r="I178" s="104">
        <v>11.17</v>
      </c>
      <c r="J178" s="104">
        <v>11.25</v>
      </c>
      <c r="K178" s="107" t="b">
        <v>1</v>
      </c>
      <c r="L178" s="107" t="b">
        <v>0</v>
      </c>
      <c r="M178" s="104">
        <v>3</v>
      </c>
      <c r="N178" s="104">
        <v>11.4</v>
      </c>
      <c r="O178" s="104">
        <v>0</v>
      </c>
    </row>
    <row r="179" spans="1:35">
      <c r="C179" s="104" t="s">
        <v>171</v>
      </c>
      <c r="D179" s="104" t="s">
        <v>172</v>
      </c>
      <c r="E179" s="104">
        <v>100</v>
      </c>
      <c r="F179" s="104">
        <v>500</v>
      </c>
      <c r="G179" s="104" t="s">
        <v>157</v>
      </c>
      <c r="H179" s="106">
        <v>3</v>
      </c>
      <c r="I179" s="104">
        <v>11.4</v>
      </c>
      <c r="J179" s="104">
        <v>11.54</v>
      </c>
      <c r="K179" s="107" t="b">
        <v>1</v>
      </c>
      <c r="L179" s="107" t="b">
        <v>0</v>
      </c>
      <c r="M179" s="104">
        <v>3</v>
      </c>
      <c r="N179" s="104">
        <v>12.09</v>
      </c>
      <c r="O179" s="104">
        <v>0</v>
      </c>
    </row>
    <row r="180" spans="1:35">
      <c r="C180" s="104" t="s">
        <v>171</v>
      </c>
      <c r="D180" s="104" t="s">
        <v>172</v>
      </c>
      <c r="E180" s="104">
        <v>100</v>
      </c>
      <c r="F180" s="104">
        <v>500</v>
      </c>
      <c r="G180" s="104" t="s">
        <v>158</v>
      </c>
      <c r="H180" s="106">
        <v>4</v>
      </c>
      <c r="I180" s="104">
        <v>12.02</v>
      </c>
      <c r="J180" s="104">
        <v>12.16</v>
      </c>
      <c r="K180" s="107" t="b">
        <v>1</v>
      </c>
      <c r="L180" s="107" t="b">
        <v>0</v>
      </c>
      <c r="M180" s="104">
        <v>4</v>
      </c>
      <c r="N180" s="104">
        <v>12.3</v>
      </c>
      <c r="O180" s="104">
        <v>1</v>
      </c>
      <c r="P180" s="104">
        <v>1</v>
      </c>
      <c r="Q180" s="104">
        <v>0</v>
      </c>
    </row>
    <row r="181" spans="1:35">
      <c r="C181" s="104" t="s">
        <v>171</v>
      </c>
      <c r="D181" s="104" t="s">
        <v>172</v>
      </c>
      <c r="E181" s="104">
        <v>100</v>
      </c>
      <c r="F181" s="104">
        <v>500</v>
      </c>
      <c r="G181" s="104" t="s">
        <v>159</v>
      </c>
      <c r="H181" s="106">
        <v>4</v>
      </c>
      <c r="I181" s="104">
        <v>12.24</v>
      </c>
      <c r="J181" s="104">
        <v>12.32</v>
      </c>
      <c r="K181" s="107" t="b">
        <v>1</v>
      </c>
      <c r="L181" s="107" t="b">
        <v>0</v>
      </c>
      <c r="M181" s="104">
        <v>4</v>
      </c>
      <c r="N181" s="104">
        <v>12.48</v>
      </c>
      <c r="O181" s="104">
        <v>1</v>
      </c>
      <c r="P181" s="104">
        <v>1</v>
      </c>
      <c r="Q181" s="104">
        <v>0</v>
      </c>
    </row>
    <row r="182" spans="1:35">
      <c r="C182" s="104" t="s">
        <v>171</v>
      </c>
      <c r="D182" s="104" t="s">
        <v>172</v>
      </c>
      <c r="E182" s="104">
        <v>100</v>
      </c>
      <c r="F182" s="104">
        <v>500</v>
      </c>
      <c r="G182" s="104" t="s">
        <v>160</v>
      </c>
      <c r="H182" s="106">
        <v>4</v>
      </c>
      <c r="I182" s="104">
        <v>12.34</v>
      </c>
      <c r="J182" s="104">
        <v>12.47</v>
      </c>
      <c r="K182" s="107" t="b">
        <v>1</v>
      </c>
      <c r="L182" s="107" t="b">
        <v>0</v>
      </c>
      <c r="M182" s="104">
        <v>4</v>
      </c>
      <c r="N182" s="104">
        <v>13.03</v>
      </c>
      <c r="X182" s="104">
        <v>1</v>
      </c>
      <c r="AA182" s="104">
        <v>1</v>
      </c>
      <c r="AC182" s="104">
        <v>1</v>
      </c>
    </row>
    <row r="183" spans="1:35">
      <c r="C183" s="104" t="s">
        <v>171</v>
      </c>
      <c r="D183" s="104" t="s">
        <v>172</v>
      </c>
      <c r="E183" s="104">
        <v>100</v>
      </c>
      <c r="F183" s="104">
        <v>500</v>
      </c>
      <c r="G183" s="104" t="s">
        <v>144</v>
      </c>
      <c r="H183" s="106">
        <v>3</v>
      </c>
      <c r="I183" s="104" t="s">
        <v>61</v>
      </c>
      <c r="J183" s="104" t="s">
        <v>61</v>
      </c>
      <c r="K183" s="107" t="b">
        <v>1</v>
      </c>
      <c r="L183" s="107" t="b">
        <v>0</v>
      </c>
      <c r="M183" s="104">
        <v>3</v>
      </c>
      <c r="N183" s="104">
        <v>10.55</v>
      </c>
      <c r="X183" s="104">
        <v>1</v>
      </c>
      <c r="AA183" s="104">
        <v>1</v>
      </c>
      <c r="AB183" s="104">
        <v>1</v>
      </c>
      <c r="AI183" s="104">
        <v>1</v>
      </c>
    </row>
    <row r="184" spans="1:35">
      <c r="C184" s="104" t="s">
        <v>171</v>
      </c>
      <c r="D184" s="104" t="s">
        <v>172</v>
      </c>
      <c r="E184" s="104">
        <v>100</v>
      </c>
      <c r="F184" s="104">
        <v>500</v>
      </c>
      <c r="G184" s="104" t="s">
        <v>145</v>
      </c>
      <c r="H184" s="106">
        <v>5</v>
      </c>
      <c r="I184" s="104" t="s">
        <v>61</v>
      </c>
      <c r="J184" s="104" t="s">
        <v>61</v>
      </c>
      <c r="K184" s="107" t="b">
        <v>1</v>
      </c>
      <c r="L184" s="107" t="b">
        <v>0</v>
      </c>
      <c r="M184" s="104">
        <v>5</v>
      </c>
      <c r="N184" s="104">
        <v>11.24</v>
      </c>
      <c r="V184" s="104">
        <v>4</v>
      </c>
      <c r="W184" s="104">
        <v>4</v>
      </c>
      <c r="AA184" s="104">
        <v>4</v>
      </c>
      <c r="AC184" s="104">
        <v>4</v>
      </c>
      <c r="AF184" s="104">
        <v>2</v>
      </c>
    </row>
    <row r="185" spans="1:35">
      <c r="C185" s="104" t="s">
        <v>171</v>
      </c>
      <c r="D185" s="104" t="s">
        <v>172</v>
      </c>
      <c r="E185" s="104">
        <v>100</v>
      </c>
      <c r="F185" s="104">
        <v>500</v>
      </c>
      <c r="G185" s="104" t="s">
        <v>146</v>
      </c>
      <c r="H185" s="106">
        <v>3</v>
      </c>
      <c r="I185" s="104" t="s">
        <v>61</v>
      </c>
      <c r="J185" s="104" t="s">
        <v>61</v>
      </c>
      <c r="K185" s="107" t="b">
        <v>1</v>
      </c>
      <c r="L185" s="107" t="b">
        <v>0</v>
      </c>
      <c r="M185" s="104">
        <v>3</v>
      </c>
      <c r="N185" s="104">
        <v>11.38</v>
      </c>
      <c r="O185" s="104">
        <v>0</v>
      </c>
    </row>
    <row r="186" spans="1:35">
      <c r="C186" s="104" t="s">
        <v>171</v>
      </c>
      <c r="D186" s="104" t="s">
        <v>172</v>
      </c>
      <c r="E186" s="104">
        <v>100</v>
      </c>
      <c r="F186" s="104">
        <v>500</v>
      </c>
      <c r="G186" s="104" t="s">
        <v>147</v>
      </c>
      <c r="H186" s="106">
        <v>5</v>
      </c>
      <c r="I186" s="104" t="s">
        <v>61</v>
      </c>
      <c r="J186" s="104" t="s">
        <v>61</v>
      </c>
      <c r="K186" s="107" t="b">
        <v>1</v>
      </c>
      <c r="L186" s="107" t="b">
        <v>0</v>
      </c>
      <c r="M186" s="104">
        <v>5</v>
      </c>
      <c r="N186" s="104">
        <v>12</v>
      </c>
      <c r="U186" s="104">
        <v>1</v>
      </c>
      <c r="Z186" s="104">
        <v>1</v>
      </c>
      <c r="AC186" s="104">
        <v>1</v>
      </c>
    </row>
    <row r="187" spans="1:35">
      <c r="C187" s="104" t="s">
        <v>171</v>
      </c>
      <c r="D187" s="104" t="s">
        <v>172</v>
      </c>
      <c r="E187" s="104">
        <v>100</v>
      </c>
      <c r="F187" s="104">
        <v>500</v>
      </c>
      <c r="G187" s="104" t="s">
        <v>148</v>
      </c>
      <c r="H187" s="106">
        <v>4</v>
      </c>
      <c r="I187" s="104" t="s">
        <v>61</v>
      </c>
      <c r="J187" s="104" t="s">
        <v>61</v>
      </c>
      <c r="K187" s="107" t="b">
        <v>1</v>
      </c>
      <c r="L187" s="107" t="b">
        <v>0</v>
      </c>
      <c r="M187" s="104">
        <v>4</v>
      </c>
      <c r="N187" s="104">
        <v>12.18</v>
      </c>
      <c r="U187" s="104">
        <v>2</v>
      </c>
      <c r="X187" s="104">
        <v>2</v>
      </c>
      <c r="AA187" s="104">
        <v>1</v>
      </c>
      <c r="AE187" s="104">
        <v>1</v>
      </c>
    </row>
    <row r="188" spans="1:35">
      <c r="C188" s="104" t="s">
        <v>171</v>
      </c>
      <c r="D188" s="104" t="s">
        <v>172</v>
      </c>
      <c r="E188" s="104">
        <v>100</v>
      </c>
      <c r="F188" s="104">
        <v>500</v>
      </c>
      <c r="G188" s="104" t="s">
        <v>149</v>
      </c>
      <c r="H188" s="106">
        <v>4</v>
      </c>
      <c r="I188" s="104" t="s">
        <v>61</v>
      </c>
      <c r="J188" s="104" t="s">
        <v>61</v>
      </c>
      <c r="K188" s="107" t="b">
        <v>1</v>
      </c>
      <c r="L188" s="107" t="b">
        <v>0</v>
      </c>
      <c r="M188" s="104">
        <v>4</v>
      </c>
      <c r="N188" s="104">
        <v>12.32</v>
      </c>
      <c r="Q188" s="104">
        <v>2</v>
      </c>
      <c r="R188" s="104">
        <v>2</v>
      </c>
      <c r="W188" s="104">
        <v>2</v>
      </c>
      <c r="AA188" s="104">
        <v>1</v>
      </c>
      <c r="AE188" s="104">
        <v>1</v>
      </c>
    </row>
    <row r="189" spans="1:35">
      <c r="C189" s="104" t="s">
        <v>171</v>
      </c>
      <c r="D189" s="104" t="s">
        <v>172</v>
      </c>
      <c r="E189" s="104">
        <v>100</v>
      </c>
      <c r="F189" s="104">
        <v>500</v>
      </c>
      <c r="G189" s="104" t="s">
        <v>150</v>
      </c>
      <c r="H189" s="106">
        <v>4</v>
      </c>
      <c r="I189" s="104" t="s">
        <v>61</v>
      </c>
      <c r="J189" s="104" t="s">
        <v>61</v>
      </c>
      <c r="K189" s="107" t="b">
        <v>1</v>
      </c>
      <c r="L189" s="107" t="b">
        <v>0</v>
      </c>
      <c r="M189" s="104">
        <v>4</v>
      </c>
      <c r="N189" s="104">
        <v>12.46</v>
      </c>
      <c r="O189" s="104">
        <v>0</v>
      </c>
    </row>
    <row r="190" spans="1:35" s="323" customFormat="1" ht="15.75" thickBot="1">
      <c r="C190" s="323" t="s">
        <v>171</v>
      </c>
      <c r="D190" s="323" t="s">
        <v>172</v>
      </c>
      <c r="E190" s="323">
        <v>100</v>
      </c>
      <c r="F190" s="323">
        <v>500</v>
      </c>
      <c r="G190" s="323" t="s">
        <v>173</v>
      </c>
      <c r="H190" s="348">
        <v>5</v>
      </c>
      <c r="I190" s="323" t="s">
        <v>61</v>
      </c>
      <c r="J190" s="323" t="s">
        <v>61</v>
      </c>
      <c r="K190" s="349" t="b">
        <v>1</v>
      </c>
      <c r="L190" s="349" t="b">
        <v>0</v>
      </c>
      <c r="M190" s="323">
        <v>5</v>
      </c>
      <c r="N190" s="323">
        <v>13.04</v>
      </c>
      <c r="Q190" s="323">
        <v>2</v>
      </c>
      <c r="X190" s="323">
        <v>2</v>
      </c>
      <c r="AA190" s="323">
        <v>2</v>
      </c>
      <c r="AC190" s="323">
        <v>1</v>
      </c>
      <c r="AI190" s="323">
        <v>1</v>
      </c>
    </row>
    <row r="191" spans="1:35">
      <c r="A191" s="104">
        <v>21</v>
      </c>
      <c r="B191" s="105">
        <v>45968</v>
      </c>
      <c r="C191" s="104" t="s">
        <v>174</v>
      </c>
      <c r="D191" s="104" t="s">
        <v>175</v>
      </c>
      <c r="E191" s="104">
        <v>100</v>
      </c>
      <c r="F191" s="104">
        <v>500</v>
      </c>
      <c r="G191" s="104" t="s">
        <v>153</v>
      </c>
      <c r="H191" s="106">
        <v>4</v>
      </c>
      <c r="I191" s="104">
        <v>10.17</v>
      </c>
      <c r="J191" s="104">
        <v>10.35</v>
      </c>
      <c r="K191" s="107" t="b">
        <v>1</v>
      </c>
      <c r="L191" s="107" t="b">
        <v>0</v>
      </c>
      <c r="M191" s="104">
        <v>4</v>
      </c>
      <c r="N191" s="104">
        <v>10.51</v>
      </c>
      <c r="V191" s="104">
        <v>3</v>
      </c>
      <c r="AA191" s="104">
        <v>3</v>
      </c>
      <c r="AB191" s="104">
        <v>2</v>
      </c>
      <c r="AC191" s="104">
        <v>2</v>
      </c>
      <c r="AE191" s="104">
        <v>2</v>
      </c>
      <c r="AF191" s="104">
        <v>1</v>
      </c>
      <c r="AG191" s="104">
        <v>1</v>
      </c>
      <c r="AH191" s="104">
        <v>1</v>
      </c>
      <c r="AI191" s="104">
        <v>1</v>
      </c>
    </row>
    <row r="192" spans="1:35">
      <c r="C192" s="104" t="s">
        <v>174</v>
      </c>
      <c r="D192" s="104" t="s">
        <v>175</v>
      </c>
      <c r="E192" s="104">
        <v>100</v>
      </c>
      <c r="F192" s="104">
        <v>500</v>
      </c>
      <c r="G192" s="104" t="s">
        <v>154</v>
      </c>
      <c r="H192" s="106">
        <v>5</v>
      </c>
      <c r="I192" s="104">
        <v>10.51</v>
      </c>
      <c r="J192" s="104">
        <v>11.05</v>
      </c>
      <c r="K192" s="107" t="b">
        <v>1</v>
      </c>
      <c r="L192" s="107" t="b">
        <v>0</v>
      </c>
      <c r="M192" s="104">
        <v>5</v>
      </c>
      <c r="N192" s="104">
        <v>11.21</v>
      </c>
    </row>
    <row r="193" spans="1:35">
      <c r="C193" s="104" t="s">
        <v>174</v>
      </c>
      <c r="D193" s="104" t="s">
        <v>175</v>
      </c>
      <c r="E193" s="104">
        <v>100</v>
      </c>
      <c r="F193" s="104">
        <v>500</v>
      </c>
      <c r="G193" s="104" t="s">
        <v>155</v>
      </c>
      <c r="H193" s="106">
        <v>4</v>
      </c>
      <c r="I193" s="104">
        <v>11.15</v>
      </c>
      <c r="J193" s="104">
        <v>11.3</v>
      </c>
      <c r="K193" s="107" t="b">
        <v>1</v>
      </c>
      <c r="L193" s="107" t="b">
        <v>0</v>
      </c>
      <c r="M193" s="104">
        <v>4</v>
      </c>
      <c r="N193" s="104">
        <v>11.44</v>
      </c>
    </row>
    <row r="194" spans="1:35">
      <c r="C194" s="104" t="s">
        <v>174</v>
      </c>
      <c r="D194" s="104" t="s">
        <v>175</v>
      </c>
      <c r="E194" s="104">
        <v>100</v>
      </c>
      <c r="F194" s="104">
        <v>500</v>
      </c>
      <c r="G194" s="104" t="s">
        <v>156</v>
      </c>
      <c r="H194" s="106">
        <v>4</v>
      </c>
      <c r="I194" s="104">
        <v>11.33</v>
      </c>
      <c r="J194" s="104">
        <v>11.46</v>
      </c>
      <c r="K194" s="107" t="b">
        <v>1</v>
      </c>
      <c r="L194" s="107" t="b">
        <v>0</v>
      </c>
      <c r="M194" s="104">
        <v>4</v>
      </c>
      <c r="N194" s="104">
        <v>12.02</v>
      </c>
    </row>
    <row r="195" spans="1:35">
      <c r="C195" s="104" t="s">
        <v>174</v>
      </c>
      <c r="D195" s="104" t="s">
        <v>175</v>
      </c>
      <c r="E195" s="104">
        <v>100</v>
      </c>
      <c r="F195" s="104">
        <v>500</v>
      </c>
      <c r="G195" s="104" t="s">
        <v>157</v>
      </c>
      <c r="H195" s="106">
        <v>3</v>
      </c>
      <c r="I195" s="104">
        <v>11.48</v>
      </c>
      <c r="J195" s="104">
        <v>11.58</v>
      </c>
      <c r="K195" s="107" t="b">
        <v>1</v>
      </c>
      <c r="L195" s="107" t="b">
        <v>0</v>
      </c>
      <c r="M195" s="104">
        <v>3</v>
      </c>
      <c r="N195" s="104">
        <v>12.14</v>
      </c>
    </row>
    <row r="196" spans="1:35" s="323" customFormat="1" ht="15.75" thickBot="1">
      <c r="C196" s="323" t="s">
        <v>174</v>
      </c>
      <c r="D196" s="323" t="s">
        <v>175</v>
      </c>
      <c r="E196" s="323">
        <v>100</v>
      </c>
      <c r="F196" s="323">
        <v>500</v>
      </c>
      <c r="G196" s="323" t="s">
        <v>158</v>
      </c>
      <c r="H196" s="348">
        <v>3</v>
      </c>
      <c r="I196" s="323">
        <v>12</v>
      </c>
      <c r="J196" s="323">
        <v>12.1</v>
      </c>
      <c r="K196" s="349" t="b">
        <v>1</v>
      </c>
      <c r="L196" s="349" t="b">
        <v>0</v>
      </c>
      <c r="M196" s="323">
        <v>3</v>
      </c>
      <c r="N196" s="323">
        <v>12.26</v>
      </c>
    </row>
    <row r="197" spans="1:35">
      <c r="A197" s="104">
        <v>22</v>
      </c>
      <c r="B197" s="105">
        <v>45971</v>
      </c>
      <c r="D197" s="104" t="s">
        <v>176</v>
      </c>
      <c r="E197" s="104">
        <v>100</v>
      </c>
      <c r="F197" s="104">
        <v>500</v>
      </c>
      <c r="G197" s="104" t="s">
        <v>153</v>
      </c>
      <c r="H197" s="106">
        <v>4</v>
      </c>
      <c r="I197" s="104">
        <v>10.37</v>
      </c>
      <c r="J197" s="104">
        <v>11.49</v>
      </c>
      <c r="K197" s="107" t="b">
        <v>1</v>
      </c>
      <c r="L197" s="107" t="b">
        <v>0</v>
      </c>
      <c r="M197" s="104">
        <v>4</v>
      </c>
      <c r="N197" s="104">
        <v>11.05</v>
      </c>
      <c r="W197" s="104">
        <v>3</v>
      </c>
      <c r="AA197" s="104">
        <v>2</v>
      </c>
      <c r="AB197" s="104">
        <v>2</v>
      </c>
      <c r="AC197" s="104">
        <v>2</v>
      </c>
      <c r="AD197" s="104">
        <v>0</v>
      </c>
    </row>
    <row r="198" spans="1:35">
      <c r="D198" s="104" t="s">
        <v>176</v>
      </c>
      <c r="E198" s="104">
        <v>100</v>
      </c>
      <c r="F198" s="104">
        <v>500</v>
      </c>
      <c r="G198" s="104" t="s">
        <v>154</v>
      </c>
      <c r="H198" s="106">
        <v>4</v>
      </c>
      <c r="I198" s="104">
        <v>10.52</v>
      </c>
      <c r="J198" s="104">
        <v>11.05</v>
      </c>
      <c r="K198" s="107" t="b">
        <v>1</v>
      </c>
      <c r="L198" s="107" t="b">
        <v>0</v>
      </c>
      <c r="M198" s="104">
        <v>4</v>
      </c>
      <c r="N198" s="104">
        <v>11.23</v>
      </c>
      <c r="U198" s="104">
        <v>2</v>
      </c>
      <c r="Y198" s="104">
        <v>2</v>
      </c>
      <c r="Z198" s="104">
        <v>2</v>
      </c>
      <c r="AA198" s="104">
        <v>2</v>
      </c>
      <c r="AB198" s="104">
        <v>2</v>
      </c>
      <c r="AC198" s="104">
        <v>1</v>
      </c>
      <c r="AD198" s="104">
        <v>1</v>
      </c>
    </row>
    <row r="199" spans="1:35">
      <c r="D199" s="104" t="s">
        <v>176</v>
      </c>
      <c r="E199" s="104">
        <v>100</v>
      </c>
      <c r="F199" s="104">
        <v>500</v>
      </c>
      <c r="G199" s="104" t="s">
        <v>155</v>
      </c>
      <c r="H199" s="106">
        <v>4</v>
      </c>
      <c r="I199" s="104">
        <v>11.08</v>
      </c>
      <c r="J199" s="104">
        <v>11.2</v>
      </c>
      <c r="K199" s="107" t="b">
        <v>1</v>
      </c>
      <c r="L199" s="107" t="b">
        <v>0</v>
      </c>
      <c r="M199" s="104">
        <v>4</v>
      </c>
      <c r="N199" s="104">
        <v>11.34</v>
      </c>
      <c r="V199" s="104">
        <v>2</v>
      </c>
      <c r="Z199" s="104">
        <v>2</v>
      </c>
      <c r="AB199" s="104">
        <v>1</v>
      </c>
      <c r="AF199" s="104">
        <v>1</v>
      </c>
      <c r="AG199" s="104">
        <v>1</v>
      </c>
      <c r="AH199" s="104">
        <v>0</v>
      </c>
    </row>
    <row r="200" spans="1:35">
      <c r="D200" s="104" t="s">
        <v>176</v>
      </c>
      <c r="E200" s="104">
        <v>100</v>
      </c>
      <c r="F200" s="104">
        <v>500</v>
      </c>
      <c r="G200" s="104" t="s">
        <v>156</v>
      </c>
      <c r="H200" s="106">
        <v>4</v>
      </c>
      <c r="I200" s="104">
        <v>11.25</v>
      </c>
      <c r="J200" s="104">
        <v>11.38</v>
      </c>
      <c r="K200" s="107" t="b">
        <v>1</v>
      </c>
      <c r="L200" s="107" t="b">
        <v>0</v>
      </c>
      <c r="M200" s="104">
        <v>4</v>
      </c>
      <c r="N200" s="104">
        <v>11.53</v>
      </c>
      <c r="U200" s="104">
        <v>2</v>
      </c>
      <c r="Z200" s="104">
        <v>2</v>
      </c>
      <c r="AA200" s="104">
        <v>2</v>
      </c>
      <c r="AB200" s="104">
        <v>2</v>
      </c>
      <c r="AC200" s="104">
        <v>0</v>
      </c>
    </row>
    <row r="201" spans="1:35">
      <c r="D201" s="104" t="s">
        <v>176</v>
      </c>
      <c r="E201" s="104">
        <v>100</v>
      </c>
      <c r="F201" s="104">
        <v>500</v>
      </c>
      <c r="G201" s="104" t="s">
        <v>157</v>
      </c>
      <c r="H201" s="106">
        <v>4</v>
      </c>
      <c r="I201" s="104">
        <v>11.4</v>
      </c>
      <c r="J201" s="104">
        <v>11.53</v>
      </c>
      <c r="K201" s="107" t="b">
        <v>1</v>
      </c>
      <c r="L201" s="107" t="b">
        <v>0</v>
      </c>
      <c r="M201" s="104">
        <v>4</v>
      </c>
      <c r="N201" s="104">
        <v>12.08</v>
      </c>
      <c r="T201" s="104">
        <v>1</v>
      </c>
      <c r="X201" s="104">
        <v>1</v>
      </c>
      <c r="Z201" s="104">
        <v>1</v>
      </c>
      <c r="AA201" s="104">
        <v>0</v>
      </c>
    </row>
    <row r="202" spans="1:35">
      <c r="D202" s="104" t="s">
        <v>176</v>
      </c>
      <c r="E202" s="104">
        <v>100</v>
      </c>
      <c r="F202" s="104">
        <v>500</v>
      </c>
      <c r="G202" s="104" t="s">
        <v>158</v>
      </c>
      <c r="H202" s="106">
        <v>4</v>
      </c>
      <c r="I202" s="104">
        <v>12</v>
      </c>
      <c r="J202" s="104">
        <v>12.1</v>
      </c>
      <c r="K202" s="107" t="b">
        <v>1</v>
      </c>
      <c r="L202" s="107" t="b">
        <v>0</v>
      </c>
      <c r="M202" s="104">
        <v>4</v>
      </c>
      <c r="N202" s="104">
        <v>12.25</v>
      </c>
      <c r="O202" s="104">
        <v>0</v>
      </c>
    </row>
    <row r="203" spans="1:35">
      <c r="D203" s="104" t="s">
        <v>176</v>
      </c>
      <c r="E203" s="104">
        <v>100</v>
      </c>
      <c r="F203" s="104">
        <v>500</v>
      </c>
      <c r="G203" s="104" t="s">
        <v>159</v>
      </c>
      <c r="H203" s="106">
        <v>4</v>
      </c>
      <c r="I203" s="104">
        <v>12.12</v>
      </c>
      <c r="J203" s="104">
        <v>12.23</v>
      </c>
      <c r="K203" s="107" t="b">
        <v>1</v>
      </c>
      <c r="L203" s="107" t="b">
        <v>0</v>
      </c>
      <c r="M203" s="104">
        <v>4</v>
      </c>
      <c r="N203" s="104">
        <v>12.39</v>
      </c>
      <c r="R203" s="104">
        <v>2</v>
      </c>
      <c r="X203" s="104">
        <v>2</v>
      </c>
      <c r="Z203" s="104">
        <v>2</v>
      </c>
      <c r="AB203" s="104">
        <v>2</v>
      </c>
      <c r="AC203" s="104">
        <v>1</v>
      </c>
      <c r="AF203" s="104">
        <v>1</v>
      </c>
      <c r="AG203" s="104">
        <v>0</v>
      </c>
    </row>
    <row r="204" spans="1:35" s="323" customFormat="1" ht="15.75" thickBot="1">
      <c r="D204" s="323" t="s">
        <v>176</v>
      </c>
      <c r="E204" s="323">
        <v>100</v>
      </c>
      <c r="F204" s="323">
        <v>500</v>
      </c>
      <c r="G204" s="323" t="s">
        <v>160</v>
      </c>
      <c r="H204" s="348">
        <v>3</v>
      </c>
      <c r="I204" s="323">
        <v>12.25</v>
      </c>
      <c r="J204" s="323">
        <v>12.37</v>
      </c>
      <c r="K204" s="349" t="b">
        <v>1</v>
      </c>
      <c r="L204" s="349" t="b">
        <v>0</v>
      </c>
      <c r="M204" s="323">
        <v>3</v>
      </c>
      <c r="N204" s="323">
        <v>12.41</v>
      </c>
      <c r="R204" s="323">
        <v>1</v>
      </c>
      <c r="V204" s="323">
        <v>1</v>
      </c>
      <c r="X204" s="323">
        <v>1</v>
      </c>
      <c r="AA204" s="323">
        <v>1</v>
      </c>
      <c r="AB204" s="323">
        <v>0</v>
      </c>
    </row>
    <row r="205" spans="1:35">
      <c r="A205" s="104">
        <v>23</v>
      </c>
      <c r="B205" s="105">
        <v>45979</v>
      </c>
      <c r="C205" s="104" t="s">
        <v>228</v>
      </c>
      <c r="D205" s="104" t="s">
        <v>229</v>
      </c>
      <c r="E205" s="104">
        <v>100</v>
      </c>
      <c r="F205" s="104">
        <v>500</v>
      </c>
      <c r="G205" s="104" t="s">
        <v>153</v>
      </c>
      <c r="H205" s="106">
        <v>4</v>
      </c>
      <c r="I205" s="104">
        <v>10.07</v>
      </c>
      <c r="J205" s="104">
        <v>10.210000000000001</v>
      </c>
      <c r="K205" s="107" t="b">
        <v>1</v>
      </c>
      <c r="L205" s="107" t="b">
        <v>0</v>
      </c>
      <c r="M205" s="104">
        <v>4</v>
      </c>
      <c r="N205" s="104">
        <v>10.36</v>
      </c>
      <c r="W205" s="104">
        <v>3</v>
      </c>
      <c r="AA205" s="104">
        <v>3</v>
      </c>
      <c r="AC205" s="104">
        <v>3</v>
      </c>
      <c r="AF205" s="104">
        <v>2</v>
      </c>
      <c r="AG205" s="104">
        <v>2</v>
      </c>
      <c r="AH205" s="104">
        <v>2</v>
      </c>
      <c r="AI205" s="104">
        <v>0</v>
      </c>
    </row>
    <row r="206" spans="1:35">
      <c r="A206" s="104" t="s">
        <v>230</v>
      </c>
      <c r="C206" s="104" t="s">
        <v>228</v>
      </c>
      <c r="D206" s="104" t="s">
        <v>229</v>
      </c>
      <c r="E206" s="104">
        <v>100</v>
      </c>
      <c r="F206" s="104">
        <v>500</v>
      </c>
      <c r="G206" s="104" t="s">
        <v>154</v>
      </c>
      <c r="H206" s="106">
        <v>2</v>
      </c>
      <c r="I206" s="104">
        <v>10.24</v>
      </c>
      <c r="J206" s="104">
        <v>10.33</v>
      </c>
      <c r="K206" s="107" t="b">
        <v>1</v>
      </c>
      <c r="L206" s="107" t="b">
        <v>0</v>
      </c>
      <c r="M206" s="104">
        <v>2</v>
      </c>
      <c r="N206" s="104">
        <v>10.48</v>
      </c>
      <c r="V206" s="104">
        <v>1</v>
      </c>
      <c r="AC206" s="104">
        <v>1</v>
      </c>
      <c r="AE206" s="104">
        <v>1</v>
      </c>
      <c r="AG206" s="104">
        <v>1</v>
      </c>
      <c r="AH206" s="104">
        <v>1</v>
      </c>
    </row>
    <row r="207" spans="1:35">
      <c r="C207" s="104" t="s">
        <v>228</v>
      </c>
      <c r="D207" s="104" t="s">
        <v>229</v>
      </c>
      <c r="E207" s="104">
        <v>100</v>
      </c>
      <c r="F207" s="104">
        <v>500</v>
      </c>
      <c r="G207" s="104" t="s">
        <v>155</v>
      </c>
      <c r="H207" s="106">
        <v>3</v>
      </c>
      <c r="I207" s="104">
        <v>10.37</v>
      </c>
      <c r="J207" s="104">
        <v>10.5</v>
      </c>
      <c r="K207" s="107" t="b">
        <v>1</v>
      </c>
      <c r="L207" s="107" t="b">
        <v>0</v>
      </c>
      <c r="M207" s="104">
        <v>3</v>
      </c>
      <c r="N207" s="104">
        <v>11.06</v>
      </c>
      <c r="U207" s="104">
        <v>1</v>
      </c>
      <c r="AC207" s="104">
        <v>1</v>
      </c>
    </row>
    <row r="208" spans="1:35">
      <c r="C208" s="104" t="s">
        <v>228</v>
      </c>
      <c r="D208" s="104" t="s">
        <v>229</v>
      </c>
      <c r="E208" s="104">
        <v>100</v>
      </c>
      <c r="F208" s="104">
        <v>500</v>
      </c>
      <c r="G208" s="104" t="s">
        <v>156</v>
      </c>
      <c r="H208" s="106">
        <v>4</v>
      </c>
      <c r="I208" s="104">
        <v>10.55</v>
      </c>
      <c r="J208" s="104">
        <v>11.1</v>
      </c>
      <c r="K208" s="107" t="b">
        <v>1</v>
      </c>
      <c r="L208" s="107" t="b">
        <v>0</v>
      </c>
      <c r="M208" s="104">
        <v>4</v>
      </c>
      <c r="N208" s="104">
        <v>11.25</v>
      </c>
      <c r="O208" s="104">
        <v>0</v>
      </c>
    </row>
    <row r="209" spans="1:35">
      <c r="C209" s="104" t="s">
        <v>228</v>
      </c>
      <c r="D209" s="104" t="s">
        <v>229</v>
      </c>
      <c r="E209" s="104">
        <v>100</v>
      </c>
      <c r="F209" s="104">
        <v>500</v>
      </c>
      <c r="G209" s="104" t="s">
        <v>157</v>
      </c>
      <c r="H209" s="106">
        <v>3</v>
      </c>
      <c r="I209" s="104">
        <v>11.24</v>
      </c>
      <c r="J209" s="104">
        <v>11.35</v>
      </c>
      <c r="K209" s="107" t="b">
        <v>1</v>
      </c>
      <c r="L209" s="107" t="b">
        <v>0</v>
      </c>
      <c r="M209" s="104">
        <v>3</v>
      </c>
      <c r="N209" s="104">
        <v>11.5</v>
      </c>
      <c r="O209" s="104">
        <v>0</v>
      </c>
    </row>
    <row r="210" spans="1:35" s="109" customFormat="1">
      <c r="C210" s="109" t="s">
        <v>228</v>
      </c>
      <c r="D210" s="109" t="s">
        <v>229</v>
      </c>
      <c r="E210" s="109">
        <v>100</v>
      </c>
      <c r="F210" s="109">
        <v>500</v>
      </c>
      <c r="G210" s="109" t="s">
        <v>158</v>
      </c>
      <c r="H210" s="111">
        <v>4</v>
      </c>
      <c r="I210" s="109">
        <v>11.4</v>
      </c>
      <c r="J210" s="109">
        <v>11.51</v>
      </c>
      <c r="K210" s="112" t="b">
        <v>1</v>
      </c>
      <c r="L210" s="112" t="b">
        <v>0</v>
      </c>
      <c r="M210" s="109">
        <v>4</v>
      </c>
      <c r="N210" s="109">
        <v>12.06</v>
      </c>
      <c r="R210" s="109">
        <v>1</v>
      </c>
      <c r="Z210" s="109">
        <v>1</v>
      </c>
      <c r="AC210" s="109">
        <v>1</v>
      </c>
      <c r="AG210" s="109">
        <v>1</v>
      </c>
    </row>
    <row r="211" spans="1:35">
      <c r="A211" s="104">
        <v>24</v>
      </c>
      <c r="B211" s="105">
        <v>45981</v>
      </c>
      <c r="D211" s="104" t="s">
        <v>541</v>
      </c>
      <c r="E211" s="104">
        <v>100</v>
      </c>
      <c r="F211" s="104">
        <v>500</v>
      </c>
      <c r="G211" s="104" t="s">
        <v>153</v>
      </c>
      <c r="H211" s="106">
        <v>3</v>
      </c>
      <c r="I211" s="104">
        <v>10.15</v>
      </c>
      <c r="J211" s="104">
        <v>10.27</v>
      </c>
      <c r="K211" s="107" t="b">
        <v>1</v>
      </c>
      <c r="L211" s="107" t="b">
        <v>0</v>
      </c>
      <c r="M211" s="104">
        <v>3</v>
      </c>
      <c r="N211" s="104">
        <v>10.42</v>
      </c>
      <c r="O211" s="104">
        <v>0</v>
      </c>
    </row>
    <row r="212" spans="1:35">
      <c r="D212" s="104" t="s">
        <v>541</v>
      </c>
      <c r="E212" s="104">
        <v>100</v>
      </c>
      <c r="F212" s="104">
        <v>500</v>
      </c>
      <c r="G212" s="104" t="s">
        <v>154</v>
      </c>
      <c r="H212" s="106">
        <v>2</v>
      </c>
      <c r="I212" s="104">
        <v>10.32</v>
      </c>
      <c r="J212" s="104">
        <v>10.38</v>
      </c>
      <c r="K212" s="107" t="b">
        <v>1</v>
      </c>
      <c r="L212" s="107" t="b">
        <v>0</v>
      </c>
      <c r="M212" s="104">
        <v>2</v>
      </c>
      <c r="N212" s="104">
        <v>10.53</v>
      </c>
      <c r="AA212" s="104">
        <v>2</v>
      </c>
    </row>
    <row r="213" spans="1:35">
      <c r="D213" s="104" t="s">
        <v>541</v>
      </c>
      <c r="E213" s="104">
        <v>100</v>
      </c>
      <c r="F213" s="104">
        <v>500</v>
      </c>
      <c r="G213" s="104" t="s">
        <v>155</v>
      </c>
      <c r="H213" s="106">
        <v>1</v>
      </c>
      <c r="I213" s="104">
        <v>10.4</v>
      </c>
      <c r="J213" s="104">
        <v>10.46</v>
      </c>
      <c r="K213" s="107" t="b">
        <v>1</v>
      </c>
      <c r="L213" s="107" t="b">
        <v>0</v>
      </c>
      <c r="M213" s="104">
        <v>1</v>
      </c>
      <c r="N213" s="104">
        <v>11.01</v>
      </c>
      <c r="O213" s="104">
        <v>0</v>
      </c>
    </row>
    <row r="214" spans="1:35">
      <c r="D214" s="104" t="s">
        <v>541</v>
      </c>
      <c r="E214" s="104">
        <v>100</v>
      </c>
      <c r="F214" s="104">
        <v>500</v>
      </c>
      <c r="G214" s="104" t="s">
        <v>156</v>
      </c>
      <c r="H214" s="106">
        <v>3</v>
      </c>
      <c r="I214" s="104">
        <v>10.48</v>
      </c>
      <c r="J214" s="104">
        <v>11</v>
      </c>
      <c r="K214" s="107" t="b">
        <v>1</v>
      </c>
      <c r="L214" s="107" t="b">
        <v>0</v>
      </c>
      <c r="M214" s="104">
        <v>3</v>
      </c>
      <c r="N214" s="104">
        <v>11.14</v>
      </c>
      <c r="W214" s="104">
        <v>1</v>
      </c>
      <c r="Y214" s="104">
        <v>1</v>
      </c>
    </row>
    <row r="215" spans="1:35">
      <c r="D215" s="104" t="s">
        <v>541</v>
      </c>
      <c r="E215" s="104">
        <v>100</v>
      </c>
      <c r="F215" s="104">
        <v>500</v>
      </c>
      <c r="G215" s="104" t="s">
        <v>157</v>
      </c>
      <c r="H215" s="106">
        <v>2</v>
      </c>
      <c r="I215" s="104">
        <v>11.03</v>
      </c>
      <c r="J215" s="104">
        <v>11.09</v>
      </c>
      <c r="K215" s="107" t="b">
        <v>1</v>
      </c>
      <c r="L215" s="107" t="b">
        <v>0</v>
      </c>
      <c r="M215" s="104">
        <v>2</v>
      </c>
      <c r="N215" s="104">
        <v>11.25</v>
      </c>
      <c r="Z215" s="104">
        <v>2</v>
      </c>
      <c r="AC215" s="104">
        <v>2</v>
      </c>
      <c r="AI215" s="104">
        <v>2</v>
      </c>
    </row>
    <row r="216" spans="1:35">
      <c r="D216" s="104" t="s">
        <v>541</v>
      </c>
      <c r="E216" s="104">
        <v>100</v>
      </c>
      <c r="F216" s="104">
        <v>500</v>
      </c>
      <c r="G216" s="104" t="s">
        <v>158</v>
      </c>
      <c r="H216" s="106">
        <v>3</v>
      </c>
      <c r="I216" s="104">
        <v>11.13</v>
      </c>
      <c r="J216" s="104">
        <v>11.21</v>
      </c>
      <c r="K216" s="107" t="b">
        <v>1</v>
      </c>
      <c r="L216" s="107" t="b">
        <v>0</v>
      </c>
      <c r="M216" s="104">
        <v>3</v>
      </c>
      <c r="N216" s="104">
        <v>11.37</v>
      </c>
      <c r="X216" s="104">
        <v>1</v>
      </c>
      <c r="AB216" s="104">
        <v>1</v>
      </c>
    </row>
    <row r="217" spans="1:35">
      <c r="D217" s="104" t="s">
        <v>541</v>
      </c>
      <c r="E217" s="104">
        <v>100</v>
      </c>
      <c r="F217" s="104">
        <v>500</v>
      </c>
      <c r="G217" s="104" t="s">
        <v>159</v>
      </c>
      <c r="H217" s="106">
        <v>3</v>
      </c>
      <c r="I217" s="104">
        <v>11.26</v>
      </c>
      <c r="J217" s="104">
        <v>11.35</v>
      </c>
      <c r="K217" s="107" t="b">
        <v>1</v>
      </c>
      <c r="L217" s="107" t="b">
        <v>0</v>
      </c>
      <c r="M217" s="104">
        <v>3</v>
      </c>
      <c r="N217" s="104">
        <v>11.53</v>
      </c>
      <c r="O217" s="104">
        <v>0</v>
      </c>
    </row>
    <row r="218" spans="1:35" s="109" customFormat="1">
      <c r="D218" s="109" t="s">
        <v>541</v>
      </c>
      <c r="E218" s="109">
        <v>100</v>
      </c>
      <c r="F218" s="109">
        <v>500</v>
      </c>
      <c r="G218" s="109" t="s">
        <v>160</v>
      </c>
      <c r="H218" s="111">
        <v>2</v>
      </c>
      <c r="I218" s="109">
        <v>12.45</v>
      </c>
      <c r="J218" s="109">
        <v>11.58</v>
      </c>
      <c r="K218" s="112" t="b">
        <v>1</v>
      </c>
      <c r="L218" s="112" t="b">
        <v>0</v>
      </c>
      <c r="M218" s="109">
        <v>2</v>
      </c>
      <c r="N218" s="109">
        <v>12.05</v>
      </c>
      <c r="O218" s="109">
        <v>0</v>
      </c>
    </row>
    <row r="219" spans="1:35">
      <c r="A219" s="104">
        <v>25</v>
      </c>
      <c r="B219" s="105">
        <v>45986</v>
      </c>
      <c r="D219" s="104" t="s">
        <v>544</v>
      </c>
      <c r="E219" s="104">
        <v>100</v>
      </c>
      <c r="F219" s="104">
        <v>500</v>
      </c>
      <c r="G219" s="104" t="s">
        <v>153</v>
      </c>
      <c r="H219" s="106">
        <v>4</v>
      </c>
      <c r="I219" s="104">
        <v>10.06</v>
      </c>
      <c r="J219" s="104">
        <v>10.16</v>
      </c>
      <c r="K219" s="107" t="b">
        <v>1</v>
      </c>
      <c r="L219" s="107" t="b">
        <v>0</v>
      </c>
      <c r="M219" s="104">
        <v>4</v>
      </c>
      <c r="N219" s="104">
        <v>10.34</v>
      </c>
      <c r="U219" s="104">
        <v>2</v>
      </c>
      <c r="Z219" s="104">
        <v>2</v>
      </c>
      <c r="AD219" s="104">
        <v>1</v>
      </c>
      <c r="AG219" s="104">
        <v>1</v>
      </c>
    </row>
    <row r="220" spans="1:35">
      <c r="D220" s="104" t="s">
        <v>544</v>
      </c>
      <c r="E220" s="104">
        <v>100</v>
      </c>
      <c r="F220" s="104">
        <v>500</v>
      </c>
      <c r="G220" s="104" t="s">
        <v>154</v>
      </c>
      <c r="H220" s="106">
        <v>3</v>
      </c>
      <c r="I220" s="104">
        <v>10.19</v>
      </c>
      <c r="J220" s="104">
        <v>10.25</v>
      </c>
      <c r="K220" s="107" t="b">
        <v>1</v>
      </c>
      <c r="L220" s="107" t="b">
        <v>0</v>
      </c>
      <c r="M220" s="104">
        <v>3</v>
      </c>
      <c r="N220" s="104">
        <v>10.44</v>
      </c>
      <c r="V220" s="104">
        <v>3</v>
      </c>
      <c r="AB220" s="104">
        <v>3</v>
      </c>
      <c r="AD220" s="104">
        <v>3</v>
      </c>
      <c r="AG220" s="104">
        <v>2</v>
      </c>
      <c r="AI220" s="104">
        <v>1</v>
      </c>
    </row>
    <row r="221" spans="1:35">
      <c r="D221" s="104" t="s">
        <v>544</v>
      </c>
      <c r="E221" s="104">
        <v>100</v>
      </c>
      <c r="F221" s="104">
        <v>500</v>
      </c>
      <c r="G221" s="104" t="s">
        <v>155</v>
      </c>
      <c r="H221" s="106">
        <v>4</v>
      </c>
      <c r="I221" s="104">
        <v>10.35</v>
      </c>
      <c r="J221" s="104">
        <v>10.45</v>
      </c>
      <c r="K221" s="107" t="b">
        <v>1</v>
      </c>
      <c r="L221" s="107" t="b">
        <v>0</v>
      </c>
      <c r="M221" s="104">
        <v>4</v>
      </c>
      <c r="N221" s="104">
        <v>11.01</v>
      </c>
      <c r="V221" s="104">
        <v>2</v>
      </c>
      <c r="AA221" s="104">
        <v>2</v>
      </c>
      <c r="AE221" s="104">
        <v>1</v>
      </c>
      <c r="AG221" s="104">
        <v>1</v>
      </c>
      <c r="AI221" s="104">
        <v>1</v>
      </c>
    </row>
    <row r="222" spans="1:35">
      <c r="D222" s="104" t="s">
        <v>544</v>
      </c>
      <c r="E222" s="104">
        <v>100</v>
      </c>
      <c r="F222" s="104">
        <v>500</v>
      </c>
      <c r="G222" s="104" t="s">
        <v>156</v>
      </c>
      <c r="H222" s="106">
        <v>2</v>
      </c>
      <c r="I222" s="104">
        <v>10.48</v>
      </c>
      <c r="J222" s="104">
        <v>11.59</v>
      </c>
      <c r="K222" s="107" t="b">
        <v>1</v>
      </c>
      <c r="L222" s="107" t="b">
        <v>0</v>
      </c>
      <c r="M222" s="104">
        <v>2</v>
      </c>
      <c r="N222" s="104">
        <v>11.13</v>
      </c>
      <c r="U222" s="104">
        <v>2</v>
      </c>
      <c r="Y222" s="104">
        <v>2</v>
      </c>
      <c r="AB222" s="104">
        <v>2</v>
      </c>
      <c r="AD222" s="104">
        <v>2</v>
      </c>
      <c r="AG222" s="104">
        <v>1</v>
      </c>
    </row>
    <row r="223" spans="1:35">
      <c r="D223" s="104" t="s">
        <v>544</v>
      </c>
      <c r="E223" s="104">
        <v>100</v>
      </c>
      <c r="F223" s="104">
        <v>500</v>
      </c>
      <c r="G223" s="104" t="s">
        <v>157</v>
      </c>
      <c r="H223" s="106">
        <v>2</v>
      </c>
      <c r="I223" s="104">
        <v>11.1</v>
      </c>
      <c r="J223" s="104">
        <v>11.23</v>
      </c>
      <c r="K223" s="107" t="b">
        <v>1</v>
      </c>
      <c r="L223" s="107" t="b">
        <v>0</v>
      </c>
      <c r="M223" s="104">
        <v>2</v>
      </c>
      <c r="N223" s="104">
        <v>11.37</v>
      </c>
      <c r="P223" s="104">
        <v>2</v>
      </c>
    </row>
    <row r="224" spans="1:35">
      <c r="D224" s="104" t="s">
        <v>544</v>
      </c>
      <c r="E224" s="104">
        <v>100</v>
      </c>
      <c r="F224" s="104">
        <v>500</v>
      </c>
      <c r="G224" s="104" t="s">
        <v>158</v>
      </c>
      <c r="H224" s="106">
        <v>2</v>
      </c>
      <c r="I224" s="104">
        <v>11.26</v>
      </c>
      <c r="J224" s="104">
        <v>11.32</v>
      </c>
      <c r="K224" s="107" t="b">
        <v>1</v>
      </c>
      <c r="L224" s="107" t="b">
        <v>0</v>
      </c>
      <c r="M224" s="104">
        <v>2</v>
      </c>
      <c r="N224" s="104">
        <v>11.48</v>
      </c>
      <c r="Q224" s="104">
        <v>1</v>
      </c>
      <c r="V224" s="104">
        <v>1</v>
      </c>
      <c r="X224" s="104">
        <v>1</v>
      </c>
    </row>
    <row r="225" spans="1:35" s="109" customFormat="1">
      <c r="D225" s="109" t="s">
        <v>544</v>
      </c>
      <c r="E225" s="109">
        <v>100</v>
      </c>
      <c r="F225" s="109">
        <v>500</v>
      </c>
      <c r="G225" s="109" t="s">
        <v>159</v>
      </c>
      <c r="H225" s="111">
        <v>3</v>
      </c>
      <c r="I225" s="109">
        <v>11.37</v>
      </c>
      <c r="J225" s="109">
        <v>11.49</v>
      </c>
      <c r="K225" s="112" t="b">
        <v>1</v>
      </c>
      <c r="L225" s="112" t="b">
        <v>0</v>
      </c>
      <c r="M225" s="109">
        <v>3</v>
      </c>
      <c r="N225" s="109">
        <v>12.03</v>
      </c>
      <c r="R225" s="109">
        <v>1</v>
      </c>
      <c r="V225" s="109">
        <v>1</v>
      </c>
      <c r="AC225" s="109">
        <v>1</v>
      </c>
      <c r="AE225" s="109">
        <v>1</v>
      </c>
    </row>
    <row r="226" spans="1:35">
      <c r="A226" s="104">
        <v>26</v>
      </c>
      <c r="B226" s="105">
        <v>45988</v>
      </c>
      <c r="D226" s="104" t="s">
        <v>546</v>
      </c>
      <c r="E226" s="104">
        <v>100</v>
      </c>
      <c r="F226" s="104">
        <v>500</v>
      </c>
      <c r="G226" s="104" t="s">
        <v>153</v>
      </c>
      <c r="H226" s="106">
        <v>3</v>
      </c>
      <c r="I226" s="104">
        <v>10.15</v>
      </c>
      <c r="J226" s="104">
        <v>10.24</v>
      </c>
      <c r="K226" s="107" t="b">
        <v>1</v>
      </c>
      <c r="L226" s="107" t="b">
        <v>0</v>
      </c>
      <c r="M226" s="104">
        <v>3</v>
      </c>
      <c r="N226" s="104">
        <v>10.41</v>
      </c>
      <c r="W226" s="104">
        <v>2</v>
      </c>
      <c r="AC226" s="104">
        <v>1</v>
      </c>
      <c r="AG226" s="104">
        <v>1</v>
      </c>
    </row>
    <row r="227" spans="1:35">
      <c r="D227" s="104" t="s">
        <v>546</v>
      </c>
      <c r="E227" s="104">
        <v>100</v>
      </c>
      <c r="F227" s="104">
        <v>500</v>
      </c>
      <c r="G227" s="104" t="s">
        <v>154</v>
      </c>
      <c r="H227" s="106">
        <v>3</v>
      </c>
      <c r="I227" s="104">
        <v>10.28</v>
      </c>
      <c r="J227" s="104">
        <v>10.36</v>
      </c>
      <c r="K227" s="107" t="b">
        <v>1</v>
      </c>
      <c r="L227" s="107" t="b">
        <v>0</v>
      </c>
      <c r="M227" s="104">
        <v>3</v>
      </c>
      <c r="N227" s="104">
        <v>10.52</v>
      </c>
      <c r="W227" s="104">
        <v>2</v>
      </c>
      <c r="AF227" s="104">
        <v>2</v>
      </c>
      <c r="AG227" s="104">
        <v>2</v>
      </c>
      <c r="AH227" s="104">
        <v>2</v>
      </c>
      <c r="AI227" s="104">
        <v>1</v>
      </c>
    </row>
    <row r="228" spans="1:35">
      <c r="D228" s="104" t="s">
        <v>546</v>
      </c>
      <c r="E228" s="104">
        <v>100</v>
      </c>
      <c r="F228" s="104">
        <v>500</v>
      </c>
      <c r="G228" s="104" t="s">
        <v>155</v>
      </c>
      <c r="H228" s="106">
        <v>3</v>
      </c>
      <c r="I228" s="104">
        <v>10.38</v>
      </c>
      <c r="J228" s="104">
        <v>10.53</v>
      </c>
      <c r="K228" s="107" t="b">
        <v>1</v>
      </c>
      <c r="L228" s="107" t="b">
        <v>0</v>
      </c>
      <c r="M228" s="104">
        <v>3</v>
      </c>
      <c r="N228" s="104">
        <v>11.09</v>
      </c>
      <c r="V228" s="104">
        <v>2</v>
      </c>
      <c r="AF228" s="104">
        <v>2</v>
      </c>
      <c r="AG228" s="104">
        <v>1</v>
      </c>
      <c r="AI228" s="104">
        <v>1</v>
      </c>
    </row>
    <row r="229" spans="1:35">
      <c r="D229" s="104" t="s">
        <v>546</v>
      </c>
      <c r="E229" s="104">
        <v>100</v>
      </c>
      <c r="F229" s="104">
        <v>500</v>
      </c>
      <c r="G229" s="104" t="s">
        <v>156</v>
      </c>
      <c r="H229" s="106">
        <v>3</v>
      </c>
      <c r="I229" s="104">
        <v>11.02</v>
      </c>
      <c r="J229" s="104">
        <v>11.12</v>
      </c>
      <c r="K229" s="107" t="b">
        <v>1</v>
      </c>
      <c r="L229" s="107" t="b">
        <v>0</v>
      </c>
      <c r="M229" s="104">
        <v>3</v>
      </c>
      <c r="N229" s="104">
        <v>11.26</v>
      </c>
      <c r="U229" s="104">
        <v>2</v>
      </c>
      <c r="AE229" s="104">
        <v>2</v>
      </c>
      <c r="AF229" s="104">
        <v>2</v>
      </c>
      <c r="AG229" s="104">
        <v>2</v>
      </c>
      <c r="AI229" s="104">
        <v>1</v>
      </c>
    </row>
    <row r="230" spans="1:35">
      <c r="D230" s="104" t="s">
        <v>546</v>
      </c>
      <c r="E230" s="104">
        <v>100</v>
      </c>
      <c r="F230" s="104">
        <v>500</v>
      </c>
      <c r="G230" s="104" t="s">
        <v>157</v>
      </c>
      <c r="H230" s="106">
        <v>3</v>
      </c>
      <c r="I230" s="104">
        <v>11.24</v>
      </c>
      <c r="J230" s="104">
        <v>11.37</v>
      </c>
      <c r="K230" s="107" t="b">
        <v>1</v>
      </c>
      <c r="L230" s="107" t="b">
        <v>0</v>
      </c>
      <c r="M230" s="104">
        <v>3</v>
      </c>
      <c r="N230" s="104">
        <v>11.53</v>
      </c>
      <c r="O230" s="104">
        <v>1</v>
      </c>
      <c r="R230" s="104">
        <v>2</v>
      </c>
      <c r="AD230" s="104">
        <v>2</v>
      </c>
      <c r="AF230" s="104">
        <v>2</v>
      </c>
      <c r="AI230" s="104">
        <v>1</v>
      </c>
    </row>
    <row r="231" spans="1:35">
      <c r="D231" s="104" t="s">
        <v>546</v>
      </c>
      <c r="E231" s="104">
        <v>100</v>
      </c>
      <c r="F231" s="104">
        <v>500</v>
      </c>
      <c r="G231" s="104" t="s">
        <v>158</v>
      </c>
      <c r="H231" s="106">
        <v>3</v>
      </c>
      <c r="I231" s="104">
        <v>11.42</v>
      </c>
      <c r="J231" s="104">
        <v>11.52</v>
      </c>
      <c r="K231" s="107" t="b">
        <v>1</v>
      </c>
      <c r="L231" s="107" t="b">
        <v>0</v>
      </c>
      <c r="M231" s="104">
        <v>3</v>
      </c>
      <c r="N231" s="104">
        <v>12.07</v>
      </c>
      <c r="P231" s="104">
        <v>3</v>
      </c>
      <c r="R231" s="104">
        <v>3</v>
      </c>
      <c r="AE231" s="104">
        <v>1</v>
      </c>
      <c r="AG231" s="104">
        <v>1</v>
      </c>
      <c r="AI231" s="104">
        <v>1</v>
      </c>
    </row>
    <row r="232" spans="1:35">
      <c r="D232" s="104" t="s">
        <v>546</v>
      </c>
      <c r="E232" s="104">
        <v>100</v>
      </c>
      <c r="F232" s="104">
        <v>500</v>
      </c>
      <c r="G232" s="104" t="s">
        <v>159</v>
      </c>
      <c r="H232" s="106">
        <v>1</v>
      </c>
      <c r="I232" s="104">
        <v>11.54</v>
      </c>
      <c r="J232" s="104">
        <v>12.02</v>
      </c>
      <c r="K232" s="107" t="b">
        <v>1</v>
      </c>
      <c r="L232" s="107" t="b">
        <v>0</v>
      </c>
      <c r="M232" s="104">
        <v>1</v>
      </c>
      <c r="N232" s="104">
        <v>12.13</v>
      </c>
      <c r="Q232" s="104">
        <v>1</v>
      </c>
      <c r="AD232" s="104">
        <v>1</v>
      </c>
      <c r="AE232" s="104">
        <v>1</v>
      </c>
      <c r="AI232" s="104">
        <v>1</v>
      </c>
    </row>
    <row r="233" spans="1:35">
      <c r="D233" s="104" t="s">
        <v>546</v>
      </c>
      <c r="E233" s="104">
        <v>100</v>
      </c>
      <c r="F233" s="104">
        <v>500</v>
      </c>
      <c r="G233" s="104" t="s">
        <v>160</v>
      </c>
      <c r="H233" s="106">
        <v>2</v>
      </c>
      <c r="I233" s="104">
        <v>12.06</v>
      </c>
      <c r="J233" s="104">
        <v>12.18</v>
      </c>
      <c r="K233" s="107" t="b">
        <v>1</v>
      </c>
      <c r="L233" s="107" t="b">
        <v>0</v>
      </c>
      <c r="M233" s="104">
        <v>2</v>
      </c>
      <c r="N233" s="104">
        <v>12.35</v>
      </c>
      <c r="O233" s="104">
        <v>0</v>
      </c>
    </row>
    <row r="234" spans="1:35">
      <c r="D234" s="104" t="s">
        <v>546</v>
      </c>
      <c r="E234" s="104">
        <v>100</v>
      </c>
      <c r="F234" s="104">
        <v>500</v>
      </c>
      <c r="G234" s="104" t="s">
        <v>144</v>
      </c>
      <c r="H234" s="106">
        <v>5</v>
      </c>
      <c r="I234" s="104" t="s">
        <v>61</v>
      </c>
      <c r="J234" s="104" t="s">
        <v>61</v>
      </c>
      <c r="K234" s="104" t="s">
        <v>61</v>
      </c>
      <c r="L234" s="104" t="s">
        <v>61</v>
      </c>
      <c r="M234" s="104">
        <v>5</v>
      </c>
      <c r="N234" s="104">
        <v>10.49</v>
      </c>
      <c r="U234" s="104">
        <v>1</v>
      </c>
      <c r="AH234" s="104">
        <v>1</v>
      </c>
      <c r="AI234" s="104">
        <v>1</v>
      </c>
    </row>
    <row r="235" spans="1:35">
      <c r="D235" s="104" t="s">
        <v>546</v>
      </c>
      <c r="E235" s="104">
        <v>100</v>
      </c>
      <c r="F235" s="104">
        <v>500</v>
      </c>
      <c r="G235" s="104" t="s">
        <v>145</v>
      </c>
      <c r="H235" s="106">
        <v>4</v>
      </c>
      <c r="I235" s="104" t="s">
        <v>61</v>
      </c>
      <c r="J235" s="104" t="s">
        <v>61</v>
      </c>
      <c r="K235" s="104" t="s">
        <v>61</v>
      </c>
      <c r="L235" s="104" t="s">
        <v>61</v>
      </c>
      <c r="M235" s="104">
        <v>4</v>
      </c>
      <c r="N235" s="104">
        <v>11.02</v>
      </c>
      <c r="P235" s="104">
        <v>1</v>
      </c>
    </row>
    <row r="236" spans="1:35">
      <c r="D236" s="104" t="s">
        <v>546</v>
      </c>
      <c r="E236" s="104">
        <v>100</v>
      </c>
      <c r="F236" s="104">
        <v>500</v>
      </c>
      <c r="G236" s="104" t="s">
        <v>146</v>
      </c>
      <c r="H236" s="106">
        <v>5</v>
      </c>
      <c r="I236" s="104" t="s">
        <v>61</v>
      </c>
      <c r="J236" s="104" t="s">
        <v>61</v>
      </c>
      <c r="K236" s="104" t="s">
        <v>61</v>
      </c>
      <c r="L236" s="104" t="s">
        <v>61</v>
      </c>
      <c r="M236" s="104">
        <v>5</v>
      </c>
      <c r="N236" s="104">
        <v>11.37</v>
      </c>
      <c r="V236" s="104">
        <v>4</v>
      </c>
      <c r="AD236" s="104">
        <v>1</v>
      </c>
      <c r="AI236" s="104">
        <v>1</v>
      </c>
    </row>
    <row r="237" spans="1:35">
      <c r="D237" s="104" t="s">
        <v>546</v>
      </c>
      <c r="E237" s="104">
        <v>100</v>
      </c>
      <c r="F237" s="104">
        <v>500</v>
      </c>
      <c r="G237" s="104" t="s">
        <v>147</v>
      </c>
      <c r="H237" s="106">
        <v>5</v>
      </c>
      <c r="I237" s="104" t="s">
        <v>61</v>
      </c>
      <c r="J237" s="104" t="s">
        <v>61</v>
      </c>
      <c r="K237" s="104" t="s">
        <v>61</v>
      </c>
      <c r="L237" s="104" t="s">
        <v>61</v>
      </c>
      <c r="M237" s="104">
        <v>5</v>
      </c>
      <c r="N237" s="104">
        <v>11.55</v>
      </c>
      <c r="S237" s="104">
        <v>4</v>
      </c>
      <c r="AC237" s="104">
        <v>1</v>
      </c>
    </row>
    <row r="238" spans="1:35">
      <c r="D238" s="104" t="s">
        <v>546</v>
      </c>
      <c r="E238" s="104">
        <v>100</v>
      </c>
      <c r="F238" s="104">
        <v>500</v>
      </c>
      <c r="G238" s="104" t="s">
        <v>148</v>
      </c>
      <c r="H238" s="106">
        <v>5</v>
      </c>
      <c r="I238" s="104" t="s">
        <v>61</v>
      </c>
      <c r="J238" s="104" t="s">
        <v>61</v>
      </c>
      <c r="K238" s="104" t="s">
        <v>61</v>
      </c>
      <c r="L238" s="104" t="s">
        <v>61</v>
      </c>
      <c r="M238" s="104">
        <v>5</v>
      </c>
      <c r="N238" s="104">
        <v>12.13</v>
      </c>
      <c r="R238" s="104">
        <v>2</v>
      </c>
      <c r="AC238" s="104">
        <v>2</v>
      </c>
    </row>
    <row r="239" spans="1:35" s="323" customFormat="1" ht="15.75" thickBot="1">
      <c r="D239" s="323" t="s">
        <v>546</v>
      </c>
      <c r="E239" s="323">
        <v>100</v>
      </c>
      <c r="F239" s="323">
        <v>500</v>
      </c>
      <c r="G239" s="323" t="s">
        <v>149</v>
      </c>
      <c r="H239" s="348">
        <v>5</v>
      </c>
      <c r="I239" s="323" t="s">
        <v>61</v>
      </c>
      <c r="J239" s="323" t="s">
        <v>61</v>
      </c>
      <c r="K239" s="323" t="s">
        <v>61</v>
      </c>
      <c r="L239" s="323" t="s">
        <v>61</v>
      </c>
      <c r="M239" s="323">
        <v>5</v>
      </c>
      <c r="N239" s="323">
        <v>12.35</v>
      </c>
      <c r="P239" s="323">
        <v>1</v>
      </c>
      <c r="X239" s="323">
        <v>1</v>
      </c>
      <c r="Z239" s="323">
        <v>1</v>
      </c>
    </row>
  </sheetData>
  <mergeCells count="35">
    <mergeCell ref="H1:H2"/>
    <mergeCell ref="A1:A2"/>
    <mergeCell ref="B1:B2"/>
    <mergeCell ref="C1:C2"/>
    <mergeCell ref="E1:F1"/>
    <mergeCell ref="G1:G2"/>
    <mergeCell ref="V1:V2"/>
    <mergeCell ref="I1:J1"/>
    <mergeCell ref="K1:L1"/>
    <mergeCell ref="M1:M2"/>
    <mergeCell ref="N1:N2"/>
    <mergeCell ref="P1:P2"/>
    <mergeCell ref="Q1:Q2"/>
    <mergeCell ref="R1:R2"/>
    <mergeCell ref="S1:S2"/>
    <mergeCell ref="T1:T2"/>
    <mergeCell ref="U1:U2"/>
    <mergeCell ref="O1:O2"/>
    <mergeCell ref="AH1:AH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I1:AI2"/>
    <mergeCell ref="AJ1:AJ2"/>
    <mergeCell ref="AK1:AK2"/>
    <mergeCell ref="AK10:AK12"/>
    <mergeCell ref="AK19:AK25"/>
  </mergeCells>
  <phoneticPr fontId="1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B7D7-68CE-4632-9A5F-4B9209316F04}">
  <sheetPr>
    <tabColor rgb="FFFFFF00"/>
  </sheetPr>
  <dimension ref="A1:AL176"/>
  <sheetViews>
    <sheetView topLeftCell="D1" zoomScale="85" zoomScaleNormal="85" workbookViewId="0">
      <pane ySplit="3" topLeftCell="A4" activePane="bottomLeft" state="frozen"/>
      <selection activeCell="J1" sqref="J1"/>
      <selection pane="bottomLeft" activeCell="H145" sqref="H145:J151"/>
    </sheetView>
  </sheetViews>
  <sheetFormatPr defaultRowHeight="15"/>
  <cols>
    <col min="1" max="1" width="8.85546875" style="120"/>
    <col min="2" max="2" width="13.140625" style="105" bestFit="1" customWidth="1"/>
    <col min="3" max="3" width="17.140625" style="104" bestFit="1" customWidth="1"/>
    <col min="4" max="4" width="25.140625" bestFit="1" customWidth="1"/>
    <col min="5" max="5" width="8.85546875" style="104"/>
    <col min="6" max="7" width="8.85546875" style="116"/>
    <col min="8" max="8" width="8.85546875" style="117"/>
    <col min="9" max="9" width="8.85546875" style="104"/>
    <col min="10" max="10" width="8.85546875" style="116"/>
    <col min="11" max="11" width="8.85546875" style="447"/>
    <col min="12" max="12" width="14.140625" style="448" bestFit="1" customWidth="1"/>
    <col min="13" max="32" width="8.85546875" style="378"/>
    <col min="33" max="34" width="12.140625" style="378" bestFit="1" customWidth="1"/>
    <col min="35" max="35" width="8.140625" style="378" bestFit="1" customWidth="1"/>
    <col min="36" max="36" width="35.7109375" style="11" customWidth="1"/>
    <col min="37" max="37" width="26.28515625" bestFit="1" customWidth="1"/>
  </cols>
  <sheetData>
    <row r="1" spans="1:37" s="114" customFormat="1">
      <c r="A1" s="689" t="s">
        <v>45</v>
      </c>
      <c r="B1" s="712" t="s">
        <v>0</v>
      </c>
      <c r="C1" s="689" t="s">
        <v>1</v>
      </c>
      <c r="D1" s="90" t="s">
        <v>2</v>
      </c>
      <c r="E1" s="689" t="s">
        <v>3</v>
      </c>
      <c r="F1" s="701"/>
      <c r="G1" s="614" t="s">
        <v>5</v>
      </c>
      <c r="H1" s="606" t="s">
        <v>6</v>
      </c>
      <c r="I1" s="608" t="s">
        <v>7</v>
      </c>
      <c r="J1" s="718"/>
      <c r="K1" s="719" t="s">
        <v>177</v>
      </c>
      <c r="L1" s="720" t="s">
        <v>46</v>
      </c>
      <c r="M1" s="716" t="s">
        <v>178</v>
      </c>
      <c r="N1" s="704" t="s">
        <v>16</v>
      </c>
      <c r="O1" s="704" t="s">
        <v>17</v>
      </c>
      <c r="P1" s="704" t="s">
        <v>18</v>
      </c>
      <c r="Q1" s="708" t="s">
        <v>19</v>
      </c>
      <c r="R1" s="704" t="s">
        <v>20</v>
      </c>
      <c r="S1" s="708" t="s">
        <v>21</v>
      </c>
      <c r="T1" s="708" t="s">
        <v>22</v>
      </c>
      <c r="U1" s="708" t="s">
        <v>23</v>
      </c>
      <c r="V1" s="708" t="s">
        <v>24</v>
      </c>
      <c r="W1" s="704" t="s">
        <v>25</v>
      </c>
      <c r="X1" s="704" t="s">
        <v>26</v>
      </c>
      <c r="Y1" s="704" t="s">
        <v>27</v>
      </c>
      <c r="Z1" s="708" t="s">
        <v>28</v>
      </c>
      <c r="AA1" s="708" t="s">
        <v>29</v>
      </c>
      <c r="AB1" s="708" t="s">
        <v>30</v>
      </c>
      <c r="AC1" s="708" t="s">
        <v>31</v>
      </c>
      <c r="AD1" s="708" t="s">
        <v>32</v>
      </c>
      <c r="AE1" s="704" t="s">
        <v>33</v>
      </c>
      <c r="AF1" s="704" t="s">
        <v>34</v>
      </c>
      <c r="AG1" s="706" t="s">
        <v>47</v>
      </c>
      <c r="AH1" s="706" t="s">
        <v>48</v>
      </c>
      <c r="AI1" s="710" t="s">
        <v>179</v>
      </c>
      <c r="AJ1" s="689" t="s">
        <v>9</v>
      </c>
      <c r="AK1" s="699" t="s">
        <v>180</v>
      </c>
    </row>
    <row r="2" spans="1:37" s="114" customFormat="1" ht="30">
      <c r="A2" s="689"/>
      <c r="B2" s="713"/>
      <c r="C2" s="701"/>
      <c r="D2" s="90" t="s">
        <v>49</v>
      </c>
      <c r="E2" s="2" t="s">
        <v>39</v>
      </c>
      <c r="F2" s="88" t="s">
        <v>50</v>
      </c>
      <c r="G2" s="614"/>
      <c r="H2" s="721"/>
      <c r="I2" s="1" t="s">
        <v>41</v>
      </c>
      <c r="J2" s="4" t="s">
        <v>42</v>
      </c>
      <c r="K2" s="719"/>
      <c r="L2" s="720"/>
      <c r="M2" s="717"/>
      <c r="N2" s="705"/>
      <c r="O2" s="705"/>
      <c r="P2" s="705"/>
      <c r="Q2" s="709"/>
      <c r="R2" s="704"/>
      <c r="S2" s="709"/>
      <c r="T2" s="709"/>
      <c r="U2" s="709"/>
      <c r="V2" s="709"/>
      <c r="W2" s="705"/>
      <c r="X2" s="705"/>
      <c r="Y2" s="705"/>
      <c r="Z2" s="709"/>
      <c r="AA2" s="709"/>
      <c r="AB2" s="709"/>
      <c r="AC2" s="709"/>
      <c r="AD2" s="709"/>
      <c r="AE2" s="704"/>
      <c r="AF2" s="704"/>
      <c r="AG2" s="707"/>
      <c r="AH2" s="707"/>
      <c r="AI2" s="711"/>
      <c r="AJ2" s="689"/>
      <c r="AK2" s="700"/>
    </row>
    <row r="3" spans="1:37" s="114" customFormat="1">
      <c r="A3" s="90"/>
      <c r="B3" s="409"/>
      <c r="C3" s="406"/>
      <c r="D3" s="90"/>
      <c r="E3" s="2"/>
      <c r="F3" s="415"/>
      <c r="G3" s="415"/>
      <c r="H3" s="416"/>
      <c r="I3" s="417"/>
      <c r="J3" s="418"/>
      <c r="K3" s="445"/>
      <c r="L3" s="446"/>
      <c r="M3" s="419"/>
      <c r="N3" s="408"/>
      <c r="O3" s="408"/>
      <c r="P3" s="408"/>
      <c r="Q3" s="420"/>
      <c r="R3" s="407"/>
      <c r="S3" s="420"/>
      <c r="T3" s="420"/>
      <c r="U3" s="420"/>
      <c r="V3" s="420"/>
      <c r="W3" s="408"/>
      <c r="X3" s="408"/>
      <c r="Y3" s="408"/>
      <c r="Z3" s="420"/>
      <c r="AA3" s="420"/>
      <c r="AB3" s="420"/>
      <c r="AC3" s="420"/>
      <c r="AD3" s="420"/>
      <c r="AE3" s="407"/>
      <c r="AF3" s="407"/>
      <c r="AG3" s="410"/>
      <c r="AH3" s="410"/>
      <c r="AI3" s="421"/>
      <c r="AJ3" s="90"/>
      <c r="AK3" s="417"/>
    </row>
    <row r="4" spans="1:37" ht="15" customHeight="1">
      <c r="A4" s="115">
        <v>1</v>
      </c>
      <c r="B4" s="91">
        <v>45911</v>
      </c>
      <c r="C4" s="9" t="s">
        <v>51</v>
      </c>
      <c r="D4" s="153" t="s">
        <v>181</v>
      </c>
      <c r="E4" s="104">
        <v>100</v>
      </c>
      <c r="F4" s="116">
        <v>500</v>
      </c>
      <c r="G4" s="116">
        <v>1</v>
      </c>
      <c r="H4" s="117">
        <v>3</v>
      </c>
      <c r="I4" s="118">
        <v>10</v>
      </c>
      <c r="J4" s="119">
        <v>10.25</v>
      </c>
      <c r="K4" s="447">
        <v>3</v>
      </c>
      <c r="L4" s="448">
        <v>10.41</v>
      </c>
      <c r="M4" s="378">
        <v>2</v>
      </c>
      <c r="N4" s="378">
        <v>2</v>
      </c>
      <c r="O4" s="378">
        <v>2</v>
      </c>
      <c r="P4" s="378">
        <v>2</v>
      </c>
      <c r="Q4" s="378">
        <v>2</v>
      </c>
      <c r="R4" s="378">
        <v>2</v>
      </c>
      <c r="S4" s="378">
        <v>2</v>
      </c>
      <c r="T4" s="378">
        <v>2</v>
      </c>
      <c r="U4" s="378">
        <v>2</v>
      </c>
      <c r="V4" s="378">
        <v>2</v>
      </c>
      <c r="W4" s="378">
        <v>2</v>
      </c>
      <c r="X4" s="378">
        <v>2</v>
      </c>
      <c r="Y4" s="378">
        <v>1</v>
      </c>
      <c r="AJ4" s="591" t="s">
        <v>182</v>
      </c>
    </row>
    <row r="5" spans="1:37" ht="15" customHeight="1">
      <c r="E5" s="714" t="s">
        <v>183</v>
      </c>
      <c r="F5" s="715"/>
      <c r="G5" s="116">
        <v>2</v>
      </c>
      <c r="H5" s="117">
        <v>2</v>
      </c>
      <c r="I5" s="118">
        <v>10.32</v>
      </c>
      <c r="J5" s="119">
        <v>10.55</v>
      </c>
      <c r="K5" s="447">
        <v>3</v>
      </c>
      <c r="L5" s="448">
        <v>11.11</v>
      </c>
      <c r="M5" s="378">
        <v>3</v>
      </c>
      <c r="N5" s="378">
        <v>3</v>
      </c>
      <c r="O5" s="378">
        <v>2</v>
      </c>
      <c r="P5" s="378">
        <v>2</v>
      </c>
      <c r="Q5" s="378">
        <v>2</v>
      </c>
      <c r="R5" s="378">
        <v>2</v>
      </c>
      <c r="S5" s="378">
        <v>2</v>
      </c>
      <c r="T5" s="378">
        <v>2</v>
      </c>
      <c r="U5" s="378">
        <v>2</v>
      </c>
      <c r="V5" s="378">
        <v>2</v>
      </c>
      <c r="W5" s="378">
        <v>2</v>
      </c>
      <c r="AJ5" s="592"/>
    </row>
    <row r="6" spans="1:37" ht="15" customHeight="1">
      <c r="G6" s="116">
        <v>3</v>
      </c>
      <c r="H6" s="117">
        <v>4</v>
      </c>
      <c r="I6" s="118">
        <v>10.57</v>
      </c>
      <c r="J6" s="119">
        <v>11.21</v>
      </c>
      <c r="K6" s="447">
        <v>4</v>
      </c>
      <c r="L6" s="448">
        <v>11.45</v>
      </c>
      <c r="M6" s="378">
        <v>2</v>
      </c>
      <c r="N6" s="378">
        <v>2</v>
      </c>
      <c r="O6" s="378">
        <v>2</v>
      </c>
      <c r="AJ6" s="592"/>
    </row>
    <row r="7" spans="1:37" ht="15" customHeight="1">
      <c r="G7" s="116">
        <v>4</v>
      </c>
      <c r="H7" s="117">
        <v>3</v>
      </c>
      <c r="I7" s="118">
        <v>11.31</v>
      </c>
      <c r="J7" s="119">
        <v>11.45</v>
      </c>
      <c r="K7" s="447">
        <v>3</v>
      </c>
      <c r="L7" s="448">
        <v>12.02</v>
      </c>
      <c r="M7" s="378">
        <v>2</v>
      </c>
      <c r="N7" s="378">
        <v>2</v>
      </c>
      <c r="O7" s="378">
        <v>2</v>
      </c>
      <c r="P7" s="378">
        <v>2</v>
      </c>
      <c r="AJ7" s="592"/>
    </row>
    <row r="8" spans="1:37" ht="15" customHeight="1">
      <c r="G8" s="116">
        <v>5</v>
      </c>
      <c r="H8" s="117">
        <v>1</v>
      </c>
      <c r="I8" s="118">
        <v>11.5</v>
      </c>
      <c r="J8" s="119">
        <v>12.04</v>
      </c>
      <c r="K8" s="447">
        <v>1</v>
      </c>
      <c r="L8" s="448">
        <v>12.19</v>
      </c>
      <c r="M8" s="378">
        <v>0</v>
      </c>
      <c r="AJ8" s="592"/>
    </row>
    <row r="9" spans="1:37" s="103" customFormat="1" ht="15" customHeight="1">
      <c r="A9" s="121"/>
      <c r="B9" s="110"/>
      <c r="C9" s="109"/>
      <c r="E9" s="109"/>
      <c r="F9" s="122"/>
      <c r="G9" s="122">
        <v>6</v>
      </c>
      <c r="H9" s="123">
        <v>4</v>
      </c>
      <c r="I9" s="124">
        <v>12.07</v>
      </c>
      <c r="J9" s="125">
        <v>12.24</v>
      </c>
      <c r="K9" s="449">
        <v>4</v>
      </c>
      <c r="L9" s="450">
        <v>12.39</v>
      </c>
      <c r="M9" s="379">
        <v>0</v>
      </c>
      <c r="N9" s="379"/>
      <c r="O9" s="379"/>
      <c r="P9" s="379"/>
      <c r="Q9" s="379"/>
      <c r="R9" s="379"/>
      <c r="S9" s="379"/>
      <c r="T9" s="379"/>
      <c r="U9" s="379"/>
      <c r="V9" s="379"/>
      <c r="W9" s="379"/>
      <c r="X9" s="379"/>
      <c r="Y9" s="379"/>
      <c r="Z9" s="379"/>
      <c r="AA9" s="379"/>
      <c r="AB9" s="379"/>
      <c r="AC9" s="379"/>
      <c r="AD9" s="379"/>
      <c r="AE9" s="379"/>
      <c r="AF9" s="379"/>
      <c r="AG9" s="379"/>
      <c r="AH9" s="379"/>
      <c r="AI9" s="379"/>
      <c r="AJ9" s="722"/>
    </row>
    <row r="10" spans="1:37" ht="15" customHeight="1">
      <c r="A10" s="120">
        <v>2</v>
      </c>
      <c r="B10" s="105">
        <v>45916</v>
      </c>
      <c r="C10" s="104" t="s">
        <v>68</v>
      </c>
      <c r="D10" t="s">
        <v>184</v>
      </c>
      <c r="E10" s="104">
        <v>100</v>
      </c>
      <c r="F10" s="116">
        <v>500</v>
      </c>
      <c r="G10" s="116">
        <v>1</v>
      </c>
      <c r="H10" s="117">
        <v>5</v>
      </c>
      <c r="I10" s="118">
        <v>9.41</v>
      </c>
      <c r="J10" s="119">
        <v>10.1</v>
      </c>
      <c r="K10" s="447">
        <v>5</v>
      </c>
      <c r="L10" s="448">
        <v>10.27</v>
      </c>
      <c r="M10" s="378">
        <v>3</v>
      </c>
      <c r="N10" s="378">
        <v>3</v>
      </c>
      <c r="O10" s="378">
        <v>3</v>
      </c>
      <c r="P10" s="378">
        <v>3</v>
      </c>
      <c r="Q10" s="378">
        <v>3</v>
      </c>
      <c r="R10" s="378">
        <v>3</v>
      </c>
      <c r="S10" s="378">
        <v>3</v>
      </c>
      <c r="T10" s="378">
        <v>3</v>
      </c>
      <c r="U10" s="378">
        <v>3</v>
      </c>
      <c r="V10" s="378">
        <v>3</v>
      </c>
      <c r="W10" s="378">
        <v>3</v>
      </c>
      <c r="X10" s="378">
        <v>2</v>
      </c>
      <c r="Y10" s="378">
        <v>1</v>
      </c>
      <c r="AJ10" s="592" t="s">
        <v>185</v>
      </c>
    </row>
    <row r="11" spans="1:37">
      <c r="E11" s="714" t="s">
        <v>183</v>
      </c>
      <c r="F11" s="715"/>
      <c r="G11" s="116">
        <v>2</v>
      </c>
      <c r="H11" s="117">
        <v>2</v>
      </c>
      <c r="I11" s="104">
        <v>10.119999999999999</v>
      </c>
      <c r="J11" s="116">
        <v>10.19</v>
      </c>
      <c r="K11" s="447">
        <v>2</v>
      </c>
      <c r="L11" s="448" t="s">
        <v>186</v>
      </c>
      <c r="M11" s="378">
        <v>2</v>
      </c>
      <c r="N11" s="378">
        <v>1</v>
      </c>
      <c r="O11" s="378">
        <v>1</v>
      </c>
      <c r="P11" s="378">
        <v>1</v>
      </c>
      <c r="Q11" s="378">
        <v>1</v>
      </c>
      <c r="R11" s="378">
        <v>1</v>
      </c>
      <c r="S11" s="378">
        <v>1</v>
      </c>
      <c r="T11" s="378">
        <v>1</v>
      </c>
      <c r="U11" s="378">
        <v>1</v>
      </c>
      <c r="V11" s="378">
        <v>1</v>
      </c>
      <c r="W11" s="378">
        <v>1</v>
      </c>
      <c r="AJ11" s="592"/>
    </row>
    <row r="12" spans="1:37" ht="15" customHeight="1">
      <c r="G12" s="126">
        <v>3</v>
      </c>
      <c r="H12" s="127">
        <v>2</v>
      </c>
      <c r="I12" s="128">
        <v>10.27</v>
      </c>
      <c r="J12" s="126">
        <v>10.59</v>
      </c>
      <c r="K12" s="451">
        <v>2</v>
      </c>
      <c r="L12" s="452">
        <v>10.5</v>
      </c>
      <c r="M12" s="380">
        <v>2</v>
      </c>
      <c r="N12" s="380">
        <v>2</v>
      </c>
      <c r="O12" s="380">
        <v>2</v>
      </c>
      <c r="P12" s="380">
        <v>2</v>
      </c>
      <c r="Q12" s="380">
        <v>2</v>
      </c>
      <c r="R12" s="380">
        <v>2</v>
      </c>
      <c r="S12" s="380">
        <v>2</v>
      </c>
      <c r="T12" s="380">
        <v>2</v>
      </c>
      <c r="U12" s="380">
        <v>2</v>
      </c>
      <c r="V12" s="380">
        <v>2</v>
      </c>
      <c r="W12" s="380">
        <v>2</v>
      </c>
      <c r="X12" s="380">
        <v>2</v>
      </c>
      <c r="Y12" s="380">
        <v>2</v>
      </c>
      <c r="Z12" s="380">
        <v>1</v>
      </c>
      <c r="AA12" s="380">
        <v>1</v>
      </c>
      <c r="AB12" s="380">
        <v>1</v>
      </c>
      <c r="AC12" s="380">
        <v>1</v>
      </c>
      <c r="AD12" s="380">
        <v>1</v>
      </c>
      <c r="AE12" s="380">
        <v>1</v>
      </c>
      <c r="AF12" s="380">
        <v>1</v>
      </c>
      <c r="AG12" s="380" t="s">
        <v>187</v>
      </c>
      <c r="AH12" s="380" t="s">
        <v>187</v>
      </c>
      <c r="AI12" s="381" t="s">
        <v>188</v>
      </c>
      <c r="AJ12" s="370"/>
      <c r="AK12" s="367" t="s">
        <v>189</v>
      </c>
    </row>
    <row r="13" spans="1:37" ht="15" customHeight="1">
      <c r="G13" s="116">
        <v>4</v>
      </c>
      <c r="H13" s="117">
        <v>4</v>
      </c>
      <c r="I13" s="104">
        <v>10.38</v>
      </c>
      <c r="J13" s="116">
        <v>10.59</v>
      </c>
      <c r="K13" s="447">
        <v>4</v>
      </c>
      <c r="L13" s="448">
        <v>11.15</v>
      </c>
      <c r="M13" s="378">
        <v>4</v>
      </c>
      <c r="N13" s="378">
        <v>4</v>
      </c>
      <c r="O13" s="378">
        <v>4</v>
      </c>
      <c r="P13" s="378">
        <v>4</v>
      </c>
      <c r="Q13" s="378">
        <v>4</v>
      </c>
      <c r="R13" s="378">
        <v>4</v>
      </c>
      <c r="S13" s="378">
        <v>2</v>
      </c>
      <c r="T13" s="378">
        <v>2</v>
      </c>
      <c r="U13" s="378">
        <v>2</v>
      </c>
      <c r="V13" s="378">
        <v>2</v>
      </c>
      <c r="W13" s="378">
        <v>2</v>
      </c>
      <c r="X13" s="378">
        <v>2</v>
      </c>
      <c r="AJ13" s="368"/>
    </row>
    <row r="14" spans="1:37" s="103" customFormat="1" ht="15" customHeight="1">
      <c r="A14" s="121"/>
      <c r="B14" s="110"/>
      <c r="C14" s="109"/>
      <c r="E14" s="109"/>
      <c r="F14" s="122"/>
      <c r="G14" s="122">
        <v>5</v>
      </c>
      <c r="H14" s="123">
        <v>1</v>
      </c>
      <c r="I14" s="109">
        <v>11.02</v>
      </c>
      <c r="J14" s="122">
        <v>11.08</v>
      </c>
      <c r="K14" s="449">
        <v>1</v>
      </c>
      <c r="L14" s="450">
        <v>11.27</v>
      </c>
      <c r="M14" s="379">
        <v>0</v>
      </c>
      <c r="N14" s="379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C14" s="379"/>
      <c r="AD14" s="379"/>
      <c r="AE14" s="379"/>
      <c r="AF14" s="379"/>
      <c r="AG14" s="379"/>
      <c r="AH14" s="379"/>
      <c r="AI14" s="379"/>
      <c r="AJ14" s="369"/>
    </row>
    <row r="15" spans="1:37" ht="15" customHeight="1">
      <c r="A15" s="120">
        <v>3</v>
      </c>
      <c r="B15" s="105">
        <v>45917</v>
      </c>
      <c r="C15" s="104" t="s">
        <v>72</v>
      </c>
      <c r="D15" t="s">
        <v>190</v>
      </c>
      <c r="E15" s="104">
        <v>100</v>
      </c>
      <c r="F15" s="116">
        <v>500</v>
      </c>
      <c r="G15" s="116">
        <v>1</v>
      </c>
      <c r="H15" s="117">
        <v>6</v>
      </c>
      <c r="I15" s="104">
        <v>9.48</v>
      </c>
      <c r="J15" s="116">
        <v>10.130000000000001</v>
      </c>
      <c r="K15" s="447">
        <v>6</v>
      </c>
      <c r="L15" s="448">
        <v>10.31</v>
      </c>
      <c r="M15" s="378">
        <v>3</v>
      </c>
      <c r="N15" s="378">
        <v>3</v>
      </c>
      <c r="O15" s="378">
        <v>3</v>
      </c>
      <c r="P15" s="378">
        <v>3</v>
      </c>
      <c r="Q15" s="378">
        <v>3</v>
      </c>
      <c r="R15" s="378">
        <v>3</v>
      </c>
      <c r="S15" s="378">
        <v>3</v>
      </c>
      <c r="T15" s="378">
        <v>3</v>
      </c>
      <c r="U15" s="378">
        <v>3</v>
      </c>
      <c r="V15" s="378">
        <v>1</v>
      </c>
      <c r="W15" s="378">
        <v>1</v>
      </c>
      <c r="X15" s="378">
        <v>1</v>
      </c>
      <c r="Y15" s="378">
        <v>1</v>
      </c>
      <c r="Z15" s="378">
        <v>1</v>
      </c>
      <c r="AA15" s="378">
        <v>1</v>
      </c>
    </row>
    <row r="16" spans="1:37" ht="15" customHeight="1">
      <c r="E16" s="714" t="s">
        <v>183</v>
      </c>
      <c r="F16" s="715"/>
      <c r="G16" s="116">
        <v>2</v>
      </c>
      <c r="H16" s="117">
        <v>5</v>
      </c>
      <c r="I16" s="104">
        <v>10.16</v>
      </c>
      <c r="J16" s="116">
        <v>10.34</v>
      </c>
      <c r="K16" s="447">
        <v>5</v>
      </c>
      <c r="L16" s="448">
        <v>10.49</v>
      </c>
      <c r="M16" s="378">
        <v>2</v>
      </c>
      <c r="N16" s="378">
        <v>2</v>
      </c>
      <c r="O16" s="378">
        <v>2</v>
      </c>
      <c r="P16" s="378">
        <v>2</v>
      </c>
      <c r="Q16" s="378">
        <v>2</v>
      </c>
      <c r="R16" s="378">
        <v>2</v>
      </c>
      <c r="S16" s="378">
        <v>2</v>
      </c>
      <c r="T16" s="378">
        <v>2</v>
      </c>
    </row>
    <row r="17" spans="1:37" ht="15" customHeight="1">
      <c r="G17" s="116">
        <v>3</v>
      </c>
      <c r="H17" s="117">
        <v>5</v>
      </c>
      <c r="I17" s="104">
        <v>10.49</v>
      </c>
      <c r="J17" s="116">
        <v>11.08</v>
      </c>
      <c r="K17" s="447">
        <v>5</v>
      </c>
      <c r="L17" s="448">
        <v>11.24</v>
      </c>
      <c r="M17" s="378">
        <v>4</v>
      </c>
      <c r="N17" s="378">
        <v>4</v>
      </c>
      <c r="O17" s="378">
        <v>4</v>
      </c>
      <c r="P17" s="378">
        <v>4</v>
      </c>
      <c r="Q17" s="378">
        <v>4</v>
      </c>
      <c r="R17" s="378">
        <v>4</v>
      </c>
      <c r="S17" s="378">
        <v>4</v>
      </c>
      <c r="T17" s="378">
        <v>4</v>
      </c>
      <c r="U17" s="378">
        <v>4</v>
      </c>
      <c r="V17" s="378">
        <v>4</v>
      </c>
      <c r="W17" s="378">
        <v>4</v>
      </c>
      <c r="X17" s="378">
        <v>4</v>
      </c>
      <c r="Y17" s="378">
        <v>4</v>
      </c>
      <c r="Z17" s="378">
        <v>4</v>
      </c>
    </row>
    <row r="18" spans="1:37" ht="15" customHeight="1">
      <c r="G18" s="116">
        <v>4</v>
      </c>
      <c r="H18" s="117">
        <v>6</v>
      </c>
      <c r="I18" s="104">
        <v>11.25</v>
      </c>
      <c r="J18" s="116">
        <v>11.53</v>
      </c>
      <c r="K18" s="447">
        <v>6</v>
      </c>
      <c r="L18" s="448">
        <v>12.08</v>
      </c>
      <c r="M18" s="378">
        <v>3</v>
      </c>
      <c r="N18" s="378">
        <v>3</v>
      </c>
      <c r="O18" s="378">
        <v>3</v>
      </c>
      <c r="P18" s="378">
        <v>3</v>
      </c>
      <c r="Q18" s="378">
        <v>3</v>
      </c>
      <c r="R18" s="378">
        <v>3</v>
      </c>
      <c r="S18" s="378">
        <v>3</v>
      </c>
      <c r="T18" s="378">
        <v>3</v>
      </c>
      <c r="U18" s="378">
        <v>3</v>
      </c>
      <c r="V18" s="378">
        <v>3</v>
      </c>
      <c r="W18" s="378">
        <v>3</v>
      </c>
      <c r="X18" s="378">
        <v>3</v>
      </c>
      <c r="Y18" s="378">
        <v>3</v>
      </c>
      <c r="Z18" s="378">
        <v>3</v>
      </c>
    </row>
    <row r="19" spans="1:37" ht="15" customHeight="1">
      <c r="G19" s="116">
        <v>5</v>
      </c>
      <c r="H19" s="117">
        <v>5</v>
      </c>
      <c r="I19" s="104">
        <v>11.57</v>
      </c>
      <c r="J19" s="116">
        <v>12.08</v>
      </c>
      <c r="K19" s="447">
        <v>5</v>
      </c>
      <c r="L19" s="448">
        <v>12.23</v>
      </c>
      <c r="M19" s="378">
        <v>1</v>
      </c>
      <c r="N19" s="378">
        <v>1</v>
      </c>
      <c r="O19" s="378">
        <v>1</v>
      </c>
      <c r="P19" s="378">
        <v>1</v>
      </c>
      <c r="Q19" s="378">
        <v>1</v>
      </c>
      <c r="R19" s="378">
        <v>1</v>
      </c>
      <c r="S19" s="378">
        <v>1</v>
      </c>
      <c r="T19" s="378">
        <v>1</v>
      </c>
      <c r="U19" s="378">
        <v>1</v>
      </c>
      <c r="V19" s="378">
        <v>1</v>
      </c>
      <c r="W19" s="378">
        <v>1</v>
      </c>
      <c r="X19" s="378">
        <v>1</v>
      </c>
      <c r="Y19" s="378">
        <v>1</v>
      </c>
      <c r="Z19" s="378">
        <v>1</v>
      </c>
    </row>
    <row r="20" spans="1:37" ht="15" customHeight="1">
      <c r="G20" s="130" t="s">
        <v>102</v>
      </c>
      <c r="H20" s="131" t="s">
        <v>191</v>
      </c>
      <c r="I20" s="132" t="s">
        <v>61</v>
      </c>
      <c r="J20" s="130" t="s">
        <v>61</v>
      </c>
      <c r="K20" s="447" t="s">
        <v>191</v>
      </c>
      <c r="L20" s="448" t="s">
        <v>191</v>
      </c>
      <c r="M20" s="378">
        <v>0</v>
      </c>
    </row>
    <row r="21" spans="1:37" ht="15" customHeight="1">
      <c r="G21" s="130" t="s">
        <v>103</v>
      </c>
      <c r="H21" s="131">
        <v>4</v>
      </c>
      <c r="I21" s="132" t="s">
        <v>61</v>
      </c>
      <c r="J21" s="130" t="s">
        <v>61</v>
      </c>
      <c r="K21" s="447">
        <v>4</v>
      </c>
      <c r="L21" s="448">
        <v>11.15</v>
      </c>
      <c r="M21" s="378">
        <v>2</v>
      </c>
      <c r="N21" s="378">
        <v>2</v>
      </c>
      <c r="O21" s="378">
        <v>2</v>
      </c>
      <c r="P21" s="378">
        <v>2</v>
      </c>
      <c r="Q21" s="378">
        <v>2</v>
      </c>
      <c r="R21" s="378">
        <v>2</v>
      </c>
      <c r="S21" s="378">
        <v>2</v>
      </c>
      <c r="T21" s="378">
        <v>2</v>
      </c>
      <c r="U21" s="378">
        <v>2</v>
      </c>
      <c r="V21" s="378">
        <v>2</v>
      </c>
      <c r="W21" s="378">
        <v>2</v>
      </c>
      <c r="X21" s="378">
        <v>2</v>
      </c>
      <c r="Y21" s="378">
        <v>2</v>
      </c>
    </row>
    <row r="22" spans="1:37" ht="15" customHeight="1">
      <c r="G22" s="130" t="s">
        <v>104</v>
      </c>
      <c r="H22" s="131">
        <v>3</v>
      </c>
      <c r="I22" s="132" t="s">
        <v>61</v>
      </c>
      <c r="J22" s="130" t="s">
        <v>61</v>
      </c>
      <c r="K22" s="447">
        <v>3</v>
      </c>
      <c r="L22" s="448">
        <v>11.29</v>
      </c>
      <c r="M22" s="378">
        <v>3</v>
      </c>
      <c r="N22" s="378">
        <v>3</v>
      </c>
    </row>
    <row r="23" spans="1:37" ht="15" customHeight="1">
      <c r="G23" s="130" t="s">
        <v>105</v>
      </c>
      <c r="H23" s="131">
        <v>5</v>
      </c>
      <c r="I23" s="132" t="s">
        <v>61</v>
      </c>
      <c r="J23" s="130" t="s">
        <v>61</v>
      </c>
      <c r="K23" s="447">
        <v>5</v>
      </c>
      <c r="L23" s="448">
        <v>11.45</v>
      </c>
      <c r="M23" s="378">
        <v>4</v>
      </c>
      <c r="N23" s="378">
        <v>4</v>
      </c>
      <c r="O23" s="378">
        <v>4</v>
      </c>
      <c r="P23" s="378">
        <v>4</v>
      </c>
      <c r="Q23" s="378">
        <v>2</v>
      </c>
      <c r="R23" s="378">
        <v>1</v>
      </c>
      <c r="S23" s="378">
        <v>1</v>
      </c>
      <c r="T23" s="378">
        <v>1</v>
      </c>
      <c r="U23" s="378">
        <v>1</v>
      </c>
      <c r="V23" s="378">
        <v>1</v>
      </c>
      <c r="W23" s="378">
        <v>1</v>
      </c>
      <c r="X23" s="378">
        <v>1</v>
      </c>
      <c r="Y23" s="378">
        <v>1</v>
      </c>
      <c r="Z23" s="378">
        <v>1</v>
      </c>
    </row>
    <row r="24" spans="1:37" s="103" customFormat="1" ht="15" customHeight="1">
      <c r="A24" s="121"/>
      <c r="B24" s="110"/>
      <c r="C24" s="109"/>
      <c r="E24" s="109"/>
      <c r="F24" s="122"/>
      <c r="G24" s="133" t="s">
        <v>106</v>
      </c>
      <c r="H24" s="134">
        <v>5</v>
      </c>
      <c r="I24" s="135" t="s">
        <v>61</v>
      </c>
      <c r="J24" s="133" t="s">
        <v>61</v>
      </c>
      <c r="K24" s="449">
        <v>5</v>
      </c>
      <c r="L24" s="450">
        <v>12.15</v>
      </c>
      <c r="M24" s="379">
        <v>4</v>
      </c>
      <c r="N24" s="379">
        <v>4</v>
      </c>
      <c r="O24" s="379">
        <v>4</v>
      </c>
      <c r="P24" s="379">
        <v>2</v>
      </c>
      <c r="Q24" s="379">
        <v>2</v>
      </c>
      <c r="R24" s="379">
        <v>2</v>
      </c>
      <c r="S24" s="379">
        <v>2</v>
      </c>
      <c r="T24" s="379">
        <v>2</v>
      </c>
      <c r="U24" s="379">
        <v>2</v>
      </c>
      <c r="V24" s="379">
        <v>2</v>
      </c>
      <c r="W24" s="379">
        <v>2</v>
      </c>
      <c r="X24" s="379">
        <v>2</v>
      </c>
      <c r="Y24" s="379">
        <v>1</v>
      </c>
      <c r="Z24" s="379">
        <v>1</v>
      </c>
      <c r="AA24" s="379"/>
      <c r="AB24" s="379"/>
      <c r="AC24" s="379"/>
      <c r="AD24" s="379"/>
      <c r="AE24" s="379"/>
      <c r="AF24" s="379"/>
      <c r="AG24" s="379"/>
      <c r="AH24" s="379"/>
      <c r="AI24" s="379"/>
      <c r="AJ24" s="28"/>
    </row>
    <row r="25" spans="1:37">
      <c r="A25" s="120">
        <v>4</v>
      </c>
      <c r="B25" s="105">
        <v>45918</v>
      </c>
      <c r="C25" s="104" t="s">
        <v>83</v>
      </c>
      <c r="D25" s="9" t="s">
        <v>192</v>
      </c>
      <c r="E25" s="104">
        <v>100</v>
      </c>
      <c r="F25" s="116">
        <v>500</v>
      </c>
      <c r="G25" s="116">
        <v>1</v>
      </c>
      <c r="H25" s="117">
        <v>4</v>
      </c>
      <c r="I25" s="104" t="s">
        <v>61</v>
      </c>
      <c r="J25" s="116">
        <v>10.050000000000001</v>
      </c>
      <c r="K25" s="447">
        <v>4</v>
      </c>
      <c r="L25" s="448">
        <v>10.210000000000001</v>
      </c>
      <c r="M25" s="378">
        <v>0</v>
      </c>
    </row>
    <row r="26" spans="1:37">
      <c r="E26" s="714" t="s">
        <v>193</v>
      </c>
      <c r="F26" s="715"/>
      <c r="G26" s="116">
        <v>2</v>
      </c>
      <c r="H26" s="117">
        <v>4</v>
      </c>
      <c r="I26" s="104">
        <v>10.15</v>
      </c>
      <c r="J26" s="116">
        <v>10.31</v>
      </c>
      <c r="K26" s="447">
        <v>4</v>
      </c>
      <c r="L26" s="448">
        <v>10.46</v>
      </c>
      <c r="M26" s="378">
        <v>3</v>
      </c>
      <c r="N26" s="378">
        <v>3</v>
      </c>
      <c r="O26" s="378">
        <v>3</v>
      </c>
      <c r="P26" s="378">
        <v>3</v>
      </c>
      <c r="Q26" s="378">
        <v>3</v>
      </c>
      <c r="R26" s="378">
        <v>3</v>
      </c>
      <c r="S26" s="378">
        <v>3</v>
      </c>
      <c r="T26" s="378">
        <v>3</v>
      </c>
      <c r="U26" s="378">
        <v>3</v>
      </c>
      <c r="V26" s="378">
        <v>3</v>
      </c>
      <c r="W26" s="378">
        <v>3</v>
      </c>
      <c r="X26" s="378">
        <v>3</v>
      </c>
      <c r="Y26" s="378">
        <v>3</v>
      </c>
      <c r="Z26" s="378">
        <v>2</v>
      </c>
    </row>
    <row r="27" spans="1:37">
      <c r="G27" s="116">
        <v>3</v>
      </c>
      <c r="H27" s="117">
        <v>3</v>
      </c>
      <c r="I27" s="104">
        <v>10.32</v>
      </c>
      <c r="J27" s="116">
        <v>10.44</v>
      </c>
      <c r="K27" s="447">
        <v>3</v>
      </c>
      <c r="L27" s="453">
        <v>11</v>
      </c>
      <c r="M27" s="378">
        <v>2</v>
      </c>
      <c r="N27" s="378">
        <v>2</v>
      </c>
      <c r="O27" s="378">
        <v>1</v>
      </c>
      <c r="P27" s="378">
        <v>1</v>
      </c>
      <c r="Q27" s="378">
        <v>1</v>
      </c>
      <c r="R27" s="378">
        <v>1</v>
      </c>
      <c r="S27" s="378">
        <v>1</v>
      </c>
      <c r="T27" s="378">
        <v>1</v>
      </c>
      <c r="U27" s="378">
        <v>1</v>
      </c>
      <c r="V27" s="378">
        <v>1</v>
      </c>
      <c r="W27" s="378">
        <v>1</v>
      </c>
      <c r="X27" s="378">
        <v>1</v>
      </c>
      <c r="Y27" s="378">
        <v>1</v>
      </c>
    </row>
    <row r="28" spans="1:37">
      <c r="G28" s="116">
        <v>4</v>
      </c>
      <c r="H28" s="117">
        <v>3</v>
      </c>
      <c r="I28" s="104">
        <v>10.46</v>
      </c>
      <c r="J28" s="116">
        <v>11.03</v>
      </c>
      <c r="K28" s="447">
        <v>3</v>
      </c>
      <c r="L28" s="453">
        <v>11.2</v>
      </c>
      <c r="M28" s="378">
        <v>2</v>
      </c>
      <c r="N28" s="378">
        <v>2</v>
      </c>
      <c r="O28" s="378">
        <v>2</v>
      </c>
      <c r="P28" s="378">
        <v>2</v>
      </c>
      <c r="Q28" s="378">
        <v>2</v>
      </c>
      <c r="R28" s="378">
        <v>2</v>
      </c>
      <c r="S28" s="378">
        <v>2</v>
      </c>
      <c r="T28" s="378">
        <v>2</v>
      </c>
      <c r="U28" s="378">
        <v>2</v>
      </c>
      <c r="V28" s="378">
        <v>2</v>
      </c>
      <c r="W28" s="378">
        <v>2</v>
      </c>
      <c r="X28" s="378">
        <v>2</v>
      </c>
      <c r="Y28" s="378">
        <v>1</v>
      </c>
    </row>
    <row r="29" spans="1:37">
      <c r="G29" s="116">
        <v>5</v>
      </c>
      <c r="H29" s="117">
        <v>5</v>
      </c>
      <c r="I29" s="104">
        <v>11.03</v>
      </c>
      <c r="J29" s="116">
        <v>11.23</v>
      </c>
      <c r="K29" s="447">
        <v>5</v>
      </c>
      <c r="L29" s="448">
        <v>11.37</v>
      </c>
      <c r="M29" s="378">
        <v>4</v>
      </c>
      <c r="N29" s="378">
        <v>4</v>
      </c>
      <c r="O29" s="378">
        <v>4</v>
      </c>
      <c r="P29" s="378">
        <v>4</v>
      </c>
      <c r="Q29" s="378">
        <v>4</v>
      </c>
      <c r="R29" s="378">
        <v>4</v>
      </c>
      <c r="S29" s="378">
        <v>4</v>
      </c>
      <c r="T29" s="378">
        <v>4</v>
      </c>
      <c r="U29" s="378">
        <v>4</v>
      </c>
      <c r="V29" s="378">
        <v>4</v>
      </c>
      <c r="W29" s="378">
        <v>4</v>
      </c>
      <c r="X29" s="378">
        <v>4</v>
      </c>
      <c r="Y29" s="378">
        <v>4</v>
      </c>
      <c r="Z29" s="378">
        <v>4</v>
      </c>
    </row>
    <row r="30" spans="1:37">
      <c r="G30" s="126">
        <v>6</v>
      </c>
      <c r="H30" s="127">
        <v>3</v>
      </c>
      <c r="I30" s="128">
        <v>11.23</v>
      </c>
      <c r="J30" s="126">
        <v>11.45</v>
      </c>
      <c r="K30" s="451">
        <v>3</v>
      </c>
      <c r="L30" s="454">
        <v>12.02</v>
      </c>
      <c r="M30" s="380">
        <v>4</v>
      </c>
      <c r="N30" s="380">
        <v>4</v>
      </c>
      <c r="O30" s="380">
        <v>3</v>
      </c>
      <c r="P30" s="380">
        <v>3</v>
      </c>
      <c r="Q30" s="380">
        <v>3</v>
      </c>
      <c r="R30" s="380">
        <v>3</v>
      </c>
      <c r="S30" s="380">
        <v>3</v>
      </c>
      <c r="T30" s="380">
        <v>3</v>
      </c>
      <c r="U30" s="380">
        <v>3</v>
      </c>
      <c r="V30" s="380">
        <v>3</v>
      </c>
      <c r="W30" s="380">
        <v>3</v>
      </c>
      <c r="X30" s="380">
        <v>3</v>
      </c>
      <c r="Y30" s="380">
        <v>3</v>
      </c>
      <c r="Z30" s="380">
        <v>1</v>
      </c>
      <c r="AA30" s="380">
        <v>1</v>
      </c>
      <c r="AB30" s="380">
        <v>1</v>
      </c>
      <c r="AC30" s="380">
        <v>1</v>
      </c>
      <c r="AD30" s="380">
        <v>1</v>
      </c>
      <c r="AE30" s="380">
        <v>1</v>
      </c>
      <c r="AF30" s="380">
        <v>1</v>
      </c>
      <c r="AG30" s="380" t="s">
        <v>194</v>
      </c>
      <c r="AH30" s="380" t="s">
        <v>194</v>
      </c>
      <c r="AI30" s="381" t="s">
        <v>188</v>
      </c>
      <c r="AJ30" s="47" t="s">
        <v>195</v>
      </c>
      <c r="AK30" s="367" t="s">
        <v>196</v>
      </c>
    </row>
    <row r="31" spans="1:37" s="103" customFormat="1">
      <c r="A31" s="121"/>
      <c r="B31" s="110"/>
      <c r="C31" s="109"/>
      <c r="E31" s="109"/>
      <c r="F31" s="122"/>
      <c r="G31" s="122">
        <v>7</v>
      </c>
      <c r="H31" s="123">
        <v>6</v>
      </c>
      <c r="I31" s="109">
        <v>11.46</v>
      </c>
      <c r="J31" s="122">
        <v>12.13</v>
      </c>
      <c r="K31" s="449">
        <v>6</v>
      </c>
      <c r="L31" s="450">
        <v>12.29</v>
      </c>
      <c r="M31" s="379">
        <v>4</v>
      </c>
      <c r="N31" s="379">
        <v>4</v>
      </c>
      <c r="O31" s="379">
        <v>3</v>
      </c>
      <c r="P31" s="379">
        <v>3</v>
      </c>
      <c r="Q31" s="379">
        <v>3</v>
      </c>
      <c r="R31" s="379">
        <v>3</v>
      </c>
      <c r="S31" s="379">
        <v>3</v>
      </c>
      <c r="T31" s="379">
        <v>3</v>
      </c>
      <c r="U31" s="379">
        <v>3</v>
      </c>
      <c r="V31" s="379">
        <v>3</v>
      </c>
      <c r="W31" s="379">
        <v>3</v>
      </c>
      <c r="X31" s="379">
        <v>3</v>
      </c>
      <c r="Y31" s="379">
        <v>3</v>
      </c>
      <c r="Z31" s="379">
        <v>1</v>
      </c>
      <c r="AA31" s="379">
        <v>1</v>
      </c>
      <c r="AB31" s="379">
        <v>1</v>
      </c>
      <c r="AC31" s="379"/>
      <c r="AD31" s="379"/>
      <c r="AE31" s="379"/>
      <c r="AF31" s="379"/>
      <c r="AG31" s="379"/>
      <c r="AH31" s="379"/>
      <c r="AI31" s="379"/>
      <c r="AJ31" s="28"/>
    </row>
    <row r="32" spans="1:37">
      <c r="A32" s="120">
        <v>5</v>
      </c>
      <c r="B32" s="105">
        <v>45923</v>
      </c>
      <c r="C32" s="104" t="s">
        <v>92</v>
      </c>
      <c r="D32" t="s">
        <v>197</v>
      </c>
      <c r="E32" s="104">
        <v>100</v>
      </c>
      <c r="F32" s="116">
        <v>500</v>
      </c>
      <c r="G32" s="116">
        <v>1</v>
      </c>
      <c r="H32" s="117" t="s">
        <v>198</v>
      </c>
      <c r="I32" s="104">
        <v>10.050000000000001</v>
      </c>
      <c r="J32" s="116">
        <v>10.220000000000001</v>
      </c>
      <c r="K32" s="447" t="s">
        <v>198</v>
      </c>
      <c r="L32" s="448">
        <v>10.39</v>
      </c>
      <c r="M32" s="378">
        <v>4</v>
      </c>
      <c r="N32" s="378">
        <v>4</v>
      </c>
      <c r="O32" s="378">
        <v>4</v>
      </c>
      <c r="P32" s="378">
        <v>4</v>
      </c>
      <c r="Q32" s="378">
        <v>4</v>
      </c>
      <c r="R32" s="378">
        <v>4</v>
      </c>
      <c r="S32" s="378">
        <v>4</v>
      </c>
      <c r="T32" s="378">
        <v>4</v>
      </c>
      <c r="U32" s="378">
        <v>4</v>
      </c>
      <c r="V32" s="378">
        <v>4</v>
      </c>
      <c r="W32" s="378">
        <v>4</v>
      </c>
      <c r="X32" s="378">
        <v>2</v>
      </c>
    </row>
    <row r="33" spans="1:37">
      <c r="E33" s="714" t="s">
        <v>193</v>
      </c>
      <c r="F33" s="715"/>
      <c r="G33" s="116">
        <v>2</v>
      </c>
      <c r="H33" s="117" t="s">
        <v>199</v>
      </c>
      <c r="I33" s="104">
        <v>10.24</v>
      </c>
      <c r="J33" s="116">
        <v>10.38</v>
      </c>
      <c r="K33" s="447" t="s">
        <v>199</v>
      </c>
      <c r="L33" s="448">
        <v>10.57</v>
      </c>
      <c r="M33" s="378">
        <v>2</v>
      </c>
      <c r="N33" s="378">
        <v>2</v>
      </c>
      <c r="O33" s="378">
        <v>2</v>
      </c>
      <c r="P33" s="378">
        <v>2</v>
      </c>
      <c r="Q33" s="378">
        <v>2</v>
      </c>
      <c r="R33" s="378">
        <v>2</v>
      </c>
      <c r="S33" s="378">
        <v>2</v>
      </c>
      <c r="T33" s="378">
        <v>2</v>
      </c>
      <c r="U33" s="378">
        <v>2</v>
      </c>
      <c r="V33" s="378">
        <v>2</v>
      </c>
      <c r="W33" s="378">
        <v>2</v>
      </c>
      <c r="X33" s="378">
        <v>2</v>
      </c>
      <c r="Y33" s="378">
        <v>1</v>
      </c>
    </row>
    <row r="34" spans="1:37">
      <c r="G34" s="116">
        <v>3</v>
      </c>
      <c r="H34" s="117" t="s">
        <v>200</v>
      </c>
      <c r="I34" s="104">
        <v>10.45</v>
      </c>
      <c r="J34" s="116">
        <v>10.58</v>
      </c>
      <c r="K34" s="447" t="s">
        <v>200</v>
      </c>
      <c r="L34" s="448">
        <v>11.14</v>
      </c>
      <c r="M34" s="378">
        <v>2</v>
      </c>
      <c r="N34" s="378">
        <v>2</v>
      </c>
      <c r="O34" s="378">
        <v>2</v>
      </c>
      <c r="P34" s="378">
        <v>2</v>
      </c>
      <c r="Q34" s="378">
        <v>2</v>
      </c>
      <c r="R34" s="378">
        <v>2</v>
      </c>
      <c r="S34" s="378">
        <v>2</v>
      </c>
      <c r="T34" s="378">
        <v>2</v>
      </c>
      <c r="U34" s="378">
        <v>2</v>
      </c>
      <c r="V34" s="378">
        <v>2</v>
      </c>
      <c r="W34" s="378">
        <v>2</v>
      </c>
      <c r="X34" s="378">
        <v>1</v>
      </c>
      <c r="Y34" s="378">
        <v>1</v>
      </c>
    </row>
    <row r="35" spans="1:37">
      <c r="G35" s="116">
        <v>4</v>
      </c>
      <c r="H35" s="117" t="s">
        <v>200</v>
      </c>
      <c r="I35" s="118">
        <v>11</v>
      </c>
      <c r="J35" s="116">
        <v>11.17</v>
      </c>
      <c r="K35" s="447" t="s">
        <v>200</v>
      </c>
      <c r="L35" s="448">
        <v>11.33</v>
      </c>
      <c r="M35" s="378">
        <v>2</v>
      </c>
      <c r="N35" s="378">
        <v>1</v>
      </c>
      <c r="O35" s="378">
        <v>1</v>
      </c>
      <c r="P35" s="378">
        <v>1</v>
      </c>
      <c r="Q35" s="378">
        <v>1</v>
      </c>
      <c r="R35" s="378">
        <v>1</v>
      </c>
      <c r="S35" s="378">
        <v>1</v>
      </c>
      <c r="T35" s="378">
        <v>1</v>
      </c>
      <c r="U35" s="378">
        <v>1</v>
      </c>
      <c r="V35" s="378">
        <v>1</v>
      </c>
      <c r="W35" s="378">
        <v>1</v>
      </c>
      <c r="X35" s="378">
        <v>1</v>
      </c>
      <c r="Y35" s="378">
        <v>1</v>
      </c>
    </row>
    <row r="36" spans="1:37">
      <c r="G36" s="116">
        <v>5</v>
      </c>
      <c r="H36" s="117" t="s">
        <v>200</v>
      </c>
      <c r="I36" s="104" t="s">
        <v>61</v>
      </c>
      <c r="J36" s="119">
        <v>11.4</v>
      </c>
      <c r="K36" s="447" t="s">
        <v>200</v>
      </c>
      <c r="L36" s="448">
        <v>11.58</v>
      </c>
      <c r="M36" s="378">
        <v>2</v>
      </c>
      <c r="N36" s="378">
        <v>2</v>
      </c>
      <c r="O36" s="378">
        <v>2</v>
      </c>
      <c r="P36" s="378">
        <v>2</v>
      </c>
      <c r="Q36" s="378">
        <v>2</v>
      </c>
      <c r="R36" s="378">
        <v>2</v>
      </c>
      <c r="S36" s="378">
        <v>2</v>
      </c>
      <c r="T36" s="378">
        <v>2</v>
      </c>
      <c r="U36" s="378">
        <v>2</v>
      </c>
      <c r="V36" s="378">
        <v>2</v>
      </c>
      <c r="W36" s="378">
        <v>2</v>
      </c>
      <c r="X36" s="378">
        <v>2</v>
      </c>
    </row>
    <row r="37" spans="1:37">
      <c r="G37" s="116">
        <v>6</v>
      </c>
      <c r="H37" s="117" t="s">
        <v>56</v>
      </c>
      <c r="I37" s="104">
        <v>11.41</v>
      </c>
      <c r="J37" s="116">
        <v>11.52</v>
      </c>
      <c r="K37" s="447" t="s">
        <v>56</v>
      </c>
      <c r="L37" s="448">
        <v>12.06</v>
      </c>
      <c r="M37" s="378">
        <v>1</v>
      </c>
      <c r="N37" s="378">
        <v>1</v>
      </c>
      <c r="O37" s="378">
        <v>1</v>
      </c>
      <c r="P37" s="378">
        <v>1</v>
      </c>
      <c r="Q37" s="378">
        <v>1</v>
      </c>
      <c r="R37" s="378">
        <v>1</v>
      </c>
      <c r="S37" s="378">
        <v>1</v>
      </c>
      <c r="T37" s="378">
        <v>1</v>
      </c>
      <c r="U37" s="378">
        <v>1</v>
      </c>
      <c r="V37" s="378">
        <v>1</v>
      </c>
      <c r="W37" s="378">
        <v>1</v>
      </c>
      <c r="X37" s="378">
        <v>1</v>
      </c>
      <c r="Y37" s="378">
        <v>1</v>
      </c>
    </row>
    <row r="38" spans="1:37">
      <c r="G38" s="116">
        <v>7</v>
      </c>
      <c r="H38" s="117" t="s">
        <v>199</v>
      </c>
      <c r="I38" s="104">
        <v>12.04</v>
      </c>
      <c r="J38" s="116">
        <v>12.21</v>
      </c>
      <c r="K38" s="447" t="s">
        <v>199</v>
      </c>
      <c r="L38" s="448">
        <v>12.35</v>
      </c>
      <c r="M38" s="378">
        <v>3</v>
      </c>
      <c r="N38" s="378">
        <v>2</v>
      </c>
      <c r="O38" s="378">
        <v>2</v>
      </c>
    </row>
    <row r="39" spans="1:37" s="138" customFormat="1">
      <c r="A39" s="136"/>
      <c r="B39" s="151"/>
      <c r="C39" s="137"/>
      <c r="E39" s="137"/>
      <c r="F39" s="139"/>
      <c r="G39" s="139" t="s">
        <v>102</v>
      </c>
      <c r="H39" s="140">
        <v>3</v>
      </c>
      <c r="I39" s="137" t="s">
        <v>61</v>
      </c>
      <c r="J39" s="139" t="s">
        <v>61</v>
      </c>
      <c r="K39" s="447">
        <v>3</v>
      </c>
      <c r="L39" s="448">
        <v>10.55</v>
      </c>
      <c r="M39" s="378">
        <v>2</v>
      </c>
      <c r="N39" s="378">
        <v>2</v>
      </c>
      <c r="O39" s="378">
        <v>2</v>
      </c>
      <c r="P39" s="378">
        <v>2</v>
      </c>
      <c r="Q39" s="378">
        <v>2</v>
      </c>
      <c r="R39" s="378">
        <v>2</v>
      </c>
      <c r="S39" s="378">
        <v>2</v>
      </c>
      <c r="T39" s="378">
        <v>2</v>
      </c>
      <c r="U39" s="378">
        <v>2</v>
      </c>
      <c r="V39" s="378">
        <v>1</v>
      </c>
      <c r="W39" s="378">
        <v>1</v>
      </c>
      <c r="X39" s="378">
        <v>1</v>
      </c>
      <c r="Y39" s="378">
        <v>1</v>
      </c>
      <c r="Z39" s="378"/>
      <c r="AA39" s="378"/>
      <c r="AB39" s="378"/>
      <c r="AC39" s="378"/>
      <c r="AD39" s="378"/>
      <c r="AE39" s="378"/>
      <c r="AF39" s="378"/>
      <c r="AG39" s="378"/>
      <c r="AH39" s="378"/>
      <c r="AI39" s="378"/>
      <c r="AJ39" s="68"/>
    </row>
    <row r="40" spans="1:37" s="138" customFormat="1">
      <c r="A40" s="136"/>
      <c r="B40" s="151"/>
      <c r="C40" s="137"/>
      <c r="E40" s="137"/>
      <c r="F40" s="139"/>
      <c r="G40" s="141" t="s">
        <v>103</v>
      </c>
      <c r="H40" s="142">
        <v>2</v>
      </c>
      <c r="I40" s="143" t="s">
        <v>61</v>
      </c>
      <c r="J40" s="141" t="s">
        <v>61</v>
      </c>
      <c r="K40" s="451">
        <v>2</v>
      </c>
      <c r="L40" s="454">
        <v>11.11</v>
      </c>
      <c r="M40" s="380">
        <v>2</v>
      </c>
      <c r="N40" s="380">
        <v>2</v>
      </c>
      <c r="O40" s="380">
        <v>2</v>
      </c>
      <c r="P40" s="380">
        <v>2</v>
      </c>
      <c r="Q40" s="380">
        <v>2</v>
      </c>
      <c r="R40" s="380">
        <v>2</v>
      </c>
      <c r="S40" s="380">
        <v>2</v>
      </c>
      <c r="T40" s="380">
        <v>2</v>
      </c>
      <c r="U40" s="380">
        <v>2</v>
      </c>
      <c r="V40" s="380">
        <v>2</v>
      </c>
      <c r="W40" s="380">
        <v>2</v>
      </c>
      <c r="X40" s="380">
        <v>2</v>
      </c>
      <c r="Y40" s="380">
        <v>2</v>
      </c>
      <c r="Z40" s="380">
        <v>1</v>
      </c>
      <c r="AA40" s="380">
        <v>1</v>
      </c>
      <c r="AB40" s="380">
        <v>1</v>
      </c>
      <c r="AC40" s="380">
        <v>1</v>
      </c>
      <c r="AD40" s="380">
        <v>1</v>
      </c>
      <c r="AE40" s="380">
        <v>1</v>
      </c>
      <c r="AF40" s="380">
        <v>1</v>
      </c>
      <c r="AG40" s="380" t="s">
        <v>201</v>
      </c>
      <c r="AH40" s="380" t="s">
        <v>201</v>
      </c>
      <c r="AI40" s="381" t="s">
        <v>188</v>
      </c>
      <c r="AJ40" s="73" t="s">
        <v>202</v>
      </c>
      <c r="AK40" s="367" t="s">
        <v>203</v>
      </c>
    </row>
    <row r="41" spans="1:37" s="138" customFormat="1">
      <c r="A41" s="136"/>
      <c r="B41" s="151"/>
      <c r="C41" s="137"/>
      <c r="E41" s="137"/>
      <c r="F41" s="139"/>
      <c r="G41" s="139" t="s">
        <v>104</v>
      </c>
      <c r="H41" s="140">
        <v>3</v>
      </c>
      <c r="I41" s="137" t="s">
        <v>61</v>
      </c>
      <c r="J41" s="139" t="s">
        <v>61</v>
      </c>
      <c r="K41" s="447">
        <v>3</v>
      </c>
      <c r="L41" s="448">
        <v>11.36</v>
      </c>
      <c r="M41" s="378">
        <v>3</v>
      </c>
      <c r="N41" s="378">
        <v>1</v>
      </c>
      <c r="O41" s="378">
        <v>1</v>
      </c>
      <c r="P41" s="378">
        <v>1</v>
      </c>
      <c r="Q41" s="378">
        <v>1</v>
      </c>
      <c r="R41" s="378">
        <v>1</v>
      </c>
      <c r="S41" s="378">
        <v>1</v>
      </c>
      <c r="T41" s="378">
        <v>1</v>
      </c>
      <c r="U41" s="378">
        <v>1</v>
      </c>
      <c r="V41" s="378"/>
      <c r="W41" s="378"/>
      <c r="X41" s="378"/>
      <c r="Y41" s="378"/>
      <c r="Z41" s="378"/>
      <c r="AA41" s="378"/>
      <c r="AB41" s="378"/>
      <c r="AC41" s="378"/>
      <c r="AD41" s="378"/>
      <c r="AE41" s="378"/>
      <c r="AF41" s="378"/>
      <c r="AG41" s="378"/>
      <c r="AH41" s="378"/>
      <c r="AI41" s="378"/>
      <c r="AJ41" s="68"/>
    </row>
    <row r="42" spans="1:37" s="138" customFormat="1">
      <c r="A42" s="136"/>
      <c r="B42" s="151"/>
      <c r="C42" s="137"/>
      <c r="E42" s="137"/>
      <c r="F42" s="139"/>
      <c r="G42" s="139" t="s">
        <v>105</v>
      </c>
      <c r="H42" s="140">
        <v>3</v>
      </c>
      <c r="I42" s="137" t="s">
        <v>61</v>
      </c>
      <c r="J42" s="139" t="s">
        <v>61</v>
      </c>
      <c r="K42" s="447">
        <v>3</v>
      </c>
      <c r="L42" s="453">
        <v>12.1</v>
      </c>
      <c r="M42" s="378">
        <v>2</v>
      </c>
      <c r="N42" s="378">
        <v>2</v>
      </c>
      <c r="O42" s="378">
        <v>2</v>
      </c>
      <c r="P42" s="378">
        <v>2</v>
      </c>
      <c r="Q42" s="378">
        <v>2</v>
      </c>
      <c r="R42" s="378">
        <v>2</v>
      </c>
      <c r="S42" s="378">
        <v>2</v>
      </c>
      <c r="T42" s="378">
        <v>2</v>
      </c>
      <c r="U42" s="378">
        <v>2</v>
      </c>
      <c r="V42" s="378">
        <v>2</v>
      </c>
      <c r="W42" s="378">
        <v>2</v>
      </c>
      <c r="X42" s="378">
        <v>1</v>
      </c>
      <c r="Y42" s="378"/>
      <c r="Z42" s="378"/>
      <c r="AA42" s="378"/>
      <c r="AB42" s="378"/>
      <c r="AC42" s="378"/>
      <c r="AD42" s="378"/>
      <c r="AE42" s="378"/>
      <c r="AF42" s="378"/>
      <c r="AG42" s="378"/>
      <c r="AH42" s="378"/>
      <c r="AI42" s="378"/>
      <c r="AJ42" s="68"/>
    </row>
    <row r="43" spans="1:37" s="146" customFormat="1">
      <c r="A43" s="144"/>
      <c r="B43" s="152"/>
      <c r="C43" s="145"/>
      <c r="E43" s="145"/>
      <c r="F43" s="147"/>
      <c r="G43" s="147" t="s">
        <v>106</v>
      </c>
      <c r="H43" s="148">
        <v>3</v>
      </c>
      <c r="I43" s="145" t="s">
        <v>61</v>
      </c>
      <c r="J43" s="147" t="s">
        <v>61</v>
      </c>
      <c r="K43" s="449">
        <v>3</v>
      </c>
      <c r="L43" s="450">
        <v>12.28</v>
      </c>
      <c r="M43" s="379">
        <v>2</v>
      </c>
      <c r="N43" s="379">
        <v>2</v>
      </c>
      <c r="O43" s="379">
        <v>2</v>
      </c>
      <c r="P43" s="379">
        <v>2</v>
      </c>
      <c r="Q43" s="379">
        <v>2</v>
      </c>
      <c r="R43" s="379">
        <v>2</v>
      </c>
      <c r="S43" s="379">
        <v>2</v>
      </c>
      <c r="T43" s="379">
        <v>2</v>
      </c>
      <c r="U43" s="379">
        <v>2</v>
      </c>
      <c r="V43" s="379">
        <v>2</v>
      </c>
      <c r="W43" s="379">
        <v>2</v>
      </c>
      <c r="X43" s="379">
        <v>2</v>
      </c>
      <c r="Y43" s="379">
        <v>2</v>
      </c>
      <c r="Z43" s="379"/>
      <c r="AA43" s="379"/>
      <c r="AB43" s="379"/>
      <c r="AC43" s="379"/>
      <c r="AD43" s="379"/>
      <c r="AE43" s="379"/>
      <c r="AF43" s="379"/>
      <c r="AG43" s="379"/>
      <c r="AH43" s="379"/>
      <c r="AI43" s="379"/>
      <c r="AJ43" s="77"/>
    </row>
    <row r="44" spans="1:37">
      <c r="A44" s="120">
        <v>6</v>
      </c>
      <c r="B44" s="105">
        <v>45926</v>
      </c>
      <c r="C44" s="104" t="s">
        <v>95</v>
      </c>
      <c r="D44" t="s">
        <v>204</v>
      </c>
      <c r="E44" s="104">
        <v>100</v>
      </c>
      <c r="F44" s="116">
        <v>500</v>
      </c>
      <c r="G44" s="116">
        <v>1</v>
      </c>
      <c r="H44" s="149">
        <v>1</v>
      </c>
      <c r="I44" s="104">
        <v>10.08</v>
      </c>
      <c r="J44" s="119">
        <v>10.199999999999999</v>
      </c>
      <c r="K44" s="448">
        <v>1</v>
      </c>
      <c r="L44" s="448">
        <v>10.35</v>
      </c>
      <c r="M44" s="378">
        <v>0</v>
      </c>
    </row>
    <row r="45" spans="1:37">
      <c r="C45" s="104" t="s">
        <v>95</v>
      </c>
      <c r="E45" s="714" t="s">
        <v>193</v>
      </c>
      <c r="F45" s="715"/>
      <c r="G45" s="116">
        <v>2</v>
      </c>
      <c r="H45" s="149">
        <v>4</v>
      </c>
      <c r="I45" s="104">
        <v>10.210000000000001</v>
      </c>
      <c r="J45" s="116">
        <v>10.39</v>
      </c>
      <c r="K45" s="448">
        <v>4</v>
      </c>
      <c r="L45" s="448">
        <v>10.54</v>
      </c>
      <c r="M45" s="378">
        <v>2</v>
      </c>
      <c r="N45" s="378">
        <v>2</v>
      </c>
      <c r="O45" s="378">
        <v>2</v>
      </c>
      <c r="P45" s="378">
        <v>2</v>
      </c>
      <c r="Q45" s="378">
        <v>2</v>
      </c>
      <c r="R45" s="378">
        <v>2</v>
      </c>
      <c r="S45" s="378">
        <v>2</v>
      </c>
      <c r="T45" s="378">
        <v>2</v>
      </c>
      <c r="U45" s="378">
        <v>2</v>
      </c>
      <c r="V45" s="378">
        <v>2</v>
      </c>
      <c r="W45" s="378">
        <v>2</v>
      </c>
      <c r="X45" s="378">
        <v>2</v>
      </c>
      <c r="Y45" s="378">
        <v>1</v>
      </c>
    </row>
    <row r="46" spans="1:37">
      <c r="C46" s="104" t="s">
        <v>98</v>
      </c>
      <c r="G46" s="116">
        <v>3</v>
      </c>
      <c r="H46" s="149">
        <v>3</v>
      </c>
      <c r="I46" s="104">
        <v>10.47</v>
      </c>
      <c r="J46" s="119">
        <v>11.06</v>
      </c>
      <c r="K46" s="448">
        <v>3</v>
      </c>
      <c r="L46" s="448">
        <v>11.23</v>
      </c>
      <c r="M46" s="378">
        <v>1</v>
      </c>
      <c r="N46" s="378">
        <v>1</v>
      </c>
      <c r="O46" s="378">
        <v>1</v>
      </c>
      <c r="P46" s="378">
        <v>1</v>
      </c>
      <c r="Q46" s="378">
        <v>1</v>
      </c>
      <c r="R46" s="378">
        <v>1</v>
      </c>
      <c r="S46" s="378">
        <v>1</v>
      </c>
      <c r="T46" s="378">
        <v>1</v>
      </c>
    </row>
    <row r="47" spans="1:37">
      <c r="C47" s="104" t="s">
        <v>95</v>
      </c>
      <c r="G47" s="116">
        <v>4</v>
      </c>
      <c r="H47" s="149">
        <v>3</v>
      </c>
      <c r="I47" s="104">
        <v>11.1</v>
      </c>
      <c r="J47" s="116">
        <v>11.35</v>
      </c>
      <c r="K47" s="448">
        <v>3</v>
      </c>
      <c r="L47" s="453">
        <v>11.5</v>
      </c>
      <c r="M47" s="378">
        <v>2</v>
      </c>
      <c r="N47" s="378">
        <v>2</v>
      </c>
      <c r="O47" s="378">
        <v>2</v>
      </c>
      <c r="P47" s="378">
        <v>2</v>
      </c>
      <c r="Q47" s="378">
        <v>2</v>
      </c>
      <c r="R47" s="378">
        <v>2</v>
      </c>
      <c r="S47" s="378">
        <v>2</v>
      </c>
      <c r="T47" s="378">
        <v>2</v>
      </c>
      <c r="U47" s="378">
        <v>2</v>
      </c>
      <c r="V47" s="378">
        <v>2</v>
      </c>
      <c r="W47" s="378">
        <v>2</v>
      </c>
      <c r="X47" s="378">
        <v>1</v>
      </c>
      <c r="Y47" s="378">
        <v>1</v>
      </c>
      <c r="Z47" s="378">
        <v>1</v>
      </c>
    </row>
    <row r="48" spans="1:37">
      <c r="C48" s="104" t="s">
        <v>98</v>
      </c>
      <c r="G48" s="116">
        <v>5</v>
      </c>
      <c r="H48" s="149">
        <v>4</v>
      </c>
      <c r="I48" s="104">
        <v>11.45</v>
      </c>
      <c r="J48" s="116" t="s">
        <v>61</v>
      </c>
      <c r="K48" s="448">
        <v>4</v>
      </c>
      <c r="L48" s="448">
        <v>12.34</v>
      </c>
      <c r="M48" s="378">
        <v>4</v>
      </c>
      <c r="N48" s="378">
        <v>4</v>
      </c>
      <c r="O48" s="378">
        <v>4</v>
      </c>
      <c r="P48" s="378">
        <v>4</v>
      </c>
      <c r="Q48" s="378">
        <v>4</v>
      </c>
      <c r="R48" s="378">
        <v>4</v>
      </c>
      <c r="S48" s="378">
        <v>4</v>
      </c>
      <c r="T48" s="378">
        <v>4</v>
      </c>
      <c r="U48" s="378">
        <v>3</v>
      </c>
      <c r="V48" s="378">
        <v>3</v>
      </c>
      <c r="W48" s="378">
        <v>3</v>
      </c>
    </row>
    <row r="49" spans="1:38" s="103" customFormat="1">
      <c r="A49" s="121"/>
      <c r="B49" s="110"/>
      <c r="C49" s="109" t="s">
        <v>98</v>
      </c>
      <c r="E49" s="109"/>
      <c r="F49" s="122"/>
      <c r="G49" s="122">
        <v>6</v>
      </c>
      <c r="H49" s="150">
        <v>4</v>
      </c>
      <c r="I49" s="109" t="s">
        <v>61</v>
      </c>
      <c r="J49" s="122">
        <v>12.33</v>
      </c>
      <c r="K49" s="450">
        <v>4</v>
      </c>
      <c r="L49" s="450">
        <v>12.48</v>
      </c>
      <c r="M49" s="379">
        <v>3</v>
      </c>
      <c r="N49" s="379">
        <v>3</v>
      </c>
      <c r="O49" s="379">
        <v>3</v>
      </c>
      <c r="P49" s="379">
        <v>3</v>
      </c>
      <c r="Q49" s="379">
        <v>3</v>
      </c>
      <c r="R49" s="379">
        <v>3</v>
      </c>
      <c r="S49" s="379">
        <v>1</v>
      </c>
      <c r="T49" s="379">
        <v>1</v>
      </c>
      <c r="U49" s="379">
        <v>1</v>
      </c>
      <c r="V49" s="379">
        <v>1</v>
      </c>
      <c r="W49" s="379"/>
      <c r="X49" s="379"/>
      <c r="Y49" s="379"/>
      <c r="Z49" s="379"/>
      <c r="AA49" s="379"/>
      <c r="AB49" s="379"/>
      <c r="AC49" s="379"/>
      <c r="AD49" s="379"/>
      <c r="AE49" s="379"/>
      <c r="AF49" s="379"/>
      <c r="AG49" s="379"/>
      <c r="AH49" s="379"/>
      <c r="AI49" s="379"/>
      <c r="AJ49" s="28"/>
    </row>
    <row r="50" spans="1:38">
      <c r="A50" s="120">
        <v>7</v>
      </c>
      <c r="B50" s="105">
        <v>45930</v>
      </c>
      <c r="C50" s="104" t="s">
        <v>100</v>
      </c>
      <c r="D50" t="s">
        <v>205</v>
      </c>
      <c r="E50" s="104">
        <v>100</v>
      </c>
      <c r="F50" s="116">
        <v>500</v>
      </c>
      <c r="G50" s="116">
        <v>1</v>
      </c>
      <c r="H50" s="117">
        <v>5</v>
      </c>
      <c r="I50" s="104">
        <v>9.49</v>
      </c>
      <c r="J50" s="116">
        <v>10.14</v>
      </c>
      <c r="K50" s="448">
        <v>5</v>
      </c>
      <c r="L50" s="453">
        <v>10.3</v>
      </c>
      <c r="M50" s="378">
        <v>3</v>
      </c>
      <c r="N50" s="378">
        <v>3</v>
      </c>
      <c r="O50" s="378">
        <v>3</v>
      </c>
      <c r="P50" s="378">
        <v>3</v>
      </c>
      <c r="Q50" s="378">
        <v>3</v>
      </c>
      <c r="R50" s="378">
        <v>3</v>
      </c>
      <c r="S50" s="378">
        <v>3</v>
      </c>
      <c r="T50" s="378">
        <v>3</v>
      </c>
      <c r="U50" s="378">
        <v>3</v>
      </c>
      <c r="V50" s="378">
        <v>3</v>
      </c>
      <c r="W50" s="378">
        <v>3</v>
      </c>
      <c r="X50" s="378">
        <v>3</v>
      </c>
      <c r="Y50" s="378">
        <v>3</v>
      </c>
    </row>
    <row r="51" spans="1:38">
      <c r="E51" s="714" t="s">
        <v>193</v>
      </c>
      <c r="F51" s="715"/>
      <c r="G51" s="116">
        <v>2</v>
      </c>
      <c r="H51" s="117">
        <v>4</v>
      </c>
      <c r="I51" s="104">
        <v>10.220000000000001</v>
      </c>
      <c r="J51" s="116">
        <v>10.38</v>
      </c>
      <c r="K51" s="448">
        <v>4</v>
      </c>
      <c r="L51" s="448">
        <v>10.54</v>
      </c>
      <c r="M51" s="378">
        <v>3</v>
      </c>
      <c r="N51" s="378">
        <v>3</v>
      </c>
      <c r="O51" s="378">
        <v>3</v>
      </c>
      <c r="P51" s="378">
        <v>3</v>
      </c>
      <c r="Q51" s="378">
        <v>3</v>
      </c>
      <c r="R51" s="378">
        <v>3</v>
      </c>
      <c r="S51" s="378">
        <v>3</v>
      </c>
      <c r="T51" s="378">
        <v>3</v>
      </c>
      <c r="U51" s="378">
        <v>2</v>
      </c>
      <c r="V51" s="378">
        <v>2</v>
      </c>
      <c r="W51" s="378">
        <v>2</v>
      </c>
      <c r="X51" s="378">
        <v>2</v>
      </c>
      <c r="Y51" s="378">
        <v>2</v>
      </c>
    </row>
    <row r="52" spans="1:38">
      <c r="G52" s="116">
        <v>3</v>
      </c>
      <c r="H52" s="117">
        <v>5</v>
      </c>
      <c r="I52" s="104">
        <v>10.39</v>
      </c>
      <c r="J52" s="116">
        <v>10.56</v>
      </c>
      <c r="K52" s="448">
        <v>5</v>
      </c>
      <c r="L52" s="448">
        <v>11.12</v>
      </c>
      <c r="M52" s="378">
        <v>3</v>
      </c>
      <c r="N52" s="378">
        <v>2</v>
      </c>
      <c r="O52" s="378">
        <v>2</v>
      </c>
      <c r="P52" s="378">
        <v>2</v>
      </c>
      <c r="Q52" s="378">
        <v>2</v>
      </c>
      <c r="R52" s="378">
        <v>2</v>
      </c>
      <c r="S52" s="378">
        <v>2</v>
      </c>
      <c r="T52" s="378">
        <v>2</v>
      </c>
      <c r="U52" s="378">
        <v>2</v>
      </c>
      <c r="V52" s="378">
        <v>2</v>
      </c>
      <c r="W52" s="378">
        <v>2</v>
      </c>
      <c r="X52" s="378">
        <v>2</v>
      </c>
      <c r="Y52" s="378">
        <v>2</v>
      </c>
    </row>
    <row r="53" spans="1:38">
      <c r="G53" s="116">
        <v>4</v>
      </c>
      <c r="H53" s="117">
        <v>3</v>
      </c>
      <c r="I53" s="118">
        <v>11.1</v>
      </c>
      <c r="J53" s="116">
        <v>11.22</v>
      </c>
      <c r="K53" s="448">
        <v>3</v>
      </c>
      <c r="L53" s="448">
        <v>11.38</v>
      </c>
      <c r="M53" s="378">
        <v>1</v>
      </c>
      <c r="N53" s="378">
        <v>1</v>
      </c>
      <c r="O53" s="378">
        <v>1</v>
      </c>
      <c r="P53" s="378">
        <v>1</v>
      </c>
      <c r="Q53" s="378">
        <v>1</v>
      </c>
      <c r="R53" s="378">
        <v>1</v>
      </c>
      <c r="S53" s="378">
        <v>1</v>
      </c>
      <c r="T53" s="378">
        <v>1</v>
      </c>
      <c r="U53" s="378">
        <v>1</v>
      </c>
      <c r="V53" s="378">
        <v>1</v>
      </c>
      <c r="W53" s="378">
        <v>1</v>
      </c>
      <c r="X53" s="378">
        <v>1</v>
      </c>
      <c r="Y53" s="378">
        <v>1</v>
      </c>
      <c r="Z53" s="378">
        <v>1</v>
      </c>
    </row>
    <row r="54" spans="1:38">
      <c r="G54" s="116">
        <v>5</v>
      </c>
      <c r="H54" s="117">
        <v>6</v>
      </c>
      <c r="I54" s="104">
        <v>11.22</v>
      </c>
      <c r="J54" s="119">
        <v>11.4</v>
      </c>
      <c r="K54" s="448">
        <v>6</v>
      </c>
      <c r="L54" s="448">
        <v>12.03</v>
      </c>
      <c r="M54" s="378">
        <v>3</v>
      </c>
      <c r="N54" s="378">
        <v>3</v>
      </c>
      <c r="O54" s="378">
        <v>2</v>
      </c>
      <c r="P54" s="378">
        <v>2</v>
      </c>
      <c r="Q54" s="378">
        <v>2</v>
      </c>
      <c r="R54" s="378">
        <v>2</v>
      </c>
      <c r="S54" s="378">
        <v>2</v>
      </c>
      <c r="T54" s="378">
        <v>2</v>
      </c>
      <c r="U54" s="378">
        <v>2</v>
      </c>
      <c r="V54" s="378">
        <v>2</v>
      </c>
      <c r="W54" s="378">
        <v>2</v>
      </c>
      <c r="X54" s="378">
        <v>2</v>
      </c>
      <c r="Y54" s="378">
        <v>2</v>
      </c>
      <c r="Z54" s="378">
        <v>2</v>
      </c>
      <c r="AA54" s="378">
        <v>1</v>
      </c>
    </row>
    <row r="55" spans="1:38">
      <c r="G55" s="116">
        <v>6</v>
      </c>
      <c r="H55" s="117">
        <v>6</v>
      </c>
      <c r="I55" s="104">
        <v>11.48</v>
      </c>
      <c r="J55" s="116">
        <v>12.04</v>
      </c>
      <c r="K55" s="448">
        <v>6</v>
      </c>
      <c r="L55" s="448">
        <v>12.21</v>
      </c>
      <c r="M55" s="378">
        <v>4</v>
      </c>
      <c r="N55" s="378">
        <v>4</v>
      </c>
      <c r="O55" s="378">
        <v>4</v>
      </c>
      <c r="P55" s="378">
        <v>2</v>
      </c>
      <c r="Q55" s="378">
        <v>2</v>
      </c>
      <c r="R55" s="378">
        <v>2</v>
      </c>
      <c r="S55" s="378">
        <v>2</v>
      </c>
      <c r="T55" s="378">
        <v>2</v>
      </c>
      <c r="U55" s="378">
        <v>2</v>
      </c>
      <c r="V55" s="378">
        <v>2</v>
      </c>
      <c r="W55" s="378">
        <v>2</v>
      </c>
      <c r="X55" s="378">
        <v>2</v>
      </c>
      <c r="Y55" s="378">
        <v>2</v>
      </c>
    </row>
    <row r="56" spans="1:38" s="103" customFormat="1">
      <c r="A56" s="121"/>
      <c r="B56" s="110"/>
      <c r="C56" s="109"/>
      <c r="E56" s="109"/>
      <c r="F56" s="122"/>
      <c r="G56" s="122">
        <v>7</v>
      </c>
      <c r="H56" s="123">
        <v>5</v>
      </c>
      <c r="I56" s="109">
        <v>12.05</v>
      </c>
      <c r="J56" s="125">
        <v>12.2</v>
      </c>
      <c r="K56" s="450">
        <v>5</v>
      </c>
      <c r="L56" s="450">
        <v>12.37</v>
      </c>
      <c r="M56" s="379">
        <v>1</v>
      </c>
      <c r="N56" s="379">
        <v>1</v>
      </c>
      <c r="O56" s="379">
        <v>1</v>
      </c>
      <c r="P56" s="379">
        <v>1</v>
      </c>
      <c r="Q56" s="379">
        <v>1</v>
      </c>
      <c r="R56" s="379">
        <v>1</v>
      </c>
      <c r="S56" s="379">
        <v>1</v>
      </c>
      <c r="T56" s="379">
        <v>1</v>
      </c>
      <c r="U56" s="379">
        <v>1</v>
      </c>
      <c r="V56" s="379">
        <v>1</v>
      </c>
      <c r="W56" s="379"/>
      <c r="X56" s="379"/>
      <c r="Y56" s="379"/>
      <c r="Z56" s="379"/>
      <c r="AA56" s="379"/>
      <c r="AB56" s="379"/>
      <c r="AC56" s="379"/>
      <c r="AD56" s="379"/>
      <c r="AE56" s="379"/>
      <c r="AF56" s="379"/>
      <c r="AG56" s="379"/>
      <c r="AH56" s="379"/>
      <c r="AI56" s="379"/>
      <c r="AJ56" s="28"/>
    </row>
    <row r="57" spans="1:38">
      <c r="A57" s="188">
        <v>8</v>
      </c>
      <c r="B57" s="228">
        <v>45932</v>
      </c>
      <c r="C57" s="172" t="s">
        <v>109</v>
      </c>
      <c r="D57" s="172" t="s">
        <v>206</v>
      </c>
      <c r="E57" s="175">
        <v>100</v>
      </c>
      <c r="F57" s="174">
        <v>500</v>
      </c>
      <c r="G57" s="174">
        <v>1</v>
      </c>
      <c r="H57" s="174">
        <v>6</v>
      </c>
      <c r="I57" s="175">
        <v>10.050000000000001</v>
      </c>
      <c r="J57" s="230">
        <v>10.3</v>
      </c>
      <c r="K57" s="455">
        <v>6</v>
      </c>
      <c r="L57" s="455">
        <v>10.45</v>
      </c>
      <c r="M57" s="382">
        <v>4</v>
      </c>
      <c r="N57" s="382">
        <v>4</v>
      </c>
      <c r="O57" s="382">
        <v>4</v>
      </c>
      <c r="P57" s="382">
        <v>4</v>
      </c>
      <c r="Q57" s="382">
        <v>4</v>
      </c>
      <c r="R57" s="382">
        <v>4</v>
      </c>
      <c r="S57" s="382">
        <v>4</v>
      </c>
      <c r="T57" s="382">
        <v>4</v>
      </c>
      <c r="U57" s="382">
        <v>4</v>
      </c>
      <c r="V57" s="382">
        <v>4</v>
      </c>
      <c r="W57" s="382">
        <v>4</v>
      </c>
      <c r="X57" s="382">
        <v>1</v>
      </c>
      <c r="Y57" s="382">
        <v>1</v>
      </c>
      <c r="Z57" s="382"/>
      <c r="AA57" s="382"/>
      <c r="AB57" s="382"/>
      <c r="AC57" s="382"/>
      <c r="AD57" s="382"/>
      <c r="AE57" s="382"/>
      <c r="AF57" s="382"/>
      <c r="AG57" s="382"/>
      <c r="AH57" s="382"/>
      <c r="AI57" s="382"/>
      <c r="AJ57" s="176"/>
      <c r="AK57" s="172"/>
      <c r="AL57" s="172"/>
    </row>
    <row r="58" spans="1:38">
      <c r="A58" s="188"/>
      <c r="B58" s="228"/>
      <c r="C58" s="172"/>
      <c r="D58" s="172"/>
      <c r="E58" s="702" t="s">
        <v>193</v>
      </c>
      <c r="F58" s="703"/>
      <c r="G58" s="174">
        <v>2</v>
      </c>
      <c r="H58" s="174">
        <v>4</v>
      </c>
      <c r="I58" s="175">
        <v>10.31</v>
      </c>
      <c r="J58" s="174">
        <v>10.47</v>
      </c>
      <c r="K58" s="455">
        <v>4</v>
      </c>
      <c r="L58" s="455">
        <v>11.03</v>
      </c>
      <c r="M58" s="382">
        <v>2</v>
      </c>
      <c r="N58" s="382">
        <v>2</v>
      </c>
      <c r="O58" s="382">
        <v>2</v>
      </c>
      <c r="P58" s="382">
        <v>2</v>
      </c>
      <c r="Q58" s="382"/>
      <c r="R58" s="382"/>
      <c r="S58" s="382"/>
      <c r="T58" s="382"/>
      <c r="U58" s="382"/>
      <c r="V58" s="382"/>
      <c r="W58" s="382"/>
      <c r="X58" s="382"/>
      <c r="Y58" s="382"/>
      <c r="Z58" s="382"/>
      <c r="AA58" s="382"/>
      <c r="AB58" s="382"/>
      <c r="AC58" s="382"/>
      <c r="AD58" s="382"/>
      <c r="AE58" s="382"/>
      <c r="AF58" s="382"/>
      <c r="AG58" s="382"/>
      <c r="AH58" s="382"/>
      <c r="AI58" s="382"/>
      <c r="AJ58" s="176"/>
      <c r="AK58" s="172"/>
      <c r="AL58" s="172"/>
    </row>
    <row r="59" spans="1:38">
      <c r="A59" s="188"/>
      <c r="B59" s="228"/>
      <c r="C59" s="172"/>
      <c r="D59" s="172"/>
      <c r="E59" s="175"/>
      <c r="F59" s="174" t="s">
        <v>207</v>
      </c>
      <c r="G59" s="174">
        <v>3</v>
      </c>
      <c r="H59" s="174">
        <v>6</v>
      </c>
      <c r="I59" s="175">
        <v>10.48</v>
      </c>
      <c r="J59" s="174">
        <v>11.13</v>
      </c>
      <c r="K59" s="455">
        <v>6</v>
      </c>
      <c r="L59" s="455">
        <v>11.29</v>
      </c>
      <c r="M59" s="382">
        <v>3</v>
      </c>
      <c r="N59" s="382">
        <v>3</v>
      </c>
      <c r="O59" s="382">
        <v>3</v>
      </c>
      <c r="P59" s="382">
        <v>3</v>
      </c>
      <c r="Q59" s="382">
        <v>3</v>
      </c>
      <c r="R59" s="382">
        <v>3</v>
      </c>
      <c r="S59" s="382">
        <v>3</v>
      </c>
      <c r="T59" s="382">
        <v>3</v>
      </c>
      <c r="U59" s="382">
        <v>3</v>
      </c>
      <c r="V59" s="382">
        <v>3</v>
      </c>
      <c r="W59" s="382">
        <v>3</v>
      </c>
      <c r="X59" s="382">
        <v>2</v>
      </c>
      <c r="Y59" s="382">
        <v>2</v>
      </c>
      <c r="Z59" s="382">
        <v>2</v>
      </c>
      <c r="AA59" s="382">
        <v>1</v>
      </c>
      <c r="AB59" s="382">
        <v>1</v>
      </c>
      <c r="AC59" s="382">
        <v>1</v>
      </c>
      <c r="AD59" s="382">
        <v>1</v>
      </c>
      <c r="AE59" s="382"/>
      <c r="AF59" s="382"/>
      <c r="AG59" s="382"/>
      <c r="AH59" s="382"/>
      <c r="AI59" s="382"/>
      <c r="AJ59" s="176"/>
      <c r="AK59" s="172"/>
      <c r="AL59" s="172"/>
    </row>
    <row r="60" spans="1:38">
      <c r="A60" s="188"/>
      <c r="B60" s="228"/>
      <c r="C60" s="172"/>
      <c r="D60" s="172"/>
      <c r="E60" s="175"/>
      <c r="F60" s="174" t="s">
        <v>207</v>
      </c>
      <c r="G60" s="174">
        <v>4</v>
      </c>
      <c r="H60" s="174">
        <v>5</v>
      </c>
      <c r="I60" s="175">
        <v>11.15</v>
      </c>
      <c r="J60" s="174">
        <v>11.38</v>
      </c>
      <c r="K60" s="455">
        <v>5</v>
      </c>
      <c r="L60" s="455">
        <v>11.53</v>
      </c>
      <c r="M60" s="382">
        <v>4</v>
      </c>
      <c r="N60" s="382">
        <v>4</v>
      </c>
      <c r="O60" s="382">
        <v>4</v>
      </c>
      <c r="P60" s="382">
        <v>4</v>
      </c>
      <c r="Q60" s="382">
        <v>4</v>
      </c>
      <c r="R60" s="382">
        <v>4</v>
      </c>
      <c r="S60" s="382">
        <v>2</v>
      </c>
      <c r="T60" s="382">
        <v>2</v>
      </c>
      <c r="U60" s="382">
        <v>2</v>
      </c>
      <c r="V60" s="382">
        <v>2</v>
      </c>
      <c r="W60" s="382"/>
      <c r="X60" s="382"/>
      <c r="Y60" s="382"/>
      <c r="Z60" s="382"/>
      <c r="AA60" s="382"/>
      <c r="AB60" s="382"/>
      <c r="AC60" s="382"/>
      <c r="AD60" s="382"/>
      <c r="AE60" s="382"/>
      <c r="AF60" s="382"/>
      <c r="AG60" s="382"/>
      <c r="AH60" s="382"/>
      <c r="AI60" s="382"/>
      <c r="AJ60" s="176"/>
      <c r="AK60" s="172"/>
      <c r="AL60" s="172"/>
    </row>
    <row r="61" spans="1:38">
      <c r="A61" s="189" t="s">
        <v>207</v>
      </c>
      <c r="B61" s="229" t="s">
        <v>207</v>
      </c>
      <c r="C61" s="173" t="s">
        <v>207</v>
      </c>
      <c r="D61" s="173" t="s">
        <v>207</v>
      </c>
      <c r="E61" s="182" t="s">
        <v>207</v>
      </c>
      <c r="F61" s="181" t="s">
        <v>207</v>
      </c>
      <c r="G61" s="177">
        <v>5</v>
      </c>
      <c r="H61" s="177">
        <v>6</v>
      </c>
      <c r="I61" s="178">
        <v>11.39</v>
      </c>
      <c r="J61" s="177">
        <v>12.18</v>
      </c>
      <c r="K61" s="456">
        <v>6</v>
      </c>
      <c r="L61" s="456">
        <v>12.33</v>
      </c>
      <c r="M61" s="383">
        <v>6</v>
      </c>
      <c r="N61" s="383">
        <v>4</v>
      </c>
      <c r="O61" s="383">
        <v>4</v>
      </c>
      <c r="P61" s="383">
        <v>4</v>
      </c>
      <c r="Q61" s="383">
        <v>4</v>
      </c>
      <c r="R61" s="383">
        <v>4</v>
      </c>
      <c r="S61" s="383">
        <v>4</v>
      </c>
      <c r="T61" s="383">
        <v>3</v>
      </c>
      <c r="U61" s="383">
        <v>3</v>
      </c>
      <c r="V61" s="383">
        <v>3</v>
      </c>
      <c r="W61" s="383">
        <v>3</v>
      </c>
      <c r="X61" s="383" t="s">
        <v>207</v>
      </c>
      <c r="Y61" s="383">
        <v>2</v>
      </c>
      <c r="Z61" s="383">
        <v>2</v>
      </c>
      <c r="AA61" s="383">
        <v>2</v>
      </c>
      <c r="AB61" s="383">
        <v>2</v>
      </c>
      <c r="AC61" s="383">
        <v>2</v>
      </c>
      <c r="AD61" s="383">
        <v>1</v>
      </c>
      <c r="AE61" s="383">
        <v>1</v>
      </c>
      <c r="AF61" s="383">
        <v>1</v>
      </c>
      <c r="AG61" s="383">
        <v>1</v>
      </c>
      <c r="AH61" s="383">
        <v>1</v>
      </c>
      <c r="AI61" s="384" t="s">
        <v>188</v>
      </c>
      <c r="AJ61" s="178" t="s">
        <v>188</v>
      </c>
      <c r="AK61" s="371" t="s">
        <v>208</v>
      </c>
      <c r="AL61" s="173" t="s">
        <v>207</v>
      </c>
    </row>
    <row r="62" spans="1:38">
      <c r="A62" s="188">
        <v>9</v>
      </c>
      <c r="B62" s="228">
        <v>45933</v>
      </c>
      <c r="C62" s="172" t="s">
        <v>111</v>
      </c>
      <c r="D62" s="172" t="s">
        <v>209</v>
      </c>
      <c r="E62" s="175">
        <v>100</v>
      </c>
      <c r="F62" s="174">
        <v>500</v>
      </c>
      <c r="G62" s="174">
        <v>1</v>
      </c>
      <c r="H62" s="174">
        <v>5</v>
      </c>
      <c r="I62" s="175">
        <v>10.029999999999999</v>
      </c>
      <c r="J62" s="174">
        <v>10.23</v>
      </c>
      <c r="K62" s="455">
        <v>5</v>
      </c>
      <c r="L62" s="457">
        <v>10.4</v>
      </c>
      <c r="M62" s="382">
        <v>5</v>
      </c>
      <c r="N62" s="382"/>
      <c r="O62" s="382"/>
      <c r="P62" s="382"/>
      <c r="Q62" s="382"/>
      <c r="R62" s="382"/>
      <c r="S62" s="382"/>
      <c r="T62" s="382"/>
      <c r="U62" s="382"/>
      <c r="V62" s="382"/>
      <c r="W62" s="382"/>
      <c r="X62" s="382"/>
      <c r="Y62" s="382"/>
      <c r="Z62" s="382"/>
      <c r="AA62" s="382"/>
      <c r="AB62" s="382"/>
      <c r="AC62" s="382"/>
      <c r="AD62" s="382"/>
      <c r="AE62" s="382"/>
      <c r="AF62" s="382"/>
      <c r="AG62" s="382"/>
      <c r="AH62" s="382"/>
      <c r="AI62" s="382"/>
      <c r="AJ62" s="176"/>
      <c r="AK62" s="172"/>
      <c r="AL62" s="172"/>
    </row>
    <row r="63" spans="1:38">
      <c r="A63" s="188"/>
      <c r="B63" s="228"/>
      <c r="C63" s="172"/>
      <c r="D63" s="172"/>
      <c r="E63" s="702" t="s">
        <v>193</v>
      </c>
      <c r="F63" s="703"/>
      <c r="G63" s="174">
        <v>2</v>
      </c>
      <c r="H63" s="174">
        <v>5</v>
      </c>
      <c r="I63" s="175">
        <v>10.3</v>
      </c>
      <c r="J63" s="174">
        <v>10.41</v>
      </c>
      <c r="K63" s="455">
        <v>5</v>
      </c>
      <c r="L63" s="455">
        <v>10.58</v>
      </c>
      <c r="M63" s="382">
        <v>1</v>
      </c>
      <c r="N63" s="382">
        <v>1</v>
      </c>
      <c r="O63" s="382">
        <v>1</v>
      </c>
      <c r="P63" s="382">
        <v>1</v>
      </c>
      <c r="Q63" s="382">
        <v>1</v>
      </c>
      <c r="R63" s="382">
        <v>1</v>
      </c>
      <c r="S63" s="382">
        <v>1</v>
      </c>
      <c r="T63" s="382">
        <v>1</v>
      </c>
      <c r="U63" s="382">
        <v>1</v>
      </c>
      <c r="V63" s="382"/>
      <c r="W63" s="382"/>
      <c r="X63" s="382"/>
      <c r="Y63" s="382"/>
      <c r="Z63" s="382"/>
      <c r="AA63" s="382"/>
      <c r="AB63" s="382"/>
      <c r="AC63" s="382"/>
      <c r="AD63" s="382"/>
      <c r="AE63" s="382"/>
      <c r="AF63" s="382"/>
      <c r="AG63" s="382"/>
      <c r="AH63" s="382"/>
      <c r="AI63" s="382"/>
      <c r="AJ63" s="175"/>
      <c r="AK63" s="172"/>
      <c r="AL63" s="172"/>
    </row>
    <row r="64" spans="1:38">
      <c r="A64" s="188"/>
      <c r="B64" s="228"/>
      <c r="C64" s="172"/>
      <c r="D64" s="172"/>
      <c r="E64" s="175"/>
      <c r="F64" s="174" t="s">
        <v>207</v>
      </c>
      <c r="G64" s="174">
        <v>3</v>
      </c>
      <c r="H64" s="174">
        <v>2</v>
      </c>
      <c r="I64" s="175">
        <v>10.48</v>
      </c>
      <c r="J64" s="174">
        <v>11.08</v>
      </c>
      <c r="K64" s="455">
        <v>2</v>
      </c>
      <c r="L64" s="455">
        <v>11.25</v>
      </c>
      <c r="M64" s="382">
        <v>5</v>
      </c>
      <c r="N64" s="382">
        <v>3</v>
      </c>
      <c r="O64" s="382">
        <v>3</v>
      </c>
      <c r="P64" s="382">
        <v>2</v>
      </c>
      <c r="Q64" s="382">
        <v>2</v>
      </c>
      <c r="R64" s="382">
        <v>2</v>
      </c>
      <c r="S64" s="382">
        <v>2</v>
      </c>
      <c r="T64" s="382">
        <v>2</v>
      </c>
      <c r="U64" s="382">
        <v>2</v>
      </c>
      <c r="V64" s="382">
        <v>1</v>
      </c>
      <c r="W64" s="382">
        <v>1</v>
      </c>
      <c r="X64" s="382">
        <v>1</v>
      </c>
      <c r="Y64" s="382">
        <v>1</v>
      </c>
      <c r="Z64" s="382"/>
      <c r="AA64" s="382"/>
      <c r="AB64" s="382"/>
      <c r="AC64" s="382"/>
      <c r="AD64" s="382"/>
      <c r="AE64" s="382"/>
      <c r="AF64" s="382"/>
      <c r="AG64" s="382"/>
      <c r="AH64" s="382"/>
      <c r="AI64" s="382"/>
      <c r="AJ64" s="175"/>
      <c r="AK64" s="172"/>
      <c r="AL64" s="172"/>
    </row>
    <row r="65" spans="1:38">
      <c r="A65" s="188"/>
      <c r="B65" s="228"/>
      <c r="C65" s="172"/>
      <c r="D65" s="172"/>
      <c r="E65" s="175"/>
      <c r="F65" s="174" t="s">
        <v>207</v>
      </c>
      <c r="G65" s="174">
        <v>4</v>
      </c>
      <c r="H65" s="174">
        <v>5</v>
      </c>
      <c r="I65" s="175">
        <v>11.1</v>
      </c>
      <c r="J65" s="174">
        <v>11.34</v>
      </c>
      <c r="K65" s="455">
        <v>5</v>
      </c>
      <c r="L65" s="457">
        <v>11.5</v>
      </c>
      <c r="M65" s="382">
        <v>5</v>
      </c>
      <c r="N65" s="382">
        <v>4</v>
      </c>
      <c r="O65" s="382">
        <v>4</v>
      </c>
      <c r="P65" s="382">
        <v>4</v>
      </c>
      <c r="Q65" s="382">
        <v>4</v>
      </c>
      <c r="R65" s="382">
        <v>4</v>
      </c>
      <c r="S65" s="382">
        <v>4</v>
      </c>
      <c r="T65" s="382">
        <v>4</v>
      </c>
      <c r="U65" s="382">
        <v>4</v>
      </c>
      <c r="V65" s="382">
        <v>4</v>
      </c>
      <c r="W65" s="382">
        <v>4</v>
      </c>
      <c r="X65" s="382"/>
      <c r="Y65" s="382"/>
      <c r="Z65" s="382"/>
      <c r="AA65" s="382"/>
      <c r="AB65" s="382"/>
      <c r="AC65" s="382"/>
      <c r="AD65" s="382"/>
      <c r="AE65" s="382"/>
      <c r="AF65" s="382"/>
      <c r="AG65" s="382"/>
      <c r="AH65" s="382"/>
      <c r="AI65" s="382"/>
      <c r="AJ65" s="175"/>
      <c r="AK65" s="172"/>
      <c r="AL65" s="172"/>
    </row>
    <row r="66" spans="1:38">
      <c r="A66" s="189" t="s">
        <v>207</v>
      </c>
      <c r="B66" s="229" t="s">
        <v>207</v>
      </c>
      <c r="C66" s="173" t="s">
        <v>207</v>
      </c>
      <c r="D66" s="173" t="s">
        <v>207</v>
      </c>
      <c r="E66" s="182" t="s">
        <v>207</v>
      </c>
      <c r="F66" s="181" t="s">
        <v>207</v>
      </c>
      <c r="G66" s="181">
        <v>5</v>
      </c>
      <c r="H66" s="181">
        <v>5</v>
      </c>
      <c r="I66" s="182">
        <v>11.36</v>
      </c>
      <c r="J66" s="181">
        <v>12.01</v>
      </c>
      <c r="K66" s="458">
        <v>5</v>
      </c>
      <c r="L66" s="458">
        <v>12.16</v>
      </c>
      <c r="M66" s="385">
        <v>5</v>
      </c>
      <c r="N66" s="385">
        <v>4</v>
      </c>
      <c r="O66" s="385">
        <v>3</v>
      </c>
      <c r="P66" s="385">
        <v>3</v>
      </c>
      <c r="Q66" s="385">
        <v>3</v>
      </c>
      <c r="R66" s="385">
        <v>3</v>
      </c>
      <c r="S66" s="385">
        <v>3</v>
      </c>
      <c r="T66" s="385">
        <v>3</v>
      </c>
      <c r="U66" s="385">
        <v>3</v>
      </c>
      <c r="V66" s="385">
        <v>3</v>
      </c>
      <c r="W66" s="385" t="s">
        <v>207</v>
      </c>
      <c r="X66" s="385" t="s">
        <v>207</v>
      </c>
      <c r="Y66" s="385" t="s">
        <v>207</v>
      </c>
      <c r="Z66" s="385" t="s">
        <v>207</v>
      </c>
      <c r="AA66" s="385" t="s">
        <v>207</v>
      </c>
      <c r="AB66" s="385" t="s">
        <v>207</v>
      </c>
      <c r="AC66" s="385" t="s">
        <v>207</v>
      </c>
      <c r="AD66" s="385" t="s">
        <v>207</v>
      </c>
      <c r="AE66" s="385" t="s">
        <v>207</v>
      </c>
      <c r="AF66" s="385" t="s">
        <v>207</v>
      </c>
      <c r="AG66" s="385" t="s">
        <v>207</v>
      </c>
      <c r="AH66" s="385" t="s">
        <v>207</v>
      </c>
      <c r="AI66" s="385" t="s">
        <v>207</v>
      </c>
      <c r="AJ66" s="182" t="s">
        <v>207</v>
      </c>
      <c r="AK66" s="173" t="s">
        <v>207</v>
      </c>
      <c r="AL66" s="173" t="s">
        <v>207</v>
      </c>
    </row>
    <row r="67" spans="1:38">
      <c r="A67" s="188">
        <v>10</v>
      </c>
      <c r="B67" s="228">
        <v>45937</v>
      </c>
      <c r="C67" s="172" t="s">
        <v>124</v>
      </c>
      <c r="D67" s="104" t="s">
        <v>210</v>
      </c>
      <c r="E67" s="175">
        <v>100</v>
      </c>
      <c r="F67" s="174">
        <v>500</v>
      </c>
      <c r="G67" s="174">
        <v>1</v>
      </c>
      <c r="H67" s="174">
        <v>3</v>
      </c>
      <c r="I67" s="175">
        <v>10.09</v>
      </c>
      <c r="J67" s="174">
        <v>10.23</v>
      </c>
      <c r="K67" s="455">
        <v>3</v>
      </c>
      <c r="L67" s="455">
        <v>10.38</v>
      </c>
      <c r="M67" s="382">
        <v>3</v>
      </c>
      <c r="N67" s="382">
        <v>1</v>
      </c>
      <c r="O67" s="382">
        <v>1</v>
      </c>
      <c r="P67" s="382">
        <v>1</v>
      </c>
      <c r="Q67" s="382">
        <v>1</v>
      </c>
      <c r="R67" s="382">
        <v>1</v>
      </c>
      <c r="S67" s="382">
        <v>1</v>
      </c>
      <c r="T67" s="382"/>
      <c r="U67" s="382"/>
      <c r="V67" s="382"/>
      <c r="W67" s="382"/>
      <c r="X67" s="382"/>
      <c r="Y67" s="382"/>
      <c r="Z67" s="382"/>
      <c r="AA67" s="382"/>
      <c r="AB67" s="382"/>
      <c r="AC67" s="382"/>
      <c r="AD67" s="382"/>
      <c r="AE67" s="382"/>
      <c r="AF67" s="382"/>
      <c r="AG67" s="382"/>
      <c r="AH67" s="382"/>
      <c r="AI67" s="382"/>
      <c r="AJ67" s="175"/>
      <c r="AK67" s="172"/>
      <c r="AL67" s="172"/>
    </row>
    <row r="68" spans="1:38">
      <c r="E68" s="702" t="s">
        <v>193</v>
      </c>
      <c r="F68" s="703"/>
      <c r="G68" s="116">
        <v>2</v>
      </c>
      <c r="H68" s="117">
        <v>4</v>
      </c>
      <c r="I68" s="118">
        <v>10.3</v>
      </c>
      <c r="J68" s="116">
        <v>10.44</v>
      </c>
      <c r="K68" s="448">
        <v>4</v>
      </c>
      <c r="L68" s="448">
        <v>10.59</v>
      </c>
      <c r="M68" s="378">
        <v>3</v>
      </c>
      <c r="N68" s="378">
        <v>3</v>
      </c>
      <c r="O68" s="378">
        <v>3</v>
      </c>
      <c r="P68" s="378">
        <v>3</v>
      </c>
      <c r="Q68" s="378">
        <v>2</v>
      </c>
      <c r="R68" s="378">
        <v>2</v>
      </c>
      <c r="S68" s="378">
        <v>2</v>
      </c>
      <c r="T68" s="378">
        <v>2</v>
      </c>
      <c r="U68" s="378">
        <v>2</v>
      </c>
      <c r="V68" s="378">
        <v>2</v>
      </c>
      <c r="W68" s="378">
        <v>2</v>
      </c>
      <c r="X68" s="378">
        <v>2</v>
      </c>
      <c r="Y68" s="378">
        <v>2</v>
      </c>
      <c r="Z68" s="378">
        <v>1</v>
      </c>
      <c r="AA68" s="378">
        <v>1</v>
      </c>
      <c r="AB68" s="378">
        <v>1</v>
      </c>
      <c r="AC68" s="378">
        <v>1</v>
      </c>
      <c r="AD68" s="378">
        <v>1</v>
      </c>
    </row>
    <row r="69" spans="1:38">
      <c r="G69" s="116">
        <v>3</v>
      </c>
      <c r="H69" s="117">
        <v>4</v>
      </c>
      <c r="I69" s="104">
        <v>10.45</v>
      </c>
      <c r="J69" s="116">
        <v>11.03</v>
      </c>
      <c r="K69" s="448">
        <v>4</v>
      </c>
      <c r="L69" s="448">
        <v>11.19</v>
      </c>
      <c r="M69" s="378">
        <v>4</v>
      </c>
      <c r="N69" s="378">
        <v>4</v>
      </c>
      <c r="O69" s="378">
        <v>4</v>
      </c>
      <c r="P69" s="378">
        <v>4</v>
      </c>
      <c r="Q69" s="378">
        <v>3</v>
      </c>
      <c r="R69" s="378">
        <v>3</v>
      </c>
      <c r="S69" s="378">
        <v>3</v>
      </c>
      <c r="T69" s="378">
        <v>3</v>
      </c>
      <c r="U69" s="378">
        <v>3</v>
      </c>
      <c r="V69" s="378">
        <v>3</v>
      </c>
      <c r="W69" s="378">
        <v>3</v>
      </c>
      <c r="X69" s="378">
        <v>3</v>
      </c>
      <c r="Y69" s="378">
        <v>3</v>
      </c>
      <c r="Z69" s="378">
        <v>3</v>
      </c>
      <c r="AA69" s="378">
        <v>2</v>
      </c>
    </row>
    <row r="70" spans="1:38">
      <c r="G70" s="116">
        <v>4</v>
      </c>
      <c r="H70" s="117">
        <v>4</v>
      </c>
      <c r="I70" s="104">
        <v>11.11</v>
      </c>
      <c r="J70" s="116">
        <v>11.24</v>
      </c>
      <c r="K70" s="448">
        <v>4</v>
      </c>
      <c r="L70" s="448">
        <v>11.38</v>
      </c>
      <c r="M70" s="378">
        <v>4</v>
      </c>
      <c r="N70" s="378">
        <v>1</v>
      </c>
      <c r="O70" s="378">
        <v>1</v>
      </c>
      <c r="P70" s="378">
        <v>1</v>
      </c>
      <c r="Q70" s="378">
        <v>1</v>
      </c>
      <c r="R70" s="378">
        <v>1</v>
      </c>
      <c r="S70" s="378">
        <v>1</v>
      </c>
      <c r="T70" s="378">
        <v>1</v>
      </c>
      <c r="U70" s="378">
        <v>1</v>
      </c>
      <c r="V70" s="378">
        <v>1</v>
      </c>
      <c r="W70" s="378">
        <v>1</v>
      </c>
      <c r="X70" s="378">
        <v>1</v>
      </c>
      <c r="Y70" s="378">
        <v>1</v>
      </c>
      <c r="Z70" s="378">
        <v>1</v>
      </c>
      <c r="AA70" s="378">
        <v>1</v>
      </c>
      <c r="AB70" s="378">
        <v>1</v>
      </c>
      <c r="AC70" s="378">
        <v>1</v>
      </c>
      <c r="AD70" s="378">
        <v>1</v>
      </c>
      <c r="AE70" s="378">
        <v>1</v>
      </c>
    </row>
    <row r="71" spans="1:38">
      <c r="G71" s="116">
        <v>5</v>
      </c>
      <c r="H71" s="117">
        <v>4</v>
      </c>
      <c r="I71" s="104">
        <v>11.25</v>
      </c>
      <c r="J71" s="116">
        <v>11.38</v>
      </c>
      <c r="K71" s="448">
        <v>4</v>
      </c>
      <c r="L71" s="448">
        <v>11.54</v>
      </c>
      <c r="M71" s="378">
        <v>4</v>
      </c>
      <c r="N71" s="378">
        <v>4</v>
      </c>
      <c r="O71" s="378">
        <v>4</v>
      </c>
      <c r="P71" s="378">
        <v>3</v>
      </c>
      <c r="Q71" s="378">
        <v>1</v>
      </c>
    </row>
    <row r="72" spans="1:38">
      <c r="G72" s="116">
        <v>6</v>
      </c>
      <c r="H72" s="117">
        <v>4</v>
      </c>
      <c r="I72" s="104">
        <v>11.56</v>
      </c>
      <c r="J72" s="116">
        <v>12.13</v>
      </c>
      <c r="K72" s="448">
        <v>4</v>
      </c>
      <c r="L72" s="448">
        <v>12.27</v>
      </c>
      <c r="M72" s="378">
        <v>4</v>
      </c>
      <c r="N72" s="378">
        <v>4</v>
      </c>
      <c r="O72" s="378">
        <v>4</v>
      </c>
      <c r="P72" s="378">
        <v>2</v>
      </c>
      <c r="Q72" s="378">
        <v>2</v>
      </c>
      <c r="R72" s="378">
        <v>2</v>
      </c>
      <c r="S72" s="378">
        <v>2</v>
      </c>
      <c r="T72" s="378">
        <v>2</v>
      </c>
      <c r="U72" s="378">
        <v>2</v>
      </c>
      <c r="V72" s="378">
        <v>2</v>
      </c>
      <c r="W72" s="378">
        <v>2</v>
      </c>
      <c r="X72" s="378">
        <v>2</v>
      </c>
      <c r="Y72" s="378">
        <v>2</v>
      </c>
      <c r="Z72" s="378">
        <v>1</v>
      </c>
    </row>
    <row r="73" spans="1:38" s="103" customFormat="1">
      <c r="A73" s="121"/>
      <c r="B73" s="110"/>
      <c r="C73" s="109"/>
      <c r="E73" s="109"/>
      <c r="F73" s="122"/>
      <c r="G73" s="122">
        <v>7</v>
      </c>
      <c r="H73" s="123">
        <v>4</v>
      </c>
      <c r="I73" s="124">
        <v>12.2</v>
      </c>
      <c r="J73" s="122">
        <v>12.35</v>
      </c>
      <c r="K73" s="450">
        <v>4</v>
      </c>
      <c r="L73" s="459">
        <v>12.5</v>
      </c>
      <c r="M73" s="379">
        <v>4</v>
      </c>
      <c r="N73" s="379">
        <v>4</v>
      </c>
      <c r="O73" s="379">
        <v>4</v>
      </c>
      <c r="P73" s="379">
        <v>2</v>
      </c>
      <c r="Q73" s="379">
        <v>2</v>
      </c>
      <c r="R73" s="379">
        <v>2</v>
      </c>
      <c r="S73" s="379">
        <v>2</v>
      </c>
      <c r="T73" s="379">
        <v>2</v>
      </c>
      <c r="U73" s="379">
        <v>2</v>
      </c>
      <c r="V73" s="379">
        <v>2</v>
      </c>
      <c r="W73" s="379">
        <v>2</v>
      </c>
      <c r="X73" s="379">
        <v>1</v>
      </c>
      <c r="Y73" s="379"/>
      <c r="Z73" s="379"/>
      <c r="AA73" s="379"/>
      <c r="AB73" s="379"/>
      <c r="AC73" s="379"/>
      <c r="AD73" s="379"/>
      <c r="AE73" s="379"/>
      <c r="AF73" s="379"/>
      <c r="AG73" s="379"/>
      <c r="AH73" s="379"/>
      <c r="AI73" s="379"/>
      <c r="AJ73" s="28"/>
    </row>
    <row r="74" spans="1:38">
      <c r="A74" s="120">
        <v>11</v>
      </c>
      <c r="B74" s="105">
        <v>45940</v>
      </c>
      <c r="C74" s="104" t="s">
        <v>128</v>
      </c>
      <c r="D74" t="s">
        <v>211</v>
      </c>
      <c r="E74" s="175">
        <v>100</v>
      </c>
      <c r="F74" s="174">
        <v>500</v>
      </c>
      <c r="G74" s="116">
        <v>1</v>
      </c>
      <c r="H74" s="117">
        <v>5</v>
      </c>
      <c r="I74" s="104">
        <v>9.58</v>
      </c>
      <c r="J74" s="116">
        <v>10.19</v>
      </c>
      <c r="K74" s="448">
        <v>5</v>
      </c>
      <c r="L74" s="448">
        <v>10.34</v>
      </c>
      <c r="M74" s="378">
        <v>3</v>
      </c>
      <c r="N74" s="378">
        <v>1</v>
      </c>
      <c r="O74" s="378">
        <v>1</v>
      </c>
      <c r="P74" s="378">
        <v>1</v>
      </c>
      <c r="Q74" s="378">
        <v>1</v>
      </c>
      <c r="R74" s="378">
        <v>1</v>
      </c>
      <c r="S74" s="378">
        <v>1</v>
      </c>
      <c r="T74" s="378">
        <v>1</v>
      </c>
      <c r="U74" s="378">
        <v>1</v>
      </c>
      <c r="V74" s="378">
        <v>1</v>
      </c>
      <c r="W74" s="378">
        <v>1</v>
      </c>
      <c r="X74" s="378">
        <v>1</v>
      </c>
      <c r="Y74" s="378">
        <v>1</v>
      </c>
      <c r="Z74" s="378">
        <v>1</v>
      </c>
    </row>
    <row r="75" spans="1:38">
      <c r="E75" s="702" t="s">
        <v>212</v>
      </c>
      <c r="F75" s="703"/>
      <c r="G75" s="116">
        <v>2</v>
      </c>
      <c r="H75" s="117">
        <v>4</v>
      </c>
      <c r="I75" s="104">
        <v>10.46</v>
      </c>
      <c r="J75" s="116">
        <v>10.58</v>
      </c>
      <c r="K75" s="448">
        <v>4</v>
      </c>
      <c r="L75" s="448">
        <v>11.33</v>
      </c>
      <c r="M75" s="378">
        <v>1</v>
      </c>
      <c r="N75" s="378">
        <v>1</v>
      </c>
      <c r="O75" s="378">
        <v>1</v>
      </c>
      <c r="P75" s="378">
        <v>1</v>
      </c>
      <c r="Q75" s="378">
        <v>1</v>
      </c>
      <c r="R75" s="378">
        <v>1</v>
      </c>
      <c r="S75" s="378">
        <v>1</v>
      </c>
      <c r="T75" s="378">
        <v>1</v>
      </c>
      <c r="U75" s="378">
        <v>1</v>
      </c>
      <c r="V75" s="378">
        <v>1</v>
      </c>
      <c r="W75" s="378">
        <v>1</v>
      </c>
      <c r="X75" s="378">
        <v>1</v>
      </c>
      <c r="Y75" s="378">
        <v>1</v>
      </c>
      <c r="Z75" s="378">
        <v>1</v>
      </c>
      <c r="AA75" s="378">
        <v>1</v>
      </c>
    </row>
    <row r="76" spans="1:38">
      <c r="G76" s="116">
        <v>3</v>
      </c>
      <c r="H76" s="117">
        <v>4</v>
      </c>
      <c r="I76" s="118">
        <v>11</v>
      </c>
      <c r="J76" s="119">
        <v>11.2</v>
      </c>
      <c r="K76" s="448">
        <v>4</v>
      </c>
      <c r="L76" s="448">
        <v>11.35</v>
      </c>
      <c r="M76" s="378">
        <v>3</v>
      </c>
      <c r="N76" s="378">
        <v>3</v>
      </c>
      <c r="O76" s="378">
        <v>3</v>
      </c>
      <c r="P76" s="378">
        <v>3</v>
      </c>
      <c r="Q76" s="378">
        <v>3</v>
      </c>
      <c r="R76" s="378">
        <v>3</v>
      </c>
      <c r="S76" s="378">
        <v>3</v>
      </c>
      <c r="T76" s="378">
        <v>3</v>
      </c>
      <c r="U76" s="378">
        <v>3</v>
      </c>
      <c r="V76" s="378">
        <v>3</v>
      </c>
      <c r="W76" s="378">
        <v>3</v>
      </c>
      <c r="X76" s="378">
        <v>3</v>
      </c>
      <c r="Y76" s="378">
        <v>3</v>
      </c>
      <c r="Z76" s="378">
        <v>2</v>
      </c>
    </row>
    <row r="77" spans="1:38" s="103" customFormat="1">
      <c r="A77" s="121"/>
      <c r="B77" s="110"/>
      <c r="C77" s="109"/>
      <c r="E77" s="109"/>
      <c r="F77" s="122"/>
      <c r="G77" s="122">
        <v>4</v>
      </c>
      <c r="H77" s="123">
        <v>4</v>
      </c>
      <c r="I77" s="124">
        <v>11.22</v>
      </c>
      <c r="J77" s="122">
        <v>11.39</v>
      </c>
      <c r="K77" s="450">
        <v>4</v>
      </c>
      <c r="L77" s="450">
        <v>11.57</v>
      </c>
      <c r="M77" s="379">
        <v>2</v>
      </c>
      <c r="N77" s="379">
        <v>2</v>
      </c>
      <c r="O77" s="379">
        <v>2</v>
      </c>
      <c r="P77" s="379">
        <v>2</v>
      </c>
      <c r="Q77" s="379">
        <v>2</v>
      </c>
      <c r="R77" s="379">
        <v>2</v>
      </c>
      <c r="S77" s="379">
        <v>2</v>
      </c>
      <c r="T77" s="379">
        <v>2</v>
      </c>
      <c r="U77" s="379">
        <v>2</v>
      </c>
      <c r="V77" s="379">
        <v>2</v>
      </c>
      <c r="W77" s="379">
        <v>2</v>
      </c>
      <c r="X77" s="379">
        <v>2</v>
      </c>
      <c r="Y77" s="379">
        <v>2</v>
      </c>
      <c r="Z77" s="379">
        <v>2</v>
      </c>
      <c r="AA77" s="379">
        <v>1</v>
      </c>
      <c r="AB77" s="379"/>
      <c r="AC77" s="379"/>
      <c r="AD77" s="379"/>
      <c r="AE77" s="379"/>
      <c r="AF77" s="379"/>
      <c r="AG77" s="379"/>
      <c r="AH77" s="379"/>
      <c r="AI77" s="379"/>
      <c r="AJ77" s="28"/>
    </row>
    <row r="78" spans="1:38">
      <c r="A78" s="120">
        <v>12</v>
      </c>
      <c r="B78" s="105">
        <v>45944</v>
      </c>
      <c r="C78" s="104" t="s">
        <v>131</v>
      </c>
      <c r="D78" t="s">
        <v>213</v>
      </c>
      <c r="E78" s="175">
        <v>100</v>
      </c>
      <c r="F78" s="174">
        <v>500</v>
      </c>
      <c r="G78" s="116">
        <v>1</v>
      </c>
      <c r="H78" s="117">
        <v>1</v>
      </c>
      <c r="I78" s="104">
        <v>10.029999999999999</v>
      </c>
      <c r="J78" s="116">
        <v>10.14</v>
      </c>
      <c r="K78" s="448">
        <v>1</v>
      </c>
      <c r="L78" s="453">
        <v>10.3</v>
      </c>
      <c r="M78" s="378">
        <v>2</v>
      </c>
    </row>
    <row r="79" spans="1:38">
      <c r="E79" s="702" t="s">
        <v>193</v>
      </c>
      <c r="F79" s="703"/>
      <c r="G79" s="116">
        <v>2</v>
      </c>
      <c r="H79" s="117">
        <v>4</v>
      </c>
      <c r="I79" s="104">
        <v>10.15</v>
      </c>
      <c r="J79" s="116">
        <v>10.34</v>
      </c>
      <c r="K79" s="448">
        <v>4</v>
      </c>
      <c r="L79" s="453">
        <v>10.5</v>
      </c>
      <c r="M79" s="378">
        <v>1</v>
      </c>
      <c r="N79" s="378">
        <v>1</v>
      </c>
      <c r="O79" s="378">
        <v>1</v>
      </c>
      <c r="P79" s="378">
        <v>1</v>
      </c>
      <c r="Q79" s="378">
        <v>1</v>
      </c>
      <c r="R79" s="378">
        <v>1</v>
      </c>
      <c r="S79" s="378">
        <v>1</v>
      </c>
      <c r="T79" s="378">
        <v>1</v>
      </c>
      <c r="U79" s="378">
        <v>1</v>
      </c>
      <c r="V79" s="378">
        <v>1</v>
      </c>
      <c r="W79" s="378">
        <v>1</v>
      </c>
    </row>
    <row r="80" spans="1:38">
      <c r="G80" s="116">
        <v>3</v>
      </c>
      <c r="H80" s="117">
        <v>3</v>
      </c>
      <c r="I80" s="104">
        <v>10.38</v>
      </c>
      <c r="J80" s="116">
        <v>10.49</v>
      </c>
      <c r="K80" s="448">
        <v>3</v>
      </c>
      <c r="L80" s="448">
        <v>11.04</v>
      </c>
      <c r="M80" s="378">
        <v>2</v>
      </c>
      <c r="N80" s="378">
        <v>2</v>
      </c>
      <c r="O80" s="378">
        <v>2</v>
      </c>
      <c r="P80" s="378">
        <v>2</v>
      </c>
      <c r="Q80" s="378">
        <v>2</v>
      </c>
      <c r="R80" s="378">
        <v>2</v>
      </c>
      <c r="S80" s="378">
        <v>2</v>
      </c>
      <c r="T80" s="378">
        <v>2</v>
      </c>
      <c r="U80" s="378">
        <v>2</v>
      </c>
      <c r="V80" s="378">
        <v>2</v>
      </c>
      <c r="W80" s="378">
        <v>1</v>
      </c>
    </row>
    <row r="81" spans="1:37">
      <c r="G81" s="116">
        <v>4</v>
      </c>
      <c r="H81" s="117">
        <v>2</v>
      </c>
      <c r="I81" s="104">
        <v>10.52</v>
      </c>
      <c r="J81" s="116">
        <v>10.58</v>
      </c>
      <c r="K81" s="448">
        <v>2</v>
      </c>
      <c r="L81" s="448">
        <v>11.14</v>
      </c>
      <c r="M81" s="378">
        <v>1</v>
      </c>
      <c r="N81" s="378">
        <v>1</v>
      </c>
      <c r="O81" s="378">
        <v>1</v>
      </c>
      <c r="P81" s="378">
        <v>1</v>
      </c>
      <c r="Q81" s="378">
        <v>1</v>
      </c>
      <c r="R81" s="378">
        <v>1</v>
      </c>
      <c r="S81" s="378">
        <v>1</v>
      </c>
      <c r="T81" s="378">
        <v>1</v>
      </c>
      <c r="U81" s="378">
        <v>1</v>
      </c>
      <c r="V81" s="378">
        <v>1</v>
      </c>
      <c r="W81" s="378">
        <v>1</v>
      </c>
      <c r="X81" s="378">
        <v>1</v>
      </c>
      <c r="Y81" s="378">
        <v>1</v>
      </c>
    </row>
    <row r="82" spans="1:37">
      <c r="G82" s="116">
        <v>5</v>
      </c>
      <c r="H82" s="117">
        <v>4</v>
      </c>
      <c r="I82" s="118">
        <v>11</v>
      </c>
      <c r="J82" s="116">
        <v>11.11</v>
      </c>
      <c r="K82" s="448">
        <v>4</v>
      </c>
      <c r="L82" s="448">
        <v>11.26</v>
      </c>
      <c r="M82" s="378">
        <v>3</v>
      </c>
      <c r="N82" s="378">
        <v>3</v>
      </c>
      <c r="O82" s="378">
        <v>3</v>
      </c>
      <c r="P82" s="378">
        <v>3</v>
      </c>
      <c r="Q82" s="378">
        <v>3</v>
      </c>
      <c r="R82" s="378">
        <v>3</v>
      </c>
      <c r="S82" s="378">
        <v>3</v>
      </c>
      <c r="T82" s="378">
        <v>3</v>
      </c>
      <c r="U82" s="378">
        <v>3</v>
      </c>
      <c r="V82" s="378">
        <v>3</v>
      </c>
      <c r="W82" s="378">
        <v>3</v>
      </c>
      <c r="X82" s="378">
        <v>2</v>
      </c>
      <c r="Y82" s="378">
        <v>1</v>
      </c>
    </row>
    <row r="83" spans="1:37">
      <c r="G83" s="116">
        <v>6</v>
      </c>
      <c r="H83" s="117">
        <v>3</v>
      </c>
      <c r="I83" s="104">
        <v>11.16</v>
      </c>
      <c r="J83" s="116">
        <v>11.32</v>
      </c>
      <c r="K83" s="448">
        <v>3</v>
      </c>
      <c r="L83" s="448">
        <v>11.44</v>
      </c>
      <c r="M83" s="378">
        <v>3</v>
      </c>
      <c r="N83" s="378">
        <v>3</v>
      </c>
      <c r="O83" s="378">
        <v>3</v>
      </c>
    </row>
    <row r="84" spans="1:37">
      <c r="G84" s="116">
        <v>7</v>
      </c>
      <c r="H84" s="117">
        <v>3</v>
      </c>
      <c r="I84" s="104">
        <v>11.32</v>
      </c>
      <c r="J84" s="116">
        <v>11.46</v>
      </c>
      <c r="K84" s="448">
        <v>3</v>
      </c>
      <c r="L84" s="448">
        <v>11.59</v>
      </c>
      <c r="M84" s="378">
        <v>3</v>
      </c>
      <c r="N84" s="378">
        <v>3</v>
      </c>
    </row>
    <row r="85" spans="1:37">
      <c r="G85" s="116">
        <v>8</v>
      </c>
      <c r="H85" s="117">
        <v>3</v>
      </c>
      <c r="I85" s="104">
        <v>11.46</v>
      </c>
      <c r="J85" s="116">
        <v>12.01</v>
      </c>
      <c r="K85" s="448">
        <v>3</v>
      </c>
      <c r="L85" s="448">
        <v>12.15</v>
      </c>
      <c r="M85" s="378">
        <v>3</v>
      </c>
      <c r="N85" s="378">
        <v>3</v>
      </c>
      <c r="O85" s="378">
        <v>3</v>
      </c>
      <c r="P85" s="378">
        <v>3</v>
      </c>
      <c r="Q85" s="378">
        <v>3</v>
      </c>
      <c r="R85" s="378">
        <v>3</v>
      </c>
      <c r="S85" s="378">
        <v>3</v>
      </c>
      <c r="T85" s="378">
        <v>3</v>
      </c>
      <c r="U85" s="378">
        <v>3</v>
      </c>
      <c r="V85" s="378">
        <v>3</v>
      </c>
      <c r="W85" s="378">
        <v>3</v>
      </c>
      <c r="X85" s="378">
        <v>3</v>
      </c>
    </row>
    <row r="86" spans="1:37" s="103" customFormat="1">
      <c r="A86" s="121"/>
      <c r="B86" s="110"/>
      <c r="C86" s="109"/>
      <c r="E86" s="109"/>
      <c r="F86" s="122"/>
      <c r="G86" s="122">
        <v>9</v>
      </c>
      <c r="H86" s="123">
        <v>3</v>
      </c>
      <c r="I86" s="109">
        <v>12.03</v>
      </c>
      <c r="J86" s="122">
        <v>12.16</v>
      </c>
      <c r="K86" s="450">
        <v>3</v>
      </c>
      <c r="L86" s="450">
        <v>12.31</v>
      </c>
      <c r="M86" s="379">
        <v>3</v>
      </c>
      <c r="N86" s="379">
        <v>3</v>
      </c>
      <c r="O86" s="379">
        <v>3</v>
      </c>
      <c r="P86" s="379">
        <v>1</v>
      </c>
      <c r="Q86" s="379">
        <v>1</v>
      </c>
      <c r="R86" s="379">
        <v>1</v>
      </c>
      <c r="S86" s="379">
        <v>1</v>
      </c>
      <c r="T86" s="379">
        <v>1</v>
      </c>
      <c r="U86" s="379">
        <v>1</v>
      </c>
      <c r="V86" s="379">
        <v>1</v>
      </c>
      <c r="W86" s="379">
        <v>1</v>
      </c>
      <c r="X86" s="379">
        <v>1</v>
      </c>
      <c r="Y86" s="379">
        <v>1</v>
      </c>
      <c r="Z86" s="379">
        <v>1</v>
      </c>
      <c r="AA86" s="379">
        <v>1</v>
      </c>
      <c r="AB86" s="379"/>
      <c r="AC86" s="379"/>
      <c r="AD86" s="379"/>
      <c r="AE86" s="379"/>
      <c r="AF86" s="379"/>
      <c r="AG86" s="379"/>
      <c r="AH86" s="379"/>
      <c r="AI86" s="379"/>
      <c r="AJ86" s="28"/>
    </row>
    <row r="87" spans="1:37">
      <c r="A87" s="120">
        <v>13</v>
      </c>
      <c r="B87" s="105">
        <v>45946</v>
      </c>
      <c r="C87" s="104" t="s">
        <v>214</v>
      </c>
      <c r="D87" s="11" t="s">
        <v>136</v>
      </c>
      <c r="E87" s="175">
        <v>100</v>
      </c>
      <c r="F87" s="174">
        <v>500</v>
      </c>
      <c r="G87" s="116">
        <v>1</v>
      </c>
      <c r="H87" s="117">
        <v>2</v>
      </c>
      <c r="I87" s="104">
        <v>10.36</v>
      </c>
      <c r="J87" s="116">
        <v>10.45</v>
      </c>
      <c r="K87" s="448">
        <v>2</v>
      </c>
      <c r="L87" s="448">
        <v>11.02</v>
      </c>
      <c r="M87" s="378">
        <v>2</v>
      </c>
      <c r="N87" s="378">
        <v>2</v>
      </c>
    </row>
    <row r="88" spans="1:37">
      <c r="E88" s="702" t="s">
        <v>215</v>
      </c>
      <c r="F88" s="703"/>
      <c r="G88" s="116">
        <v>2</v>
      </c>
      <c r="H88" s="117">
        <v>5</v>
      </c>
      <c r="I88" s="104">
        <v>10.46</v>
      </c>
      <c r="J88" s="116">
        <v>11.07</v>
      </c>
      <c r="K88" s="448">
        <v>5</v>
      </c>
      <c r="L88" s="448">
        <v>11.22</v>
      </c>
      <c r="M88" s="378">
        <v>4</v>
      </c>
      <c r="N88" s="378">
        <v>3</v>
      </c>
      <c r="O88" s="378">
        <v>3</v>
      </c>
      <c r="P88" s="378">
        <v>1</v>
      </c>
      <c r="Q88" s="378">
        <v>1</v>
      </c>
      <c r="R88" s="378">
        <v>1</v>
      </c>
      <c r="S88" s="378">
        <v>1</v>
      </c>
      <c r="T88" s="378">
        <v>1</v>
      </c>
      <c r="U88" s="378">
        <v>1</v>
      </c>
      <c r="V88" s="378">
        <v>1</v>
      </c>
      <c r="W88" s="378">
        <v>1</v>
      </c>
      <c r="X88" s="378">
        <v>1</v>
      </c>
    </row>
    <row r="89" spans="1:37">
      <c r="G89" s="126">
        <v>3</v>
      </c>
      <c r="H89" s="127">
        <v>3</v>
      </c>
      <c r="I89" s="128">
        <v>11.08</v>
      </c>
      <c r="J89" s="126">
        <v>11.22</v>
      </c>
      <c r="K89" s="454">
        <v>3</v>
      </c>
      <c r="L89" s="454">
        <v>11.38</v>
      </c>
      <c r="M89" s="380">
        <v>2</v>
      </c>
      <c r="N89" s="380">
        <v>2</v>
      </c>
      <c r="O89" s="380">
        <v>2</v>
      </c>
      <c r="P89" s="380">
        <v>2</v>
      </c>
      <c r="Q89" s="380">
        <v>2</v>
      </c>
      <c r="R89" s="380">
        <v>2</v>
      </c>
      <c r="S89" s="380">
        <v>2</v>
      </c>
      <c r="T89" s="380">
        <v>2</v>
      </c>
      <c r="U89" s="380">
        <v>2</v>
      </c>
      <c r="V89" s="380">
        <v>2</v>
      </c>
      <c r="W89" s="380">
        <v>2</v>
      </c>
      <c r="X89" s="380">
        <v>2</v>
      </c>
      <c r="Y89" s="380">
        <v>2</v>
      </c>
      <c r="Z89" s="380">
        <v>2</v>
      </c>
      <c r="AA89" s="380">
        <v>1</v>
      </c>
      <c r="AB89" s="380">
        <v>1</v>
      </c>
      <c r="AC89" s="380">
        <v>1</v>
      </c>
      <c r="AD89" s="380">
        <v>1</v>
      </c>
      <c r="AE89" s="380">
        <v>1</v>
      </c>
      <c r="AF89" s="380">
        <v>1</v>
      </c>
      <c r="AG89" s="380">
        <v>1</v>
      </c>
      <c r="AH89" s="380">
        <v>1</v>
      </c>
      <c r="AI89" s="381" t="s">
        <v>188</v>
      </c>
      <c r="AJ89" s="47" t="s">
        <v>216</v>
      </c>
      <c r="AK89" s="367" t="s">
        <v>217</v>
      </c>
    </row>
    <row r="90" spans="1:37">
      <c r="G90" s="116">
        <v>4</v>
      </c>
      <c r="H90" s="117">
        <v>5</v>
      </c>
      <c r="I90" s="104">
        <v>11.25</v>
      </c>
      <c r="J90" s="116">
        <v>11.45</v>
      </c>
      <c r="K90" s="448">
        <v>5</v>
      </c>
      <c r="L90" s="448">
        <v>12.01</v>
      </c>
      <c r="M90" s="378">
        <v>3</v>
      </c>
      <c r="N90" s="378">
        <v>3</v>
      </c>
    </row>
    <row r="91" spans="1:37" s="103" customFormat="1">
      <c r="A91" s="121"/>
      <c r="B91" s="110"/>
      <c r="C91" s="109"/>
      <c r="E91" s="109"/>
      <c r="F91" s="122"/>
      <c r="G91" s="122">
        <v>5</v>
      </c>
      <c r="H91" s="123">
        <v>5</v>
      </c>
      <c r="I91" s="109">
        <v>11.47</v>
      </c>
      <c r="J91" s="122">
        <v>12.08</v>
      </c>
      <c r="K91" s="450">
        <v>5</v>
      </c>
      <c r="L91" s="450">
        <v>12.24</v>
      </c>
      <c r="M91" s="379">
        <v>2</v>
      </c>
      <c r="N91" s="379">
        <v>2</v>
      </c>
      <c r="O91" s="379">
        <v>1</v>
      </c>
      <c r="P91" s="379">
        <v>1</v>
      </c>
      <c r="Q91" s="379">
        <v>1</v>
      </c>
      <c r="R91" s="379">
        <v>1</v>
      </c>
      <c r="S91" s="379">
        <v>1</v>
      </c>
      <c r="T91" s="379">
        <v>1</v>
      </c>
      <c r="U91" s="379">
        <v>1</v>
      </c>
      <c r="V91" s="379">
        <v>1</v>
      </c>
      <c r="W91" s="379">
        <v>1</v>
      </c>
      <c r="X91" s="379">
        <v>1</v>
      </c>
      <c r="Y91" s="379">
        <v>1</v>
      </c>
      <c r="Z91" s="379"/>
      <c r="AA91" s="379"/>
      <c r="AB91" s="379"/>
      <c r="AC91" s="379"/>
      <c r="AD91" s="379"/>
      <c r="AE91" s="379"/>
      <c r="AF91" s="379"/>
      <c r="AG91" s="379"/>
      <c r="AH91" s="379"/>
      <c r="AI91" s="379"/>
      <c r="AJ91" s="28"/>
    </row>
    <row r="92" spans="1:37">
      <c r="A92" s="120">
        <v>14</v>
      </c>
      <c r="B92" s="105">
        <v>45950</v>
      </c>
      <c r="C92" s="104" t="s">
        <v>137</v>
      </c>
      <c r="D92" s="104" t="s">
        <v>138</v>
      </c>
      <c r="E92" s="175">
        <v>100</v>
      </c>
      <c r="F92" s="174">
        <v>500</v>
      </c>
      <c r="G92" s="116">
        <v>1</v>
      </c>
      <c r="H92" s="117">
        <v>5</v>
      </c>
      <c r="I92" s="104">
        <v>10.18</v>
      </c>
      <c r="J92" s="116">
        <v>10.38</v>
      </c>
      <c r="K92" s="448">
        <v>5</v>
      </c>
      <c r="L92" s="448">
        <v>10.52</v>
      </c>
      <c r="M92" s="378">
        <v>2</v>
      </c>
      <c r="N92" s="378">
        <v>2</v>
      </c>
      <c r="O92" s="378">
        <v>2</v>
      </c>
      <c r="P92" s="378">
        <v>2</v>
      </c>
      <c r="Q92" s="378">
        <v>2</v>
      </c>
      <c r="R92" s="378">
        <v>2</v>
      </c>
      <c r="S92" s="378">
        <v>2</v>
      </c>
      <c r="T92" s="378">
        <v>2</v>
      </c>
      <c r="U92" s="378">
        <v>2</v>
      </c>
      <c r="V92" s="378">
        <v>2</v>
      </c>
      <c r="W92" s="378">
        <v>2</v>
      </c>
      <c r="X92" s="378">
        <v>2</v>
      </c>
    </row>
    <row r="93" spans="1:37">
      <c r="C93" s="104" t="s">
        <v>218</v>
      </c>
      <c r="E93" s="702" t="s">
        <v>215</v>
      </c>
      <c r="F93" s="703"/>
      <c r="G93" s="116">
        <v>2</v>
      </c>
      <c r="H93" s="117">
        <v>5</v>
      </c>
      <c r="I93" s="118">
        <v>10.4</v>
      </c>
      <c r="J93" s="116">
        <v>10.56</v>
      </c>
      <c r="K93" s="448">
        <v>5</v>
      </c>
      <c r="L93" s="448">
        <v>11.14</v>
      </c>
      <c r="M93" s="378">
        <v>0</v>
      </c>
    </row>
    <row r="94" spans="1:37">
      <c r="C94" s="104" t="s">
        <v>219</v>
      </c>
      <c r="G94" s="126">
        <v>3</v>
      </c>
      <c r="H94" s="127">
        <v>5</v>
      </c>
      <c r="I94" s="128">
        <v>11.05</v>
      </c>
      <c r="J94" s="126">
        <v>11.2</v>
      </c>
      <c r="K94" s="454">
        <v>5</v>
      </c>
      <c r="L94" s="454">
        <v>11.35</v>
      </c>
      <c r="M94" s="380">
        <v>1</v>
      </c>
      <c r="N94" s="380">
        <v>1</v>
      </c>
      <c r="O94" s="380">
        <v>1</v>
      </c>
      <c r="P94" s="380">
        <v>1</v>
      </c>
      <c r="Q94" s="380">
        <v>1</v>
      </c>
      <c r="R94" s="380">
        <v>1</v>
      </c>
      <c r="S94" s="380">
        <v>1</v>
      </c>
      <c r="T94" s="380">
        <v>1</v>
      </c>
      <c r="U94" s="380">
        <v>1</v>
      </c>
      <c r="V94" s="380">
        <v>1</v>
      </c>
      <c r="W94" s="380">
        <v>1</v>
      </c>
      <c r="X94" s="380">
        <v>1</v>
      </c>
      <c r="Y94" s="380">
        <v>1</v>
      </c>
      <c r="Z94" s="380">
        <v>1</v>
      </c>
      <c r="AA94" s="380">
        <v>1</v>
      </c>
      <c r="AB94" s="380">
        <v>1</v>
      </c>
      <c r="AC94" s="380">
        <v>1</v>
      </c>
      <c r="AD94" s="380">
        <v>1</v>
      </c>
      <c r="AE94" s="380">
        <v>1</v>
      </c>
      <c r="AF94" s="380">
        <v>1</v>
      </c>
      <c r="AG94" s="380">
        <v>1</v>
      </c>
      <c r="AH94" s="380">
        <v>1</v>
      </c>
      <c r="AI94" s="381" t="s">
        <v>188</v>
      </c>
      <c r="AJ94" s="47" t="s">
        <v>220</v>
      </c>
    </row>
    <row r="95" spans="1:37">
      <c r="C95" s="104" t="s">
        <v>221</v>
      </c>
      <c r="G95" s="116">
        <v>4</v>
      </c>
      <c r="H95" s="117">
        <v>5</v>
      </c>
      <c r="I95" s="104">
        <v>11.24</v>
      </c>
      <c r="J95" s="116">
        <v>11.41</v>
      </c>
      <c r="K95" s="448">
        <v>5</v>
      </c>
      <c r="L95" s="448">
        <v>11.56</v>
      </c>
      <c r="M95" s="378">
        <v>1</v>
      </c>
      <c r="N95" s="378">
        <v>1</v>
      </c>
      <c r="O95" s="378">
        <v>1</v>
      </c>
      <c r="P95" s="378">
        <v>1</v>
      </c>
      <c r="Q95" s="378">
        <v>1</v>
      </c>
      <c r="R95" s="378">
        <v>1</v>
      </c>
      <c r="S95" s="378">
        <v>1</v>
      </c>
      <c r="T95" s="378">
        <v>1</v>
      </c>
      <c r="U95" s="378">
        <v>1</v>
      </c>
      <c r="V95" s="378">
        <v>1</v>
      </c>
      <c r="W95" s="378">
        <v>1</v>
      </c>
    </row>
    <row r="96" spans="1:37">
      <c r="C96" s="104" t="s">
        <v>222</v>
      </c>
      <c r="G96" s="116">
        <v>5</v>
      </c>
      <c r="H96" s="117">
        <v>5</v>
      </c>
      <c r="I96" s="104">
        <v>11.43</v>
      </c>
      <c r="J96" s="116">
        <v>12.02</v>
      </c>
      <c r="K96" s="448">
        <v>5</v>
      </c>
      <c r="L96" s="453">
        <v>12.2</v>
      </c>
      <c r="M96" s="378">
        <v>1</v>
      </c>
      <c r="N96" s="378">
        <v>1</v>
      </c>
      <c r="O96" s="378">
        <v>1</v>
      </c>
      <c r="P96" s="378">
        <v>1</v>
      </c>
      <c r="Q96" s="378">
        <v>1</v>
      </c>
      <c r="R96" s="378">
        <v>1</v>
      </c>
      <c r="S96" s="378">
        <v>1</v>
      </c>
      <c r="T96" s="378">
        <v>1</v>
      </c>
      <c r="U96" s="378">
        <v>1</v>
      </c>
      <c r="V96" s="378">
        <v>1</v>
      </c>
      <c r="W96" s="378">
        <v>1</v>
      </c>
      <c r="X96" s="378">
        <v>1</v>
      </c>
      <c r="Y96" s="378">
        <v>1</v>
      </c>
      <c r="Z96" s="378">
        <v>1</v>
      </c>
      <c r="AA96" s="378">
        <v>1</v>
      </c>
      <c r="AB96" s="378">
        <v>1</v>
      </c>
    </row>
    <row r="97" spans="1:36" s="103" customFormat="1">
      <c r="A97" s="121"/>
      <c r="B97" s="110"/>
      <c r="C97" s="109" t="s">
        <v>223</v>
      </c>
      <c r="E97" s="109"/>
      <c r="F97" s="122"/>
      <c r="G97" s="122">
        <v>6</v>
      </c>
      <c r="H97" s="123">
        <v>5</v>
      </c>
      <c r="I97" s="109">
        <v>12.11</v>
      </c>
      <c r="J97" s="122">
        <v>12.27</v>
      </c>
      <c r="K97" s="450">
        <v>5</v>
      </c>
      <c r="L97" s="450">
        <v>12.43</v>
      </c>
      <c r="M97" s="379">
        <v>1</v>
      </c>
      <c r="N97" s="379">
        <v>1</v>
      </c>
      <c r="O97" s="379">
        <v>1</v>
      </c>
      <c r="P97" s="379">
        <v>1</v>
      </c>
      <c r="Q97" s="379">
        <v>1</v>
      </c>
      <c r="R97" s="379">
        <v>1</v>
      </c>
      <c r="S97" s="379">
        <v>1</v>
      </c>
      <c r="T97" s="379">
        <v>1</v>
      </c>
      <c r="U97" s="379">
        <v>1</v>
      </c>
      <c r="V97" s="379">
        <v>1</v>
      </c>
      <c r="W97" s="379">
        <v>1</v>
      </c>
      <c r="X97" s="379">
        <v>1</v>
      </c>
      <c r="Y97" s="379">
        <v>1</v>
      </c>
      <c r="Z97" s="379"/>
      <c r="AA97" s="379"/>
      <c r="AB97" s="379"/>
      <c r="AC97" s="379"/>
      <c r="AD97" s="379"/>
      <c r="AE97" s="379"/>
      <c r="AF97" s="379"/>
      <c r="AG97" s="379"/>
      <c r="AH97" s="379"/>
      <c r="AI97" s="379"/>
      <c r="AJ97" s="28"/>
    </row>
    <row r="98" spans="1:36">
      <c r="A98" s="120">
        <v>16</v>
      </c>
      <c r="B98" s="105">
        <v>45954</v>
      </c>
      <c r="C98" s="104" t="s">
        <v>151</v>
      </c>
      <c r="D98" s="104" t="s">
        <v>152</v>
      </c>
      <c r="E98" s="175">
        <v>100</v>
      </c>
      <c r="F98" s="174">
        <v>500</v>
      </c>
      <c r="G98" s="116">
        <v>1</v>
      </c>
      <c r="H98" s="117">
        <v>5</v>
      </c>
      <c r="I98" s="104">
        <v>9.59</v>
      </c>
      <c r="J98" s="116">
        <v>10.119999999999999</v>
      </c>
      <c r="K98" s="448">
        <v>5</v>
      </c>
      <c r="L98" s="448">
        <v>10.28</v>
      </c>
      <c r="M98" s="378">
        <v>1</v>
      </c>
      <c r="N98" s="378">
        <v>1</v>
      </c>
      <c r="O98" s="378">
        <v>1</v>
      </c>
      <c r="P98" s="378">
        <v>1</v>
      </c>
      <c r="Q98" s="378">
        <v>1</v>
      </c>
      <c r="R98" s="378">
        <v>1</v>
      </c>
      <c r="S98" s="378">
        <v>1</v>
      </c>
      <c r="T98" s="378">
        <v>1</v>
      </c>
      <c r="U98" s="378">
        <v>1</v>
      </c>
      <c r="V98" s="378">
        <v>1</v>
      </c>
      <c r="W98" s="378">
        <v>1</v>
      </c>
      <c r="X98" s="378">
        <v>1</v>
      </c>
    </row>
    <row r="99" spans="1:36">
      <c r="E99" s="702" t="s">
        <v>193</v>
      </c>
      <c r="F99" s="703"/>
      <c r="G99" s="116">
        <v>2</v>
      </c>
      <c r="H99" s="117">
        <v>2</v>
      </c>
      <c r="I99" s="104">
        <v>10.16</v>
      </c>
      <c r="J99" s="119">
        <v>10.3</v>
      </c>
      <c r="K99" s="448">
        <v>2</v>
      </c>
      <c r="L99" s="448">
        <v>10.45</v>
      </c>
      <c r="M99" s="378">
        <v>2</v>
      </c>
      <c r="N99" s="378">
        <v>2</v>
      </c>
      <c r="O99" s="378">
        <v>2</v>
      </c>
      <c r="P99" s="378">
        <v>2</v>
      </c>
      <c r="Q99" s="378">
        <v>2</v>
      </c>
      <c r="R99" s="378">
        <v>2</v>
      </c>
      <c r="S99" s="378">
        <v>2</v>
      </c>
      <c r="T99" s="378">
        <v>2</v>
      </c>
      <c r="U99" s="378">
        <v>2</v>
      </c>
      <c r="V99" s="378">
        <v>2</v>
      </c>
      <c r="W99" s="378">
        <v>2</v>
      </c>
      <c r="X99" s="378">
        <v>2</v>
      </c>
      <c r="Y99" s="378">
        <v>2</v>
      </c>
    </row>
    <row r="100" spans="1:36">
      <c r="G100" s="116">
        <v>3</v>
      </c>
      <c r="H100" s="117">
        <v>3</v>
      </c>
      <c r="I100" s="118">
        <v>10.3</v>
      </c>
      <c r="J100" s="119">
        <v>10.5</v>
      </c>
      <c r="K100" s="448">
        <v>3</v>
      </c>
      <c r="L100" s="448">
        <v>11.04</v>
      </c>
      <c r="M100" s="378">
        <v>2</v>
      </c>
      <c r="N100" s="378">
        <v>2</v>
      </c>
      <c r="O100" s="378">
        <v>2</v>
      </c>
      <c r="P100" s="378">
        <v>2</v>
      </c>
      <c r="Q100" s="378">
        <v>2</v>
      </c>
      <c r="R100" s="378">
        <v>2</v>
      </c>
      <c r="S100" s="378">
        <v>2</v>
      </c>
      <c r="T100" s="378">
        <v>2</v>
      </c>
      <c r="U100" s="378">
        <v>2</v>
      </c>
      <c r="V100" s="378">
        <v>2</v>
      </c>
      <c r="W100" s="378">
        <v>2</v>
      </c>
      <c r="X100" s="378">
        <v>2</v>
      </c>
      <c r="Y100" s="378">
        <v>1</v>
      </c>
    </row>
    <row r="101" spans="1:36">
      <c r="G101" s="116">
        <v>4</v>
      </c>
      <c r="H101" s="117">
        <v>4</v>
      </c>
      <c r="I101" s="104">
        <v>10.51</v>
      </c>
      <c r="J101" s="116">
        <v>11.05</v>
      </c>
      <c r="K101" s="448">
        <v>4</v>
      </c>
      <c r="L101" s="448">
        <v>11.23</v>
      </c>
      <c r="M101" s="378">
        <v>3</v>
      </c>
      <c r="N101" s="378">
        <v>2</v>
      </c>
      <c r="O101" s="378">
        <v>2</v>
      </c>
      <c r="P101" s="378">
        <v>2</v>
      </c>
      <c r="Q101" s="378">
        <v>2</v>
      </c>
      <c r="R101" s="378">
        <v>2</v>
      </c>
      <c r="S101" s="378">
        <v>2</v>
      </c>
      <c r="T101" s="378">
        <v>2</v>
      </c>
      <c r="U101" s="378">
        <v>2</v>
      </c>
      <c r="V101" s="378">
        <v>2</v>
      </c>
      <c r="W101" s="378">
        <v>2</v>
      </c>
      <c r="X101" s="378">
        <v>2</v>
      </c>
    </row>
    <row r="102" spans="1:36">
      <c r="G102" s="116">
        <v>5</v>
      </c>
      <c r="H102" s="117">
        <v>4</v>
      </c>
      <c r="I102" s="104">
        <v>11.07</v>
      </c>
      <c r="J102" s="116">
        <v>11.19</v>
      </c>
      <c r="K102" s="448">
        <v>4</v>
      </c>
      <c r="L102" s="448">
        <v>11.35</v>
      </c>
      <c r="M102" s="378">
        <v>1</v>
      </c>
      <c r="N102" s="378">
        <v>1</v>
      </c>
      <c r="O102" s="378">
        <v>1</v>
      </c>
    </row>
    <row r="103" spans="1:36">
      <c r="G103" s="116">
        <v>6</v>
      </c>
      <c r="H103" s="117">
        <v>3</v>
      </c>
      <c r="I103" s="104">
        <v>11.23</v>
      </c>
      <c r="J103" s="116">
        <v>11.36</v>
      </c>
      <c r="K103" s="448">
        <v>3</v>
      </c>
      <c r="L103" s="448">
        <v>11.54</v>
      </c>
      <c r="M103" s="378">
        <v>2</v>
      </c>
      <c r="N103" s="378">
        <v>2</v>
      </c>
      <c r="O103" s="378">
        <v>2</v>
      </c>
      <c r="P103" s="378">
        <v>2</v>
      </c>
      <c r="Q103" s="378">
        <v>2</v>
      </c>
      <c r="R103" s="378">
        <v>2</v>
      </c>
      <c r="S103" s="378">
        <v>2</v>
      </c>
      <c r="T103" s="378">
        <v>2</v>
      </c>
      <c r="U103" s="378">
        <v>2</v>
      </c>
      <c r="V103" s="378">
        <v>2</v>
      </c>
    </row>
    <row r="104" spans="1:36">
      <c r="G104" s="116">
        <v>7</v>
      </c>
      <c r="H104" s="117">
        <v>3</v>
      </c>
      <c r="I104" s="104" t="s">
        <v>191</v>
      </c>
      <c r="J104" s="116">
        <v>11.46</v>
      </c>
      <c r="K104" s="448">
        <v>3</v>
      </c>
      <c r="L104" s="448">
        <v>12.02</v>
      </c>
      <c r="M104" s="378">
        <v>0</v>
      </c>
    </row>
    <row r="105" spans="1:36">
      <c r="G105" s="116">
        <v>8</v>
      </c>
      <c r="H105" s="117">
        <v>4</v>
      </c>
      <c r="I105" s="104">
        <v>11.47</v>
      </c>
      <c r="J105" s="116">
        <v>12.01</v>
      </c>
      <c r="K105" s="448">
        <v>4</v>
      </c>
      <c r="L105" s="448">
        <v>12.17</v>
      </c>
      <c r="M105" s="378">
        <v>1</v>
      </c>
      <c r="N105" s="378">
        <v>1</v>
      </c>
      <c r="O105" s="378">
        <v>1</v>
      </c>
      <c r="P105" s="378">
        <v>1</v>
      </c>
      <c r="Q105" s="378">
        <v>1</v>
      </c>
      <c r="R105" s="378">
        <v>1</v>
      </c>
      <c r="S105" s="378">
        <v>1</v>
      </c>
      <c r="T105" s="378">
        <v>1</v>
      </c>
      <c r="U105" s="378">
        <v>1</v>
      </c>
      <c r="V105" s="378">
        <v>1</v>
      </c>
    </row>
    <row r="106" spans="1:36" s="103" customFormat="1">
      <c r="A106" s="121"/>
      <c r="B106" s="110"/>
      <c r="C106" s="109"/>
      <c r="E106" s="109"/>
      <c r="F106" s="122"/>
      <c r="G106" s="122">
        <v>9</v>
      </c>
      <c r="H106" s="123">
        <v>4</v>
      </c>
      <c r="I106" s="109">
        <v>12.02</v>
      </c>
      <c r="J106" s="122">
        <v>12.15</v>
      </c>
      <c r="K106" s="450">
        <v>4</v>
      </c>
      <c r="L106" s="450">
        <v>12.31</v>
      </c>
      <c r="M106" s="379">
        <v>1</v>
      </c>
      <c r="N106" s="379">
        <v>1</v>
      </c>
      <c r="O106" s="379">
        <v>1</v>
      </c>
      <c r="P106" s="379">
        <v>1</v>
      </c>
      <c r="Q106" s="379">
        <v>1</v>
      </c>
      <c r="R106" s="379">
        <v>1</v>
      </c>
      <c r="S106" s="379">
        <v>1</v>
      </c>
      <c r="T106" s="379"/>
      <c r="U106" s="379"/>
      <c r="V106" s="379"/>
      <c r="W106" s="379"/>
      <c r="X106" s="379"/>
      <c r="Y106" s="379"/>
      <c r="Z106" s="379"/>
      <c r="AA106" s="379"/>
      <c r="AB106" s="379"/>
      <c r="AC106" s="379"/>
      <c r="AD106" s="379"/>
      <c r="AE106" s="379"/>
      <c r="AF106" s="379"/>
      <c r="AG106" s="379"/>
      <c r="AH106" s="379"/>
      <c r="AI106" s="379"/>
      <c r="AJ106" s="28"/>
    </row>
    <row r="107" spans="1:36">
      <c r="A107" s="120">
        <v>17</v>
      </c>
      <c r="B107" s="105">
        <v>45958</v>
      </c>
      <c r="C107" s="104" t="s">
        <v>163</v>
      </c>
      <c r="D107" t="s">
        <v>224</v>
      </c>
      <c r="E107" s="104">
        <v>100</v>
      </c>
      <c r="F107" s="116">
        <v>500</v>
      </c>
      <c r="G107" s="116">
        <v>1</v>
      </c>
      <c r="H107" s="117">
        <v>3</v>
      </c>
      <c r="I107" s="104">
        <v>10.45</v>
      </c>
      <c r="J107" s="116">
        <v>11.03</v>
      </c>
      <c r="K107" s="448">
        <v>3</v>
      </c>
      <c r="L107" s="448">
        <v>11.16</v>
      </c>
      <c r="M107" s="378">
        <v>1</v>
      </c>
      <c r="N107" s="378">
        <v>1</v>
      </c>
      <c r="O107" s="378">
        <v>1</v>
      </c>
      <c r="P107" s="378">
        <v>1</v>
      </c>
      <c r="Q107" s="378">
        <v>1</v>
      </c>
      <c r="R107" s="378">
        <v>1</v>
      </c>
      <c r="S107" s="378">
        <v>1</v>
      </c>
      <c r="T107" s="378">
        <v>1</v>
      </c>
      <c r="U107" s="378">
        <v>1</v>
      </c>
      <c r="V107" s="378">
        <v>1</v>
      </c>
      <c r="W107" s="378">
        <v>1</v>
      </c>
      <c r="X107" s="378">
        <v>1</v>
      </c>
      <c r="Y107" s="378">
        <v>1</v>
      </c>
      <c r="Z107" s="378">
        <v>1</v>
      </c>
    </row>
    <row r="108" spans="1:36">
      <c r="E108" s="702" t="s">
        <v>215</v>
      </c>
      <c r="F108" s="703"/>
      <c r="G108" s="116">
        <v>2</v>
      </c>
      <c r="H108" s="117">
        <v>3</v>
      </c>
      <c r="I108" s="104">
        <v>11.05</v>
      </c>
      <c r="J108" s="116">
        <v>11.17</v>
      </c>
      <c r="K108" s="448">
        <v>3</v>
      </c>
      <c r="L108" s="448">
        <v>11.31</v>
      </c>
      <c r="M108" s="378">
        <v>0</v>
      </c>
    </row>
    <row r="109" spans="1:36">
      <c r="G109" s="116">
        <v>3</v>
      </c>
      <c r="H109" s="117">
        <v>4</v>
      </c>
      <c r="I109" s="118">
        <v>11.2</v>
      </c>
      <c r="J109" s="116">
        <v>11.33</v>
      </c>
      <c r="K109" s="448">
        <v>4</v>
      </c>
      <c r="L109" s="448">
        <v>11.48</v>
      </c>
      <c r="M109" s="378">
        <v>2</v>
      </c>
      <c r="N109" s="378">
        <v>2</v>
      </c>
      <c r="O109" s="378">
        <v>2</v>
      </c>
      <c r="P109" s="378">
        <v>2</v>
      </c>
      <c r="Q109" s="378">
        <v>2</v>
      </c>
      <c r="R109" s="378">
        <v>2</v>
      </c>
      <c r="S109" s="378">
        <v>2</v>
      </c>
      <c r="T109" s="378">
        <v>2</v>
      </c>
      <c r="U109" s="378">
        <v>2</v>
      </c>
      <c r="V109" s="378">
        <v>2</v>
      </c>
      <c r="W109" s="378">
        <v>2</v>
      </c>
      <c r="X109" s="378">
        <v>2</v>
      </c>
      <c r="Y109" s="378">
        <v>2</v>
      </c>
    </row>
    <row r="110" spans="1:36">
      <c r="G110" s="116">
        <v>4</v>
      </c>
      <c r="H110" s="117">
        <v>3</v>
      </c>
      <c r="I110" s="104">
        <v>11.37</v>
      </c>
      <c r="J110" s="116">
        <v>11.51</v>
      </c>
      <c r="K110" s="448">
        <v>3</v>
      </c>
      <c r="L110" s="448">
        <v>12.04</v>
      </c>
      <c r="M110" s="378">
        <v>1</v>
      </c>
      <c r="N110" s="378">
        <v>1</v>
      </c>
      <c r="O110" s="378">
        <v>1</v>
      </c>
      <c r="P110" s="378">
        <v>1</v>
      </c>
      <c r="Q110" s="378">
        <v>1</v>
      </c>
      <c r="R110" s="378">
        <v>1</v>
      </c>
      <c r="S110" s="378">
        <v>1</v>
      </c>
      <c r="T110" s="378">
        <v>1</v>
      </c>
      <c r="U110" s="378">
        <v>1</v>
      </c>
      <c r="V110" s="378">
        <v>1</v>
      </c>
      <c r="W110" s="378">
        <v>1</v>
      </c>
      <c r="X110" s="378">
        <v>1</v>
      </c>
      <c r="Y110" s="378">
        <v>1</v>
      </c>
      <c r="Z110" s="378">
        <v>1</v>
      </c>
    </row>
    <row r="111" spans="1:36">
      <c r="G111" s="116">
        <v>5</v>
      </c>
      <c r="H111" s="117">
        <v>3</v>
      </c>
      <c r="I111" s="104">
        <v>11.52</v>
      </c>
      <c r="J111" s="116">
        <v>12.01</v>
      </c>
      <c r="K111" s="448">
        <v>3</v>
      </c>
      <c r="L111" s="448">
        <v>12.16</v>
      </c>
      <c r="M111" s="378">
        <v>2</v>
      </c>
      <c r="N111" s="378">
        <v>2</v>
      </c>
      <c r="O111" s="378">
        <v>2</v>
      </c>
      <c r="P111" s="378">
        <v>2</v>
      </c>
      <c r="Q111" s="378">
        <v>2</v>
      </c>
      <c r="R111" s="378">
        <v>2</v>
      </c>
      <c r="S111" s="378">
        <v>2</v>
      </c>
      <c r="T111" s="378">
        <v>2</v>
      </c>
      <c r="U111" s="378">
        <v>2</v>
      </c>
      <c r="V111" s="378">
        <v>2</v>
      </c>
      <c r="W111" s="378">
        <v>2</v>
      </c>
      <c r="X111" s="378">
        <v>2</v>
      </c>
      <c r="Y111" s="378">
        <v>2</v>
      </c>
      <c r="Z111" s="378">
        <v>2</v>
      </c>
      <c r="AA111" s="378">
        <v>1</v>
      </c>
    </row>
    <row r="112" spans="1:36">
      <c r="G112" s="116">
        <v>6</v>
      </c>
      <c r="H112" s="117">
        <v>2</v>
      </c>
      <c r="I112" s="104">
        <v>12.01</v>
      </c>
      <c r="J112" s="116">
        <v>12.11</v>
      </c>
      <c r="K112" s="448">
        <v>2</v>
      </c>
      <c r="L112" s="453">
        <v>12.3</v>
      </c>
      <c r="M112" s="378">
        <v>1</v>
      </c>
      <c r="N112" s="378">
        <v>1</v>
      </c>
      <c r="O112" s="378">
        <v>1</v>
      </c>
      <c r="P112" s="378">
        <v>1</v>
      </c>
      <c r="Q112" s="378">
        <v>1</v>
      </c>
      <c r="R112" s="378">
        <v>1</v>
      </c>
      <c r="S112" s="378">
        <v>1</v>
      </c>
      <c r="T112" s="378">
        <v>1</v>
      </c>
      <c r="U112" s="378">
        <v>1</v>
      </c>
      <c r="V112" s="378">
        <v>1</v>
      </c>
      <c r="W112" s="378">
        <v>1</v>
      </c>
      <c r="X112" s="378">
        <v>1</v>
      </c>
    </row>
    <row r="113" spans="1:37">
      <c r="G113" s="116">
        <v>7</v>
      </c>
      <c r="H113" s="117">
        <v>4</v>
      </c>
      <c r="I113" s="104">
        <v>12.12</v>
      </c>
      <c r="J113" s="116">
        <v>12.25</v>
      </c>
      <c r="K113" s="448">
        <v>4</v>
      </c>
      <c r="L113" s="448">
        <v>12.39</v>
      </c>
      <c r="M113" s="378">
        <v>1</v>
      </c>
      <c r="N113" s="378">
        <v>1</v>
      </c>
      <c r="O113" s="378">
        <v>1</v>
      </c>
      <c r="P113" s="378">
        <v>1</v>
      </c>
      <c r="Q113" s="378">
        <v>1</v>
      </c>
      <c r="R113" s="378">
        <v>1</v>
      </c>
      <c r="S113" s="378">
        <v>1</v>
      </c>
      <c r="T113" s="378">
        <v>1</v>
      </c>
      <c r="U113" s="378">
        <v>1</v>
      </c>
      <c r="V113" s="378">
        <v>1</v>
      </c>
      <c r="W113" s="378">
        <v>1</v>
      </c>
      <c r="X113" s="378">
        <v>1</v>
      </c>
    </row>
    <row r="114" spans="1:37">
      <c r="G114" s="116">
        <v>8</v>
      </c>
      <c r="H114" s="117">
        <v>4</v>
      </c>
      <c r="I114" s="104">
        <v>12.27</v>
      </c>
      <c r="J114" s="116">
        <v>12.43</v>
      </c>
      <c r="K114" s="448">
        <v>4</v>
      </c>
      <c r="L114" s="448">
        <v>12.57</v>
      </c>
      <c r="M114" s="378">
        <v>1</v>
      </c>
      <c r="N114" s="378">
        <v>1</v>
      </c>
      <c r="O114" s="378">
        <v>1</v>
      </c>
      <c r="P114" s="378">
        <v>1</v>
      </c>
      <c r="Q114" s="378">
        <v>1</v>
      </c>
      <c r="R114" s="378">
        <v>1</v>
      </c>
      <c r="S114" s="378">
        <v>1</v>
      </c>
      <c r="T114" s="378">
        <v>1</v>
      </c>
      <c r="U114" s="378">
        <v>1</v>
      </c>
      <c r="V114" s="378">
        <v>1</v>
      </c>
      <c r="W114" s="378">
        <v>1</v>
      </c>
    </row>
    <row r="115" spans="1:37">
      <c r="G115" s="116">
        <v>9</v>
      </c>
      <c r="H115" s="117">
        <v>3</v>
      </c>
      <c r="I115" s="104">
        <v>12.45</v>
      </c>
      <c r="J115" s="116">
        <v>12.57</v>
      </c>
      <c r="K115" s="448">
        <v>3</v>
      </c>
      <c r="L115" s="448">
        <v>13.13</v>
      </c>
      <c r="M115" s="378">
        <v>2</v>
      </c>
      <c r="N115" s="378">
        <v>2</v>
      </c>
      <c r="O115" s="378">
        <v>2</v>
      </c>
      <c r="P115" s="378">
        <v>2</v>
      </c>
      <c r="Q115" s="378">
        <v>2</v>
      </c>
      <c r="R115" s="378">
        <v>2</v>
      </c>
      <c r="S115" s="378">
        <v>2</v>
      </c>
      <c r="T115" s="378">
        <v>2</v>
      </c>
      <c r="U115" s="378">
        <v>2</v>
      </c>
      <c r="V115" s="378">
        <v>2</v>
      </c>
      <c r="W115" s="378">
        <v>2</v>
      </c>
      <c r="X115" s="378">
        <v>2</v>
      </c>
    </row>
    <row r="116" spans="1:37" s="103" customFormat="1">
      <c r="A116" s="121"/>
      <c r="B116" s="110"/>
      <c r="C116" s="109"/>
      <c r="E116" s="109"/>
      <c r="F116" s="122"/>
      <c r="G116" s="122">
        <v>10</v>
      </c>
      <c r="H116" s="123">
        <v>4</v>
      </c>
      <c r="I116" s="109">
        <v>12.58</v>
      </c>
      <c r="J116" s="122">
        <v>13.11</v>
      </c>
      <c r="K116" s="450">
        <v>4</v>
      </c>
      <c r="L116" s="450">
        <v>13.27</v>
      </c>
      <c r="M116" s="379">
        <v>1</v>
      </c>
      <c r="N116" s="379">
        <v>1</v>
      </c>
      <c r="O116" s="379">
        <v>1</v>
      </c>
      <c r="P116" s="379">
        <v>1</v>
      </c>
      <c r="Q116" s="379">
        <v>1</v>
      </c>
      <c r="R116" s="379">
        <v>1</v>
      </c>
      <c r="S116" s="379">
        <v>1</v>
      </c>
      <c r="T116" s="379">
        <v>1</v>
      </c>
      <c r="U116" s="379">
        <v>1</v>
      </c>
      <c r="V116" s="379">
        <v>1</v>
      </c>
      <c r="W116" s="379">
        <v>1</v>
      </c>
      <c r="X116" s="379">
        <v>1</v>
      </c>
      <c r="Y116" s="379">
        <v>1</v>
      </c>
      <c r="Z116" s="379"/>
      <c r="AA116" s="379"/>
      <c r="AB116" s="379"/>
      <c r="AC116" s="379"/>
      <c r="AD116" s="379"/>
      <c r="AE116" s="379"/>
      <c r="AF116" s="379"/>
      <c r="AG116" s="379"/>
      <c r="AH116" s="379"/>
      <c r="AI116" s="379"/>
      <c r="AJ116" s="28"/>
    </row>
    <row r="117" spans="1:37">
      <c r="A117" s="120">
        <v>18</v>
      </c>
      <c r="B117" s="105">
        <v>45960</v>
      </c>
      <c r="C117" s="104" t="s">
        <v>167</v>
      </c>
      <c r="D117" t="s">
        <v>168</v>
      </c>
      <c r="E117" s="104">
        <v>100</v>
      </c>
      <c r="F117" s="116">
        <v>500</v>
      </c>
      <c r="G117" s="116">
        <v>1</v>
      </c>
      <c r="H117" s="117">
        <v>5</v>
      </c>
      <c r="I117" s="104">
        <v>9.59</v>
      </c>
      <c r="J117" s="116">
        <v>10.19</v>
      </c>
      <c r="K117" s="448">
        <v>5</v>
      </c>
      <c r="L117" s="448">
        <v>10.35</v>
      </c>
      <c r="U117" s="378">
        <v>3</v>
      </c>
      <c r="Y117" s="378">
        <v>3</v>
      </c>
    </row>
    <row r="118" spans="1:37">
      <c r="E118" s="702" t="s">
        <v>215</v>
      </c>
      <c r="F118" s="703"/>
      <c r="G118" s="116">
        <v>2</v>
      </c>
      <c r="H118" s="117">
        <v>4</v>
      </c>
      <c r="I118" s="104">
        <v>10.210000000000001</v>
      </c>
      <c r="J118" s="116">
        <v>10.34</v>
      </c>
      <c r="K118" s="448">
        <v>4</v>
      </c>
      <c r="L118" s="448">
        <v>10.48</v>
      </c>
      <c r="T118" s="378">
        <v>1</v>
      </c>
      <c r="Y118" s="378">
        <v>1</v>
      </c>
    </row>
    <row r="119" spans="1:37">
      <c r="G119" s="116">
        <v>3</v>
      </c>
      <c r="H119" s="117">
        <v>4</v>
      </c>
      <c r="I119" s="104">
        <v>10.47</v>
      </c>
      <c r="J119" s="119">
        <v>11</v>
      </c>
      <c r="K119" s="448">
        <v>4</v>
      </c>
      <c r="L119" s="448">
        <v>11.17</v>
      </c>
      <c r="S119" s="378">
        <v>1</v>
      </c>
      <c r="W119" s="378">
        <v>1</v>
      </c>
      <c r="Y119" s="378">
        <v>1</v>
      </c>
    </row>
    <row r="120" spans="1:37">
      <c r="G120" s="116">
        <v>4</v>
      </c>
      <c r="H120" s="117">
        <v>3</v>
      </c>
      <c r="I120" s="104">
        <v>11.02</v>
      </c>
      <c r="J120" s="116">
        <v>11.15</v>
      </c>
      <c r="K120" s="448">
        <v>3</v>
      </c>
      <c r="L120" s="448">
        <v>11.29</v>
      </c>
      <c r="S120" s="378">
        <v>1</v>
      </c>
      <c r="Y120" s="378">
        <v>1</v>
      </c>
      <c r="AA120" s="378">
        <v>1</v>
      </c>
      <c r="AB120" s="378">
        <v>1</v>
      </c>
      <c r="AD120" s="378">
        <v>1</v>
      </c>
    </row>
    <row r="121" spans="1:37">
      <c r="G121" s="116">
        <v>5</v>
      </c>
      <c r="H121" s="117">
        <v>3</v>
      </c>
      <c r="I121" s="104">
        <v>11.24</v>
      </c>
      <c r="J121" s="116">
        <v>11.33</v>
      </c>
      <c r="K121" s="448">
        <v>3</v>
      </c>
      <c r="L121" s="448">
        <v>11.46</v>
      </c>
      <c r="M121" s="378">
        <v>0</v>
      </c>
    </row>
    <row r="122" spans="1:37">
      <c r="G122" s="116">
        <v>6</v>
      </c>
      <c r="H122" s="117">
        <v>4</v>
      </c>
      <c r="I122" s="104">
        <v>11.35</v>
      </c>
      <c r="J122" s="116">
        <v>11.48</v>
      </c>
      <c r="K122" s="448">
        <v>4</v>
      </c>
      <c r="L122" s="448">
        <v>12.07</v>
      </c>
      <c r="M122" s="378">
        <v>0</v>
      </c>
    </row>
    <row r="123" spans="1:37">
      <c r="G123" s="372">
        <v>7</v>
      </c>
      <c r="H123" s="373">
        <v>4</v>
      </c>
      <c r="I123" s="129">
        <v>11.49</v>
      </c>
      <c r="J123" s="372">
        <v>12.05</v>
      </c>
      <c r="K123" s="454">
        <v>4</v>
      </c>
      <c r="L123" s="454">
        <v>12.26</v>
      </c>
      <c r="M123" s="380"/>
      <c r="N123" s="380"/>
      <c r="O123" s="380">
        <v>3</v>
      </c>
      <c r="P123" s="380"/>
      <c r="Q123" s="380"/>
      <c r="R123" s="380"/>
      <c r="S123" s="380"/>
      <c r="T123" s="380"/>
      <c r="U123" s="380"/>
      <c r="V123" s="380"/>
      <c r="W123" s="380">
        <v>3</v>
      </c>
      <c r="X123" s="380"/>
      <c r="Y123" s="380"/>
      <c r="Z123" s="380">
        <v>2</v>
      </c>
      <c r="AA123" s="380">
        <v>1</v>
      </c>
      <c r="AB123" s="380"/>
      <c r="AC123" s="380">
        <v>1</v>
      </c>
      <c r="AD123" s="380"/>
      <c r="AE123" s="380">
        <v>1</v>
      </c>
      <c r="AF123" s="380"/>
      <c r="AG123" s="380">
        <v>1</v>
      </c>
      <c r="AH123" s="380"/>
      <c r="AI123" s="381" t="s">
        <v>188</v>
      </c>
      <c r="AJ123" s="50" t="s">
        <v>220</v>
      </c>
      <c r="AK123" s="374"/>
    </row>
    <row r="124" spans="1:37" s="103" customFormat="1">
      <c r="A124" s="121"/>
      <c r="B124" s="110"/>
      <c r="C124" s="109"/>
      <c r="E124" s="109"/>
      <c r="F124" s="122"/>
      <c r="G124" s="122">
        <v>8</v>
      </c>
      <c r="H124" s="123">
        <v>4</v>
      </c>
      <c r="I124" s="109">
        <v>12.06</v>
      </c>
      <c r="J124" s="122">
        <v>12.31</v>
      </c>
      <c r="K124" s="450">
        <v>4</v>
      </c>
      <c r="L124" s="450">
        <v>12.44</v>
      </c>
      <c r="M124" s="379">
        <v>0</v>
      </c>
      <c r="N124" s="379"/>
      <c r="O124" s="379"/>
      <c r="P124" s="379"/>
      <c r="Q124" s="379"/>
      <c r="R124" s="379"/>
      <c r="S124" s="379"/>
      <c r="T124" s="379"/>
      <c r="U124" s="379"/>
      <c r="V124" s="379"/>
      <c r="W124" s="379"/>
      <c r="X124" s="379"/>
      <c r="Y124" s="379"/>
      <c r="Z124" s="379"/>
      <c r="AA124" s="379"/>
      <c r="AB124" s="379"/>
      <c r="AC124" s="379"/>
      <c r="AD124" s="379"/>
      <c r="AE124" s="379"/>
      <c r="AF124" s="379"/>
      <c r="AG124" s="379"/>
      <c r="AH124" s="379"/>
      <c r="AI124" s="379"/>
      <c r="AJ124" s="28"/>
    </row>
    <row r="125" spans="1:37">
      <c r="A125" s="120">
        <v>19</v>
      </c>
      <c r="B125" s="105">
        <v>45961</v>
      </c>
      <c r="C125" s="104" t="s">
        <v>169</v>
      </c>
      <c r="D125" t="s">
        <v>225</v>
      </c>
      <c r="E125" s="104">
        <v>100</v>
      </c>
      <c r="F125" s="116">
        <v>500</v>
      </c>
      <c r="G125" s="116">
        <v>1</v>
      </c>
      <c r="H125" s="117">
        <v>4</v>
      </c>
      <c r="I125" s="118">
        <v>10.3</v>
      </c>
      <c r="J125" s="116">
        <v>10.47</v>
      </c>
      <c r="K125" s="448">
        <v>4</v>
      </c>
      <c r="L125" s="448">
        <v>11.03</v>
      </c>
      <c r="M125" s="378">
        <v>0</v>
      </c>
    </row>
    <row r="126" spans="1:37">
      <c r="E126" s="702" t="s">
        <v>215</v>
      </c>
      <c r="F126" s="703"/>
      <c r="G126" s="116">
        <v>2</v>
      </c>
      <c r="H126" s="117">
        <v>3</v>
      </c>
      <c r="I126" s="104">
        <v>11.01</v>
      </c>
      <c r="J126" s="116">
        <v>11.12</v>
      </c>
      <c r="K126" s="448">
        <v>3</v>
      </c>
      <c r="L126" s="448">
        <v>11.27</v>
      </c>
      <c r="R126" s="378">
        <v>1</v>
      </c>
      <c r="S126" s="378">
        <v>1</v>
      </c>
      <c r="Y126" s="378">
        <v>1</v>
      </c>
    </row>
    <row r="127" spans="1:37">
      <c r="G127" s="116">
        <v>3</v>
      </c>
      <c r="H127" s="117">
        <v>4</v>
      </c>
      <c r="I127" s="104">
        <v>11.12</v>
      </c>
      <c r="J127" s="116">
        <v>11.26</v>
      </c>
      <c r="K127" s="448">
        <v>4</v>
      </c>
      <c r="L127" s="448">
        <v>11.42</v>
      </c>
      <c r="M127" s="378">
        <v>0</v>
      </c>
    </row>
    <row r="128" spans="1:37">
      <c r="G128" s="116">
        <v>4</v>
      </c>
      <c r="H128" s="117">
        <v>2</v>
      </c>
      <c r="I128" s="104">
        <v>11.27</v>
      </c>
      <c r="J128" s="116">
        <v>11.39</v>
      </c>
      <c r="K128" s="448">
        <v>2</v>
      </c>
      <c r="L128" s="448">
        <v>11.53</v>
      </c>
      <c r="O128" s="378">
        <v>2</v>
      </c>
      <c r="Y128" s="378">
        <v>1</v>
      </c>
    </row>
    <row r="129" spans="1:36">
      <c r="G129" s="116">
        <v>5</v>
      </c>
      <c r="H129" s="117">
        <v>4</v>
      </c>
      <c r="I129" s="118">
        <v>11.4</v>
      </c>
      <c r="J129" s="116">
        <v>11.54</v>
      </c>
      <c r="K129" s="448">
        <v>4</v>
      </c>
      <c r="L129" s="448">
        <v>12.05</v>
      </c>
      <c r="M129" s="378">
        <v>1</v>
      </c>
    </row>
    <row r="130" spans="1:36" s="103" customFormat="1">
      <c r="A130" s="121"/>
      <c r="B130" s="110"/>
      <c r="C130" s="109"/>
      <c r="E130" s="109"/>
      <c r="F130" s="122"/>
      <c r="G130" s="122">
        <v>6</v>
      </c>
      <c r="H130" s="123">
        <v>4</v>
      </c>
      <c r="I130" s="109">
        <v>11.55</v>
      </c>
      <c r="J130" s="125">
        <v>12.1</v>
      </c>
      <c r="K130" s="450">
        <v>4</v>
      </c>
      <c r="L130" s="450">
        <v>12.26</v>
      </c>
      <c r="M130" s="379"/>
      <c r="N130" s="379">
        <v>4</v>
      </c>
      <c r="O130" s="379"/>
      <c r="P130" s="379"/>
      <c r="Q130" s="379"/>
      <c r="R130" s="379"/>
      <c r="S130" s="379"/>
      <c r="T130" s="379"/>
      <c r="U130" s="379"/>
      <c r="V130" s="379"/>
      <c r="W130" s="379"/>
      <c r="X130" s="379"/>
      <c r="Y130" s="379"/>
      <c r="Z130" s="379"/>
      <c r="AA130" s="379"/>
      <c r="AB130" s="379"/>
      <c r="AC130" s="379"/>
      <c r="AD130" s="379"/>
      <c r="AE130" s="379"/>
      <c r="AF130" s="379"/>
      <c r="AG130" s="379"/>
      <c r="AH130" s="379"/>
      <c r="AI130" s="379"/>
      <c r="AJ130" s="28"/>
    </row>
    <row r="131" spans="1:36">
      <c r="A131" s="120">
        <v>20</v>
      </c>
      <c r="B131" s="105">
        <v>45964</v>
      </c>
      <c r="C131" s="104" t="s">
        <v>171</v>
      </c>
      <c r="D131" t="s">
        <v>172</v>
      </c>
      <c r="E131" s="104">
        <v>100</v>
      </c>
      <c r="F131" s="116">
        <v>500</v>
      </c>
      <c r="G131" s="116">
        <v>1</v>
      </c>
      <c r="H131" s="117">
        <v>1</v>
      </c>
      <c r="I131" s="104">
        <v>10.130000000000001</v>
      </c>
      <c r="J131" s="116">
        <v>10.26</v>
      </c>
      <c r="K131" s="448">
        <v>1</v>
      </c>
      <c r="L131" s="453">
        <v>10.4</v>
      </c>
      <c r="M131" s="378">
        <v>0</v>
      </c>
    </row>
    <row r="132" spans="1:36">
      <c r="E132" s="702" t="s">
        <v>215</v>
      </c>
      <c r="F132" s="703"/>
      <c r="G132" s="116">
        <v>2</v>
      </c>
      <c r="H132" s="117">
        <v>4</v>
      </c>
      <c r="I132" s="118">
        <v>10.3</v>
      </c>
      <c r="J132" s="116">
        <v>10.46</v>
      </c>
      <c r="K132" s="448">
        <v>4</v>
      </c>
      <c r="L132" s="448">
        <v>11.03</v>
      </c>
      <c r="N132" s="378">
        <v>1</v>
      </c>
    </row>
    <row r="133" spans="1:36">
      <c r="G133" s="116">
        <v>3</v>
      </c>
      <c r="H133" s="117">
        <v>4</v>
      </c>
      <c r="I133" s="104">
        <v>10.55</v>
      </c>
      <c r="J133" s="119">
        <v>11.1</v>
      </c>
      <c r="K133" s="448">
        <v>4</v>
      </c>
      <c r="L133" s="448">
        <v>11.45</v>
      </c>
      <c r="M133" s="378">
        <v>0</v>
      </c>
    </row>
    <row r="134" spans="1:36">
      <c r="G134" s="372">
        <v>4</v>
      </c>
      <c r="H134" s="373">
        <v>4</v>
      </c>
      <c r="I134" s="377">
        <v>11.1</v>
      </c>
      <c r="J134" s="372">
        <v>11.25</v>
      </c>
      <c r="K134" s="454">
        <v>4</v>
      </c>
      <c r="L134" s="454">
        <v>11.39</v>
      </c>
      <c r="M134" s="380"/>
      <c r="N134" s="380"/>
      <c r="O134" s="380"/>
      <c r="P134" s="380"/>
      <c r="Q134" s="380"/>
      <c r="R134" s="380"/>
      <c r="S134" s="380">
        <v>2</v>
      </c>
      <c r="T134" s="380"/>
      <c r="U134" s="380"/>
      <c r="V134" s="380"/>
      <c r="W134" s="380"/>
      <c r="X134" s="380">
        <v>2</v>
      </c>
      <c r="Y134" s="380">
        <v>2</v>
      </c>
      <c r="Z134" s="380"/>
      <c r="AA134" s="380">
        <v>1</v>
      </c>
      <c r="AB134" s="380"/>
      <c r="AC134" s="380"/>
      <c r="AD134" s="380"/>
      <c r="AE134" s="380"/>
      <c r="AF134" s="380"/>
      <c r="AG134" s="380">
        <v>1</v>
      </c>
      <c r="AH134" s="380"/>
      <c r="AI134" s="381" t="s">
        <v>188</v>
      </c>
      <c r="AJ134" s="50" t="s">
        <v>226</v>
      </c>
    </row>
    <row r="135" spans="1:36">
      <c r="G135" s="116">
        <v>5</v>
      </c>
      <c r="H135" s="117">
        <v>4</v>
      </c>
      <c r="I135" s="104">
        <v>11.29</v>
      </c>
      <c r="J135" s="119">
        <v>11.4</v>
      </c>
      <c r="K135" s="448">
        <v>4</v>
      </c>
      <c r="L135" s="448">
        <v>11.59</v>
      </c>
      <c r="M135" s="378">
        <v>0</v>
      </c>
    </row>
    <row r="136" spans="1:36">
      <c r="G136" s="116">
        <v>6</v>
      </c>
      <c r="H136" s="117">
        <v>4</v>
      </c>
      <c r="I136" s="104">
        <v>11.45</v>
      </c>
      <c r="J136" s="116">
        <v>11.59</v>
      </c>
      <c r="K136" s="448">
        <v>4</v>
      </c>
      <c r="L136" s="448">
        <v>12.15</v>
      </c>
      <c r="O136" s="378">
        <v>1</v>
      </c>
      <c r="P136" s="378">
        <v>1</v>
      </c>
      <c r="W136" s="378">
        <v>1</v>
      </c>
    </row>
    <row r="137" spans="1:36">
      <c r="G137" s="116">
        <v>7</v>
      </c>
      <c r="H137" s="117">
        <v>4</v>
      </c>
      <c r="I137" s="104">
        <v>12.05</v>
      </c>
      <c r="J137" s="116">
        <v>12.18</v>
      </c>
      <c r="K137" s="448">
        <v>4</v>
      </c>
      <c r="L137" s="448">
        <v>12.34</v>
      </c>
      <c r="O137" s="378">
        <v>2</v>
      </c>
      <c r="V137" s="378">
        <v>1</v>
      </c>
    </row>
    <row r="138" spans="1:36">
      <c r="G138" s="116">
        <v>8</v>
      </c>
      <c r="H138" s="117">
        <v>4</v>
      </c>
      <c r="I138" s="104">
        <v>12.18</v>
      </c>
      <c r="J138" s="116">
        <v>12.29</v>
      </c>
      <c r="K138" s="448">
        <v>4</v>
      </c>
      <c r="L138" s="448">
        <v>12.43</v>
      </c>
      <c r="M138" s="378">
        <v>0</v>
      </c>
    </row>
    <row r="139" spans="1:36" s="103" customFormat="1">
      <c r="A139" s="121"/>
      <c r="B139" s="110"/>
      <c r="C139" s="109"/>
      <c r="E139" s="109"/>
      <c r="F139" s="122"/>
      <c r="G139" s="122">
        <v>9</v>
      </c>
      <c r="H139" s="123">
        <v>4</v>
      </c>
      <c r="I139" s="109">
        <v>12.37</v>
      </c>
      <c r="J139" s="122">
        <v>12.48</v>
      </c>
      <c r="K139" s="450">
        <v>4</v>
      </c>
      <c r="L139" s="450">
        <v>13.02</v>
      </c>
      <c r="M139" s="379">
        <v>3</v>
      </c>
      <c r="N139" s="379"/>
      <c r="O139" s="379">
        <v>2</v>
      </c>
      <c r="P139" s="379">
        <v>1</v>
      </c>
      <c r="Q139" s="379"/>
      <c r="R139" s="379"/>
      <c r="S139" s="379"/>
      <c r="T139" s="379"/>
      <c r="U139" s="379"/>
      <c r="V139" s="379"/>
      <c r="W139" s="379">
        <v>2</v>
      </c>
      <c r="X139" s="379"/>
      <c r="Y139" s="379"/>
      <c r="Z139" s="379"/>
      <c r="AA139" s="379"/>
      <c r="AB139" s="379"/>
      <c r="AC139" s="379"/>
      <c r="AD139" s="379"/>
      <c r="AE139" s="379"/>
      <c r="AF139" s="379"/>
      <c r="AG139" s="379"/>
      <c r="AH139" s="379"/>
      <c r="AI139" s="379"/>
      <c r="AJ139" s="28"/>
    </row>
    <row r="140" spans="1:36">
      <c r="A140" s="120">
        <v>21</v>
      </c>
      <c r="B140" s="105">
        <v>45968</v>
      </c>
      <c r="C140" s="104" t="s">
        <v>174</v>
      </c>
      <c r="D140" t="s">
        <v>175</v>
      </c>
      <c r="E140" s="104">
        <v>100</v>
      </c>
      <c r="F140" s="116">
        <v>500</v>
      </c>
      <c r="G140" s="116">
        <v>1</v>
      </c>
      <c r="H140" s="117">
        <v>5</v>
      </c>
      <c r="I140" s="104">
        <v>1016</v>
      </c>
      <c r="J140" s="116">
        <v>10.37</v>
      </c>
      <c r="K140" s="448">
        <v>5</v>
      </c>
      <c r="L140" s="448">
        <v>10.52</v>
      </c>
      <c r="T140" s="378">
        <v>2</v>
      </c>
      <c r="Y140" s="378">
        <v>2</v>
      </c>
    </row>
    <row r="141" spans="1:36">
      <c r="E141" s="702" t="s">
        <v>215</v>
      </c>
      <c r="F141" s="703"/>
      <c r="G141" s="116">
        <v>2</v>
      </c>
      <c r="H141" s="117">
        <v>4</v>
      </c>
      <c r="I141" s="104">
        <v>11.04</v>
      </c>
      <c r="J141" s="116">
        <v>11.18</v>
      </c>
      <c r="K141" s="448">
        <v>4</v>
      </c>
      <c r="L141" s="448">
        <v>11.33</v>
      </c>
      <c r="P141" s="378">
        <v>1</v>
      </c>
      <c r="T141" s="378">
        <v>1</v>
      </c>
      <c r="Y141" s="378">
        <v>1</v>
      </c>
      <c r="Z141" s="378">
        <v>1</v>
      </c>
    </row>
    <row r="142" spans="1:36">
      <c r="G142" s="116">
        <v>3</v>
      </c>
      <c r="H142" s="117">
        <v>4</v>
      </c>
      <c r="I142" s="104">
        <v>11.19</v>
      </c>
      <c r="J142" s="116">
        <v>11.32</v>
      </c>
      <c r="K142" s="448">
        <v>4</v>
      </c>
      <c r="L142" s="448">
        <v>11.45</v>
      </c>
      <c r="P142" s="378">
        <v>4</v>
      </c>
      <c r="U142" s="378">
        <v>3</v>
      </c>
      <c r="X142" s="378">
        <v>3</v>
      </c>
      <c r="Y142" s="378">
        <v>3</v>
      </c>
      <c r="Z142" s="378">
        <v>3</v>
      </c>
      <c r="AA142" s="378">
        <v>2</v>
      </c>
    </row>
    <row r="143" spans="1:36">
      <c r="G143" s="116">
        <v>4</v>
      </c>
      <c r="H143" s="117">
        <v>4</v>
      </c>
      <c r="I143" s="104">
        <v>11.33</v>
      </c>
      <c r="J143" s="116">
        <v>11.46</v>
      </c>
      <c r="K143" s="448">
        <v>4</v>
      </c>
      <c r="L143" s="448">
        <v>12.01</v>
      </c>
      <c r="P143" s="378">
        <v>1</v>
      </c>
      <c r="U143" s="378">
        <v>1</v>
      </c>
      <c r="Y143" s="378">
        <v>1</v>
      </c>
      <c r="Z143" s="378">
        <v>1</v>
      </c>
    </row>
    <row r="144" spans="1:36" s="103" customFormat="1">
      <c r="A144" s="121"/>
      <c r="B144" s="110"/>
      <c r="C144" s="109"/>
      <c r="E144" s="109"/>
      <c r="F144" s="122"/>
      <c r="G144" s="122">
        <v>5</v>
      </c>
      <c r="H144" s="123">
        <v>4</v>
      </c>
      <c r="I144" s="109">
        <v>11.54</v>
      </c>
      <c r="J144" s="122">
        <v>12.01</v>
      </c>
      <c r="K144" s="450">
        <v>4</v>
      </c>
      <c r="L144" s="450">
        <v>12.25</v>
      </c>
      <c r="M144" s="379"/>
      <c r="N144" s="379"/>
      <c r="O144" s="379">
        <v>2</v>
      </c>
      <c r="P144" s="379"/>
      <c r="Q144" s="379"/>
      <c r="R144" s="379"/>
      <c r="S144" s="379"/>
      <c r="T144" s="379"/>
      <c r="U144" s="379">
        <v>2</v>
      </c>
      <c r="V144" s="379"/>
      <c r="W144" s="379"/>
      <c r="X144" s="379"/>
      <c r="Y144" s="379">
        <v>2</v>
      </c>
      <c r="Z144" s="379">
        <v>1</v>
      </c>
      <c r="AA144" s="379">
        <v>1</v>
      </c>
      <c r="AB144" s="379"/>
      <c r="AC144" s="379"/>
      <c r="AD144" s="379"/>
      <c r="AE144" s="379"/>
      <c r="AF144" s="379"/>
      <c r="AG144" s="379"/>
      <c r="AH144" s="379"/>
      <c r="AI144" s="379"/>
      <c r="AJ144" s="28"/>
    </row>
    <row r="145" spans="1:36">
      <c r="A145" s="120">
        <v>22</v>
      </c>
      <c r="B145" s="105">
        <v>45971</v>
      </c>
      <c r="C145" s="104" t="s">
        <v>227</v>
      </c>
      <c r="D145" t="s">
        <v>176</v>
      </c>
      <c r="E145" s="104">
        <v>100</v>
      </c>
      <c r="F145" s="116">
        <v>500</v>
      </c>
      <c r="G145" s="116">
        <v>1</v>
      </c>
      <c r="H145" s="117">
        <v>4</v>
      </c>
      <c r="I145" s="104">
        <v>10.42</v>
      </c>
      <c r="J145" s="116">
        <v>10.58</v>
      </c>
      <c r="K145" s="448">
        <v>4</v>
      </c>
      <c r="L145" s="448">
        <v>11.13</v>
      </c>
      <c r="T145" s="378">
        <v>4</v>
      </c>
      <c r="X145" s="378">
        <v>4</v>
      </c>
      <c r="Y145" s="378">
        <v>4</v>
      </c>
      <c r="Z145" s="378">
        <v>2</v>
      </c>
    </row>
    <row r="146" spans="1:36">
      <c r="E146" s="702" t="s">
        <v>215</v>
      </c>
      <c r="F146" s="703"/>
      <c r="G146" s="116">
        <v>2</v>
      </c>
      <c r="H146" s="117">
        <v>4</v>
      </c>
      <c r="I146" s="104">
        <v>10.59</v>
      </c>
      <c r="J146" s="116">
        <v>11.14</v>
      </c>
      <c r="K146" s="448">
        <v>4</v>
      </c>
      <c r="L146" s="448">
        <v>11.28</v>
      </c>
      <c r="S146" s="378">
        <v>2</v>
      </c>
      <c r="W146" s="378">
        <v>2</v>
      </c>
      <c r="X146" s="378">
        <v>2</v>
      </c>
      <c r="Y146" s="378">
        <v>2</v>
      </c>
      <c r="Z146" s="378">
        <v>1</v>
      </c>
    </row>
    <row r="147" spans="1:36">
      <c r="G147" s="116">
        <v>3</v>
      </c>
      <c r="H147" s="117">
        <v>4</v>
      </c>
      <c r="I147" s="104">
        <v>11.15</v>
      </c>
      <c r="J147" s="116">
        <v>11.33</v>
      </c>
      <c r="K147" s="448">
        <v>4</v>
      </c>
      <c r="L147" s="448">
        <v>11.47</v>
      </c>
      <c r="Q147" s="378">
        <v>2</v>
      </c>
      <c r="W147" s="378">
        <v>2</v>
      </c>
    </row>
    <row r="148" spans="1:36">
      <c r="G148" s="116">
        <v>4</v>
      </c>
      <c r="H148" s="117">
        <v>1</v>
      </c>
      <c r="I148" s="104">
        <v>11.34</v>
      </c>
      <c r="J148" s="116">
        <v>11.51</v>
      </c>
      <c r="K148" s="448">
        <v>1</v>
      </c>
      <c r="L148" s="448">
        <v>12.06</v>
      </c>
      <c r="M148" s="378">
        <v>0</v>
      </c>
    </row>
    <row r="149" spans="1:36">
      <c r="G149" s="116">
        <v>5</v>
      </c>
      <c r="H149" s="117">
        <v>2</v>
      </c>
      <c r="I149" s="104" t="s">
        <v>61</v>
      </c>
      <c r="J149" s="116">
        <v>12.05</v>
      </c>
      <c r="K149" s="448">
        <v>2</v>
      </c>
      <c r="L149" s="448">
        <v>12.19</v>
      </c>
      <c r="N149" s="378">
        <v>2</v>
      </c>
    </row>
    <row r="150" spans="1:36">
      <c r="G150" s="116">
        <v>6</v>
      </c>
      <c r="H150" s="117">
        <v>4</v>
      </c>
      <c r="I150" s="104">
        <v>12.06</v>
      </c>
      <c r="J150" s="116">
        <v>12.23</v>
      </c>
      <c r="K150" s="448">
        <v>4</v>
      </c>
      <c r="L150" s="448">
        <v>12.37</v>
      </c>
      <c r="P150" s="378">
        <v>2</v>
      </c>
      <c r="T150" s="378">
        <v>1</v>
      </c>
      <c r="V150" s="378">
        <v>1</v>
      </c>
    </row>
    <row r="151" spans="1:36" s="425" customFormat="1">
      <c r="A151" s="422"/>
      <c r="B151" s="423"/>
      <c r="C151" s="424"/>
      <c r="E151" s="424"/>
      <c r="F151" s="426"/>
      <c r="G151" s="426">
        <v>7</v>
      </c>
      <c r="H151" s="427">
        <v>4</v>
      </c>
      <c r="I151" s="424">
        <v>12.25</v>
      </c>
      <c r="J151" s="426">
        <v>12.39</v>
      </c>
      <c r="K151" s="460">
        <v>4</v>
      </c>
      <c r="L151" s="460">
        <v>12.49</v>
      </c>
      <c r="M151" s="428"/>
      <c r="N151" s="428">
        <v>3</v>
      </c>
      <c r="O151" s="428"/>
      <c r="P151" s="428"/>
      <c r="Q151" s="428"/>
      <c r="R151" s="428"/>
      <c r="S151" s="428"/>
      <c r="T151" s="428"/>
      <c r="U151" s="428">
        <v>2</v>
      </c>
      <c r="V151" s="428">
        <v>1</v>
      </c>
      <c r="W151" s="428"/>
      <c r="X151" s="428"/>
      <c r="Y151" s="428"/>
      <c r="Z151" s="428"/>
      <c r="AA151" s="428"/>
      <c r="AB151" s="428"/>
      <c r="AC151" s="428"/>
      <c r="AD151" s="428"/>
      <c r="AE151" s="428"/>
      <c r="AF151" s="428"/>
      <c r="AG151" s="428"/>
      <c r="AH151" s="428"/>
      <c r="AI151" s="428"/>
      <c r="AJ151" s="429"/>
    </row>
    <row r="152" spans="1:36">
      <c r="A152" s="120">
        <v>23</v>
      </c>
      <c r="B152" s="105">
        <v>45979</v>
      </c>
      <c r="C152" s="104" t="s">
        <v>228</v>
      </c>
      <c r="D152" s="104" t="s">
        <v>229</v>
      </c>
      <c r="E152" s="104">
        <v>100</v>
      </c>
      <c r="F152" s="116">
        <v>500</v>
      </c>
      <c r="G152" s="116">
        <v>1</v>
      </c>
      <c r="H152" s="117">
        <v>4</v>
      </c>
      <c r="I152" s="104">
        <v>10.08</v>
      </c>
      <c r="J152" s="116">
        <v>10.25</v>
      </c>
      <c r="K152" s="448">
        <v>4</v>
      </c>
      <c r="L152" s="448">
        <v>10.4</v>
      </c>
      <c r="T152" s="378">
        <v>1</v>
      </c>
      <c r="W152" s="378">
        <v>1</v>
      </c>
      <c r="X152" s="378">
        <v>1</v>
      </c>
    </row>
    <row r="153" spans="1:36">
      <c r="E153" s="702" t="s">
        <v>215</v>
      </c>
      <c r="F153" s="703"/>
      <c r="G153" s="116">
        <v>2</v>
      </c>
      <c r="H153" s="117">
        <v>4</v>
      </c>
      <c r="I153" s="104">
        <v>10.25</v>
      </c>
      <c r="J153" s="116">
        <v>10.53</v>
      </c>
      <c r="K153" s="448">
        <v>4</v>
      </c>
      <c r="L153" s="448">
        <v>11.07</v>
      </c>
      <c r="S153" s="378">
        <v>1</v>
      </c>
      <c r="V153" s="378">
        <v>1</v>
      </c>
      <c r="X153" s="378">
        <v>1</v>
      </c>
      <c r="AA153" s="378">
        <v>1</v>
      </c>
    </row>
    <row r="154" spans="1:36">
      <c r="G154" s="116">
        <v>3</v>
      </c>
      <c r="H154" s="117">
        <v>4</v>
      </c>
      <c r="I154" s="104">
        <v>10.59</v>
      </c>
      <c r="J154" s="116">
        <v>11.13</v>
      </c>
      <c r="K154" s="448">
        <v>4</v>
      </c>
      <c r="L154" s="448">
        <v>11.27</v>
      </c>
      <c r="S154" s="378">
        <v>3</v>
      </c>
      <c r="U154" s="378">
        <v>3</v>
      </c>
      <c r="X154" s="378">
        <v>3</v>
      </c>
      <c r="Y154" s="378">
        <v>2</v>
      </c>
      <c r="Z154" s="378">
        <v>2</v>
      </c>
    </row>
    <row r="155" spans="1:36">
      <c r="G155" s="116">
        <v>4</v>
      </c>
      <c r="H155" s="117">
        <v>4</v>
      </c>
      <c r="I155" s="104">
        <v>11.17</v>
      </c>
      <c r="J155" s="119">
        <v>11.3</v>
      </c>
      <c r="K155" s="448">
        <v>4</v>
      </c>
      <c r="L155" s="448">
        <v>11.43</v>
      </c>
      <c r="S155" s="378">
        <v>2</v>
      </c>
      <c r="V155" s="378">
        <v>2</v>
      </c>
      <c r="X155" s="378">
        <v>2</v>
      </c>
      <c r="Y155" s="378">
        <v>1</v>
      </c>
    </row>
    <row r="156" spans="1:36" s="103" customFormat="1">
      <c r="A156" s="121"/>
      <c r="B156" s="110"/>
      <c r="C156" s="109"/>
      <c r="E156" s="109"/>
      <c r="F156" s="122"/>
      <c r="G156" s="122">
        <v>5</v>
      </c>
      <c r="H156" s="123">
        <v>3</v>
      </c>
      <c r="I156" s="109">
        <v>11.31</v>
      </c>
      <c r="J156" s="122">
        <v>11.43</v>
      </c>
      <c r="K156" s="450">
        <v>3</v>
      </c>
      <c r="L156" s="450">
        <v>11.59</v>
      </c>
      <c r="M156" s="379">
        <v>2</v>
      </c>
      <c r="N156" s="379"/>
      <c r="O156" s="379"/>
      <c r="P156" s="379"/>
      <c r="Q156" s="379"/>
      <c r="R156" s="379"/>
      <c r="S156" s="379"/>
      <c r="T156" s="379"/>
      <c r="U156" s="379"/>
      <c r="V156" s="379"/>
      <c r="W156" s="379"/>
      <c r="X156" s="379"/>
      <c r="Y156" s="379"/>
      <c r="Z156" s="379"/>
      <c r="AA156" s="379"/>
      <c r="AB156" s="379"/>
      <c r="AC156" s="379"/>
      <c r="AD156" s="379"/>
      <c r="AE156" s="379"/>
      <c r="AF156" s="379"/>
      <c r="AG156" s="379"/>
      <c r="AH156" s="379"/>
      <c r="AI156" s="379"/>
      <c r="AJ156" s="28"/>
    </row>
    <row r="157" spans="1:36">
      <c r="A157" s="120">
        <v>24</v>
      </c>
      <c r="B157" s="105">
        <v>45981</v>
      </c>
      <c r="C157" s="104" t="s">
        <v>540</v>
      </c>
      <c r="D157" s="104" t="s">
        <v>541</v>
      </c>
      <c r="E157" s="104">
        <v>100</v>
      </c>
      <c r="F157" s="116">
        <v>500</v>
      </c>
      <c r="G157" s="126">
        <v>1</v>
      </c>
      <c r="H157" s="127">
        <v>4</v>
      </c>
      <c r="I157" s="128">
        <v>10.119999999999999</v>
      </c>
      <c r="J157" s="461">
        <v>10.3</v>
      </c>
      <c r="K157" s="454">
        <v>4</v>
      </c>
      <c r="L157" s="454">
        <v>10.45</v>
      </c>
      <c r="M157" s="380"/>
      <c r="N157" s="380"/>
      <c r="O157" s="380"/>
      <c r="P157" s="380"/>
      <c r="Q157" s="380"/>
      <c r="R157" s="380" t="s">
        <v>230</v>
      </c>
      <c r="S157" s="380"/>
      <c r="T157" s="380"/>
      <c r="U157" s="380"/>
      <c r="V157" s="380"/>
      <c r="W157" s="380"/>
      <c r="X157" s="380">
        <v>1</v>
      </c>
      <c r="Y157" s="380"/>
      <c r="Z157" s="380"/>
      <c r="AA157" s="380">
        <v>1</v>
      </c>
      <c r="AB157" s="380"/>
      <c r="AC157" s="380">
        <v>1</v>
      </c>
      <c r="AD157" s="380"/>
      <c r="AE157" s="380">
        <v>1</v>
      </c>
      <c r="AF157" s="380">
        <v>1</v>
      </c>
      <c r="AG157" s="380">
        <v>1</v>
      </c>
      <c r="AH157" s="380">
        <v>1</v>
      </c>
      <c r="AI157" s="381" t="s">
        <v>188</v>
      </c>
      <c r="AJ157" s="47" t="s">
        <v>542</v>
      </c>
    </row>
    <row r="158" spans="1:36">
      <c r="E158" s="702" t="s">
        <v>215</v>
      </c>
      <c r="F158" s="703"/>
      <c r="G158" s="116">
        <v>2</v>
      </c>
      <c r="H158" s="117">
        <v>4</v>
      </c>
      <c r="I158" s="118">
        <v>10.3</v>
      </c>
      <c r="J158" s="116">
        <v>10.43</v>
      </c>
      <c r="K158" s="448">
        <v>4</v>
      </c>
      <c r="L158" s="448">
        <v>10.58</v>
      </c>
      <c r="M158" s="378">
        <v>0</v>
      </c>
    </row>
    <row r="159" spans="1:36">
      <c r="G159" s="116">
        <v>3</v>
      </c>
      <c r="H159" s="117">
        <v>4</v>
      </c>
      <c r="I159" s="104">
        <v>10.47</v>
      </c>
      <c r="J159" s="116">
        <v>10.58</v>
      </c>
      <c r="K159" s="448">
        <v>4</v>
      </c>
      <c r="L159" s="448">
        <v>11.12</v>
      </c>
      <c r="S159" s="378">
        <v>1</v>
      </c>
      <c r="W159" s="378">
        <v>1</v>
      </c>
    </row>
    <row r="160" spans="1:36">
      <c r="G160" s="116">
        <v>4</v>
      </c>
      <c r="H160" s="117">
        <v>3</v>
      </c>
      <c r="I160" s="104">
        <v>10.59</v>
      </c>
      <c r="J160" s="119">
        <v>11.1</v>
      </c>
      <c r="K160" s="448">
        <v>3</v>
      </c>
      <c r="L160" s="448">
        <v>11.26</v>
      </c>
      <c r="V160" s="378">
        <v>2</v>
      </c>
      <c r="W160" s="378">
        <v>2</v>
      </c>
      <c r="X160" s="378">
        <v>2</v>
      </c>
    </row>
    <row r="161" spans="1:36">
      <c r="G161" s="116">
        <v>5</v>
      </c>
      <c r="H161" s="117">
        <v>3</v>
      </c>
      <c r="I161" s="118">
        <v>11.1</v>
      </c>
      <c r="J161" s="116">
        <v>11.26</v>
      </c>
      <c r="K161" s="448">
        <v>3</v>
      </c>
      <c r="L161" s="448">
        <v>11.38</v>
      </c>
      <c r="T161" s="378">
        <v>1</v>
      </c>
      <c r="X161" s="378">
        <v>1</v>
      </c>
      <c r="Y161" s="378">
        <v>1</v>
      </c>
    </row>
    <row r="162" spans="1:36">
      <c r="G162" s="116">
        <v>6</v>
      </c>
      <c r="H162" s="117">
        <v>4</v>
      </c>
      <c r="I162" s="104">
        <v>11.26</v>
      </c>
      <c r="J162" s="116">
        <v>11.43</v>
      </c>
      <c r="K162" s="448">
        <v>4</v>
      </c>
      <c r="L162" s="448">
        <v>11.54</v>
      </c>
      <c r="M162" s="378">
        <v>0</v>
      </c>
    </row>
    <row r="163" spans="1:36" s="103" customFormat="1">
      <c r="A163" s="121"/>
      <c r="B163" s="110"/>
      <c r="C163" s="109"/>
      <c r="E163" s="109"/>
      <c r="F163" s="122"/>
      <c r="G163" s="122">
        <v>7</v>
      </c>
      <c r="H163" s="123">
        <v>3</v>
      </c>
      <c r="I163" s="109">
        <v>11.43</v>
      </c>
      <c r="J163" s="122">
        <v>11.52</v>
      </c>
      <c r="K163" s="450">
        <v>3</v>
      </c>
      <c r="L163" s="450">
        <v>12.06</v>
      </c>
      <c r="M163" s="379">
        <v>0</v>
      </c>
      <c r="N163" s="379"/>
      <c r="O163" s="379"/>
      <c r="P163" s="379"/>
      <c r="Q163" s="379"/>
      <c r="R163" s="379"/>
      <c r="S163" s="379"/>
      <c r="T163" s="379"/>
      <c r="U163" s="379"/>
      <c r="V163" s="379"/>
      <c r="W163" s="379"/>
      <c r="X163" s="379"/>
      <c r="Y163" s="379"/>
      <c r="Z163" s="379"/>
      <c r="AA163" s="379"/>
      <c r="AB163" s="379"/>
      <c r="AC163" s="379"/>
      <c r="AD163" s="379"/>
      <c r="AE163" s="379"/>
      <c r="AF163" s="379"/>
      <c r="AG163" s="379"/>
      <c r="AH163" s="379"/>
      <c r="AI163" s="379"/>
      <c r="AJ163" s="28"/>
    </row>
    <row r="164" spans="1:36">
      <c r="A164" s="120">
        <v>25</v>
      </c>
      <c r="B164" s="105">
        <v>45986</v>
      </c>
      <c r="C164" s="104" t="s">
        <v>543</v>
      </c>
      <c r="D164" s="104" t="s">
        <v>544</v>
      </c>
      <c r="E164" s="104">
        <v>100</v>
      </c>
      <c r="F164" s="116">
        <v>500</v>
      </c>
      <c r="G164" s="126">
        <v>1</v>
      </c>
      <c r="H164" s="127">
        <v>4</v>
      </c>
      <c r="I164" s="128">
        <v>10.050000000000001</v>
      </c>
      <c r="J164" s="126">
        <v>10.17</v>
      </c>
      <c r="K164" s="451">
        <v>4</v>
      </c>
      <c r="L164" s="454">
        <v>10.33</v>
      </c>
      <c r="M164" s="380"/>
      <c r="N164" s="380"/>
      <c r="O164" s="380"/>
      <c r="P164" s="380"/>
      <c r="Q164" s="380"/>
      <c r="R164" s="380"/>
      <c r="S164" s="380"/>
      <c r="T164" s="380"/>
      <c r="U164" s="380">
        <v>2</v>
      </c>
      <c r="V164" s="380"/>
      <c r="W164" s="380"/>
      <c r="X164" s="380"/>
      <c r="Y164" s="380"/>
      <c r="Z164" s="380">
        <v>2</v>
      </c>
      <c r="AA164" s="380"/>
      <c r="AB164" s="380"/>
      <c r="AC164" s="380"/>
      <c r="AD164" s="380"/>
      <c r="AE164" s="380">
        <v>2</v>
      </c>
      <c r="AF164" s="380">
        <v>2</v>
      </c>
      <c r="AG164" s="380">
        <v>2</v>
      </c>
      <c r="AH164" s="380">
        <v>2</v>
      </c>
      <c r="AI164" s="381" t="s">
        <v>188</v>
      </c>
      <c r="AJ164" s="47" t="s">
        <v>542</v>
      </c>
    </row>
    <row r="165" spans="1:36">
      <c r="E165" s="702" t="s">
        <v>215</v>
      </c>
      <c r="F165" s="703"/>
      <c r="G165" s="116">
        <v>2</v>
      </c>
      <c r="H165" s="117">
        <v>4</v>
      </c>
      <c r="I165" s="104">
        <v>10.18</v>
      </c>
      <c r="J165" s="116">
        <v>10.31</v>
      </c>
      <c r="K165" s="447">
        <v>4</v>
      </c>
      <c r="L165" s="448">
        <v>10.46</v>
      </c>
      <c r="M165" s="378">
        <v>0</v>
      </c>
    </row>
    <row r="166" spans="1:36">
      <c r="G166" s="116">
        <v>3</v>
      </c>
      <c r="H166" s="117">
        <v>4</v>
      </c>
      <c r="I166" s="104">
        <v>10.36</v>
      </c>
      <c r="J166" s="116">
        <v>10.49</v>
      </c>
      <c r="K166" s="447">
        <v>4</v>
      </c>
      <c r="L166" s="448">
        <v>11.04</v>
      </c>
      <c r="S166" s="378">
        <v>2</v>
      </c>
      <c r="Y166" s="378">
        <v>2</v>
      </c>
    </row>
    <row r="167" spans="1:36">
      <c r="G167" s="116">
        <v>4</v>
      </c>
      <c r="H167" s="117">
        <v>4</v>
      </c>
      <c r="I167" s="118">
        <v>10.5</v>
      </c>
      <c r="J167" s="116">
        <v>11.04</v>
      </c>
      <c r="K167" s="447">
        <v>4</v>
      </c>
      <c r="L167" s="448">
        <v>11.18</v>
      </c>
      <c r="O167" s="378">
        <v>1</v>
      </c>
      <c r="Q167" s="378">
        <v>1</v>
      </c>
      <c r="Y167" s="378">
        <v>1</v>
      </c>
    </row>
    <row r="168" spans="1:36">
      <c r="G168" s="126">
        <v>5</v>
      </c>
      <c r="H168" s="127">
        <v>4</v>
      </c>
      <c r="I168" s="128">
        <v>11.05</v>
      </c>
      <c r="J168" s="126">
        <v>11.24</v>
      </c>
      <c r="K168" s="451">
        <v>4</v>
      </c>
      <c r="L168" s="454">
        <v>11.39</v>
      </c>
      <c r="M168" s="380"/>
      <c r="N168" s="380"/>
      <c r="O168" s="380"/>
      <c r="P168" s="380"/>
      <c r="Q168" s="380">
        <v>3</v>
      </c>
      <c r="R168" s="380"/>
      <c r="S168" s="380"/>
      <c r="T168" s="380"/>
      <c r="U168" s="380"/>
      <c r="V168" s="380"/>
      <c r="W168" s="380"/>
      <c r="X168" s="380">
        <v>2</v>
      </c>
      <c r="Y168" s="380"/>
      <c r="Z168" s="380"/>
      <c r="AA168" s="380"/>
      <c r="AB168" s="380">
        <v>1</v>
      </c>
      <c r="AC168" s="380"/>
      <c r="AD168" s="380">
        <v>1</v>
      </c>
      <c r="AE168" s="380"/>
      <c r="AF168" s="380"/>
      <c r="AG168" s="380">
        <v>1</v>
      </c>
      <c r="AH168" s="380">
        <v>1</v>
      </c>
      <c r="AI168" s="381" t="s">
        <v>188</v>
      </c>
      <c r="AJ168" s="47" t="s">
        <v>226</v>
      </c>
    </row>
    <row r="169" spans="1:36">
      <c r="G169" s="126">
        <v>6</v>
      </c>
      <c r="H169" s="127">
        <v>4</v>
      </c>
      <c r="I169" s="128">
        <v>11.25</v>
      </c>
      <c r="J169" s="126">
        <v>11.45</v>
      </c>
      <c r="K169" s="451">
        <v>4</v>
      </c>
      <c r="L169" s="454">
        <v>12.01</v>
      </c>
      <c r="M169" s="380"/>
      <c r="N169" s="380"/>
      <c r="O169" s="380">
        <v>3</v>
      </c>
      <c r="P169" s="380"/>
      <c r="Q169" s="380"/>
      <c r="R169" s="380"/>
      <c r="S169" s="380"/>
      <c r="T169" s="380"/>
      <c r="U169" s="380"/>
      <c r="V169" s="380"/>
      <c r="W169" s="380"/>
      <c r="X169" s="380">
        <v>3</v>
      </c>
      <c r="Y169" s="380"/>
      <c r="Z169" s="380"/>
      <c r="AA169" s="380">
        <v>3</v>
      </c>
      <c r="AB169" s="380"/>
      <c r="AC169" s="380">
        <v>3</v>
      </c>
      <c r="AD169" s="380">
        <v>2</v>
      </c>
      <c r="AE169" s="380">
        <v>2</v>
      </c>
      <c r="AF169" s="380"/>
      <c r="AG169" s="380">
        <v>1</v>
      </c>
      <c r="AH169" s="380">
        <v>1</v>
      </c>
      <c r="AI169" s="381" t="s">
        <v>188</v>
      </c>
      <c r="AJ169" s="47" t="s">
        <v>542</v>
      </c>
    </row>
    <row r="170" spans="1:36" s="103" customFormat="1">
      <c r="A170" s="121"/>
      <c r="B170" s="110"/>
      <c r="C170" s="109"/>
      <c r="E170" s="109"/>
      <c r="F170" s="122"/>
      <c r="G170" s="122">
        <v>7</v>
      </c>
      <c r="H170" s="123">
        <v>4</v>
      </c>
      <c r="I170" s="109">
        <v>11.46</v>
      </c>
      <c r="J170" s="122">
        <v>11.59</v>
      </c>
      <c r="K170" s="449">
        <v>4</v>
      </c>
      <c r="L170" s="450">
        <v>12.13</v>
      </c>
      <c r="M170" s="379"/>
      <c r="N170" s="379"/>
      <c r="O170" s="379"/>
      <c r="P170" s="379">
        <v>2</v>
      </c>
      <c r="Q170" s="379"/>
      <c r="R170" s="379"/>
      <c r="S170" s="379"/>
      <c r="T170" s="379"/>
      <c r="U170" s="379"/>
      <c r="V170" s="379"/>
      <c r="W170" s="379">
        <v>2</v>
      </c>
      <c r="X170" s="379"/>
      <c r="Y170" s="379">
        <v>2</v>
      </c>
      <c r="Z170" s="379"/>
      <c r="AA170" s="379"/>
      <c r="AB170" s="379"/>
      <c r="AC170" s="379"/>
      <c r="AD170" s="379"/>
      <c r="AE170" s="379"/>
      <c r="AF170" s="379"/>
      <c r="AG170" s="379"/>
      <c r="AH170" s="379"/>
      <c r="AI170" s="379"/>
      <c r="AJ170" s="28"/>
    </row>
    <row r="171" spans="1:36">
      <c r="A171" s="120">
        <v>26</v>
      </c>
      <c r="B171" s="105">
        <v>45988</v>
      </c>
      <c r="D171" s="104" t="s">
        <v>546</v>
      </c>
      <c r="E171" s="104">
        <v>100</v>
      </c>
      <c r="F171" s="116">
        <v>500</v>
      </c>
      <c r="G171" s="116">
        <v>1</v>
      </c>
      <c r="H171" s="117">
        <v>4</v>
      </c>
      <c r="I171" s="104">
        <v>10.17</v>
      </c>
      <c r="J171" s="116">
        <v>10.29</v>
      </c>
      <c r="K171" s="447">
        <v>4</v>
      </c>
      <c r="L171" s="448">
        <v>10.44</v>
      </c>
      <c r="T171" s="378">
        <v>1</v>
      </c>
    </row>
    <row r="172" spans="1:36">
      <c r="E172" s="702" t="s">
        <v>215</v>
      </c>
      <c r="F172" s="703"/>
      <c r="G172" s="116">
        <v>2</v>
      </c>
      <c r="H172" s="117">
        <v>4</v>
      </c>
      <c r="I172" s="104">
        <v>10.36</v>
      </c>
      <c r="J172" s="116">
        <v>10.54</v>
      </c>
      <c r="K172" s="447">
        <v>4</v>
      </c>
      <c r="L172" s="453">
        <v>11.1</v>
      </c>
      <c r="N172" s="378" t="s">
        <v>545</v>
      </c>
      <c r="R172" s="378">
        <v>3</v>
      </c>
    </row>
    <row r="173" spans="1:36">
      <c r="G173" s="116">
        <v>3</v>
      </c>
      <c r="H173" s="117">
        <v>4</v>
      </c>
      <c r="I173" s="104">
        <v>11.04</v>
      </c>
      <c r="J173" s="116">
        <v>11.21</v>
      </c>
      <c r="K173" s="447">
        <v>4</v>
      </c>
      <c r="L173" s="448">
        <v>11.35</v>
      </c>
      <c r="R173" s="378">
        <v>2</v>
      </c>
    </row>
    <row r="174" spans="1:36">
      <c r="G174" s="116">
        <v>4</v>
      </c>
      <c r="H174" s="117">
        <v>4</v>
      </c>
      <c r="I174" s="104">
        <v>11.28</v>
      </c>
      <c r="J174" s="116">
        <v>11.39</v>
      </c>
      <c r="K174" s="447">
        <v>4</v>
      </c>
      <c r="L174" s="448">
        <v>11.56</v>
      </c>
      <c r="M174" s="378">
        <v>0</v>
      </c>
    </row>
    <row r="175" spans="1:36">
      <c r="G175" s="116">
        <v>5</v>
      </c>
      <c r="H175" s="117">
        <v>4</v>
      </c>
      <c r="I175" s="104">
        <v>11.48</v>
      </c>
      <c r="J175" s="116">
        <v>12.01</v>
      </c>
      <c r="K175" s="447">
        <v>4</v>
      </c>
      <c r="L175" s="448">
        <v>12.15</v>
      </c>
      <c r="O175" s="378">
        <v>1</v>
      </c>
      <c r="Z175" s="378">
        <v>1</v>
      </c>
    </row>
    <row r="176" spans="1:36" s="103" customFormat="1">
      <c r="A176" s="121"/>
      <c r="B176" s="110"/>
      <c r="C176" s="109"/>
      <c r="E176" s="109"/>
      <c r="F176" s="122"/>
      <c r="G176" s="122">
        <v>6</v>
      </c>
      <c r="H176" s="123">
        <v>4</v>
      </c>
      <c r="I176" s="109">
        <v>12.07</v>
      </c>
      <c r="J176" s="122">
        <v>12.23</v>
      </c>
      <c r="K176" s="449">
        <v>4</v>
      </c>
      <c r="L176" s="450">
        <v>12.36</v>
      </c>
      <c r="M176" s="379"/>
      <c r="N176" s="379"/>
      <c r="O176" s="379">
        <v>2</v>
      </c>
      <c r="P176" s="379"/>
      <c r="Q176" s="379"/>
      <c r="R176" s="379"/>
      <c r="S176" s="379"/>
      <c r="T176" s="379"/>
      <c r="U176" s="379"/>
      <c r="V176" s="379"/>
      <c r="W176" s="379"/>
      <c r="X176" s="379"/>
      <c r="Y176" s="379"/>
      <c r="Z176" s="379"/>
      <c r="AA176" s="379"/>
      <c r="AB176" s="379"/>
      <c r="AC176" s="379"/>
      <c r="AD176" s="379"/>
      <c r="AE176" s="379"/>
      <c r="AF176" s="379"/>
      <c r="AG176" s="379"/>
      <c r="AH176" s="379"/>
      <c r="AI176" s="379"/>
      <c r="AJ176" s="28"/>
    </row>
  </sheetData>
  <autoFilter ref="AI1:AI91" xr:uid="{B280B7D7-68CE-4632-9A5F-4B9209316F04}"/>
  <mergeCells count="61">
    <mergeCell ref="E172:F172"/>
    <mergeCell ref="AK1:AK2"/>
    <mergeCell ref="AJ10:AJ11"/>
    <mergeCell ref="E88:F88"/>
    <mergeCell ref="E93:F93"/>
    <mergeCell ref="E99:F99"/>
    <mergeCell ref="H1:H2"/>
    <mergeCell ref="AJ4:AJ9"/>
    <mergeCell ref="E5:F5"/>
    <mergeCell ref="E11:F11"/>
    <mergeCell ref="AB1:AB2"/>
    <mergeCell ref="AC1:AC2"/>
    <mergeCell ref="AD1:AD2"/>
    <mergeCell ref="AE1:AE2"/>
    <mergeCell ref="X1:X2"/>
    <mergeCell ref="Y1:Y2"/>
    <mergeCell ref="M1:M2"/>
    <mergeCell ref="N1:N2"/>
    <mergeCell ref="I1:J1"/>
    <mergeCell ref="K1:K2"/>
    <mergeCell ref="L1:L2"/>
    <mergeCell ref="E63:F63"/>
    <mergeCell ref="E58:F58"/>
    <mergeCell ref="E51:F51"/>
    <mergeCell ref="E16:F16"/>
    <mergeCell ref="E26:F26"/>
    <mergeCell ref="E33:F33"/>
    <mergeCell ref="E45:F45"/>
    <mergeCell ref="A1:A2"/>
    <mergeCell ref="B1:B2"/>
    <mergeCell ref="C1:C2"/>
    <mergeCell ref="E1:F1"/>
    <mergeCell ref="G1:G2"/>
    <mergeCell ref="AJ1:AJ2"/>
    <mergeCell ref="O1:O2"/>
    <mergeCell ref="AH1:AH2"/>
    <mergeCell ref="Z1:Z2"/>
    <mergeCell ref="AA1:AA2"/>
    <mergeCell ref="P1:P2"/>
    <mergeCell ref="Q1:Q2"/>
    <mergeCell ref="R1:R2"/>
    <mergeCell ref="S1:S2"/>
    <mergeCell ref="T1:T2"/>
    <mergeCell ref="U1:U2"/>
    <mergeCell ref="W1:W2"/>
    <mergeCell ref="AF1:AF2"/>
    <mergeCell ref="AG1:AG2"/>
    <mergeCell ref="V1:V2"/>
    <mergeCell ref="AI1:AI2"/>
    <mergeCell ref="E158:F158"/>
    <mergeCell ref="E165:F165"/>
    <mergeCell ref="E132:F132"/>
    <mergeCell ref="E141:F141"/>
    <mergeCell ref="E68:F68"/>
    <mergeCell ref="E75:F75"/>
    <mergeCell ref="E79:F79"/>
    <mergeCell ref="E108:F108"/>
    <mergeCell ref="E118:F118"/>
    <mergeCell ref="E126:F126"/>
    <mergeCell ref="E153:F153"/>
    <mergeCell ref="E146:F146"/>
  </mergeCells>
  <phoneticPr fontId="11" type="noConversion"/>
  <pageMargins left="0.7" right="0.7" top="0.75" bottom="0.75" header="0.3" footer="0.3"/>
  <pageSetup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3" r:id="rId4" name="Check Box 7">
              <controlPr defaultSize="0" autoFill="0" autoLine="0" autoPict="0">
                <anchor moveWithCells="1">
                  <from>
                    <xdr:col>34</xdr:col>
                    <xdr:colOff>323850</xdr:colOff>
                    <xdr:row>3</xdr:row>
                    <xdr:rowOff>180975</xdr:rowOff>
                  </from>
                  <to>
                    <xdr:col>35</xdr:col>
                    <xdr:colOff>76200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5" name="Check Box 8">
              <controlPr defaultSize="0" autoFill="0" autoLine="0" autoPict="0">
                <anchor moveWithCells="1">
                  <from>
                    <xdr:col>34</xdr:col>
                    <xdr:colOff>323850</xdr:colOff>
                    <xdr:row>4</xdr:row>
                    <xdr:rowOff>180975</xdr:rowOff>
                  </from>
                  <to>
                    <xdr:col>35</xdr:col>
                    <xdr:colOff>76200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6" name="Check Box 9">
              <controlPr defaultSize="0" autoFill="0" autoLine="0" autoPict="0">
                <anchor moveWithCells="1">
                  <from>
                    <xdr:col>34</xdr:col>
                    <xdr:colOff>323850</xdr:colOff>
                    <xdr:row>5</xdr:row>
                    <xdr:rowOff>180975</xdr:rowOff>
                  </from>
                  <to>
                    <xdr:col>35</xdr:col>
                    <xdr:colOff>76200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7" name="Check Box 10">
              <controlPr defaultSize="0" autoFill="0" autoLine="0" autoPict="0">
                <anchor moveWithCells="1">
                  <from>
                    <xdr:col>34</xdr:col>
                    <xdr:colOff>323850</xdr:colOff>
                    <xdr:row>6</xdr:row>
                    <xdr:rowOff>180975</xdr:rowOff>
                  </from>
                  <to>
                    <xdr:col>35</xdr:col>
                    <xdr:colOff>76200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8" name="Check Box 11">
              <controlPr defaultSize="0" autoFill="0" autoLine="0" autoPict="0">
                <anchor moveWithCells="1">
                  <from>
                    <xdr:col>34</xdr:col>
                    <xdr:colOff>323850</xdr:colOff>
                    <xdr:row>7</xdr:row>
                    <xdr:rowOff>180975</xdr:rowOff>
                  </from>
                  <to>
                    <xdr:col>35</xdr:col>
                    <xdr:colOff>76200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A593-A5CE-4EF3-9A14-8353C1210CED}">
  <sheetPr>
    <tabColor theme="8" tint="0.59999389629810485"/>
  </sheetPr>
  <dimension ref="A1:BA412"/>
  <sheetViews>
    <sheetView zoomScale="55" zoomScaleNormal="55" workbookViewId="0">
      <selection activeCell="D313" sqref="D313"/>
    </sheetView>
  </sheetViews>
  <sheetFormatPr defaultColWidth="9" defaultRowHeight="15"/>
  <cols>
    <col min="1" max="1" width="9" style="31"/>
    <col min="2" max="2" width="14.5703125" style="31" customWidth="1"/>
    <col min="3" max="3" width="20" style="31" customWidth="1"/>
    <col min="4" max="4" width="23.28515625" style="31" customWidth="1"/>
    <col min="5" max="5" width="31.5703125" style="31" customWidth="1"/>
    <col min="6" max="6" width="14.5703125" style="31" customWidth="1"/>
    <col min="7" max="7" width="18.5703125" style="31" customWidth="1"/>
    <col min="8" max="8" width="8.28515625" style="31" customWidth="1"/>
    <col min="9" max="9" width="32.140625" style="218" customWidth="1"/>
    <col min="10" max="10" width="9" style="22" customWidth="1"/>
    <col min="11" max="11" width="9" style="22"/>
    <col min="12" max="12" width="9" style="41"/>
    <col min="13" max="13" width="8.85546875" style="13"/>
    <col min="14" max="15" width="9" style="22"/>
    <col min="16" max="16" width="8.85546875" style="22"/>
    <col min="17" max="17" width="11.7109375" style="42" customWidth="1"/>
    <col min="18" max="18" width="8.85546875" style="42"/>
    <col min="19" max="19" width="8.85546875" style="31" customWidth="1"/>
    <col min="20" max="20" width="16.28515625" style="22" customWidth="1"/>
    <col min="21" max="21" width="18.28515625" style="22" customWidth="1"/>
    <col min="22" max="38" width="9" style="22"/>
    <col min="39" max="39" width="16.28515625" style="41" customWidth="1"/>
    <col min="40" max="40" width="19.28515625" style="14" customWidth="1"/>
    <col min="41" max="41" width="10.28515625" style="22" customWidth="1"/>
    <col min="42" max="42" width="34.85546875" style="22" customWidth="1"/>
    <col min="43" max="43" width="87.42578125" style="22" customWidth="1"/>
    <col min="44" max="44" width="20.28515625" style="43" customWidth="1"/>
    <col min="45" max="46" width="9" style="22"/>
    <col min="47" max="47" width="19.5703125" style="22" customWidth="1"/>
    <col min="48" max="48" width="9" style="22"/>
    <col min="49" max="49" width="9.7109375" style="22" customWidth="1"/>
    <col min="50" max="50" width="9" style="22"/>
    <col min="51" max="51" width="10.7109375" style="22" customWidth="1"/>
    <col min="52" max="16384" width="9" style="22"/>
  </cols>
  <sheetData>
    <row r="1" spans="1:53" ht="33" customHeight="1">
      <c r="A1" s="606" t="s">
        <v>45</v>
      </c>
      <c r="B1" s="607" t="s">
        <v>0</v>
      </c>
      <c r="C1" s="578" t="s">
        <v>231</v>
      </c>
      <c r="D1" s="578" t="s">
        <v>232</v>
      </c>
      <c r="E1" s="474"/>
      <c r="F1" s="578" t="s">
        <v>233</v>
      </c>
      <c r="G1" s="608" t="s">
        <v>1</v>
      </c>
      <c r="H1" s="595" t="s">
        <v>885</v>
      </c>
      <c r="I1" s="220" t="s">
        <v>2</v>
      </c>
      <c r="J1" s="597" t="s">
        <v>3</v>
      </c>
      <c r="K1" s="609"/>
      <c r="L1" s="610"/>
      <c r="M1" s="611" t="s">
        <v>5</v>
      </c>
      <c r="N1" s="612" t="s">
        <v>6</v>
      </c>
      <c r="O1" s="613" t="s">
        <v>7</v>
      </c>
      <c r="P1" s="613"/>
      <c r="Q1" s="613" t="s">
        <v>14</v>
      </c>
      <c r="R1" s="614" t="s">
        <v>46</v>
      </c>
      <c r="S1" s="615" t="s">
        <v>178</v>
      </c>
      <c r="T1" s="616" t="s">
        <v>16</v>
      </c>
      <c r="U1" s="587" t="s">
        <v>17</v>
      </c>
      <c r="V1" s="587" t="s">
        <v>18</v>
      </c>
      <c r="W1" s="580" t="s">
        <v>19</v>
      </c>
      <c r="X1" s="587" t="s">
        <v>20</v>
      </c>
      <c r="Y1" s="580" t="s">
        <v>21</v>
      </c>
      <c r="Z1" s="580" t="s">
        <v>22</v>
      </c>
      <c r="AA1" s="580" t="s">
        <v>23</v>
      </c>
      <c r="AB1" s="580" t="s">
        <v>24</v>
      </c>
      <c r="AC1" s="587" t="s">
        <v>25</v>
      </c>
      <c r="AD1" s="587" t="s">
        <v>26</v>
      </c>
      <c r="AE1" s="587" t="s">
        <v>27</v>
      </c>
      <c r="AF1" s="580" t="s">
        <v>28</v>
      </c>
      <c r="AG1" s="580" t="s">
        <v>29</v>
      </c>
      <c r="AH1" s="580" t="s">
        <v>30</v>
      </c>
      <c r="AI1" s="580" t="s">
        <v>31</v>
      </c>
      <c r="AJ1" s="580" t="s">
        <v>32</v>
      </c>
      <c r="AK1" s="587" t="s">
        <v>33</v>
      </c>
      <c r="AL1" s="588" t="s">
        <v>34</v>
      </c>
      <c r="AM1" s="585" t="s">
        <v>47</v>
      </c>
      <c r="AN1" s="589" t="s">
        <v>48</v>
      </c>
      <c r="AO1" s="600" t="s">
        <v>179</v>
      </c>
      <c r="AP1" s="598" t="s">
        <v>234</v>
      </c>
      <c r="AQ1" s="597" t="s">
        <v>9</v>
      </c>
      <c r="AR1" s="604" t="s">
        <v>235</v>
      </c>
    </row>
    <row r="2" spans="1:53" ht="30">
      <c r="A2" s="606"/>
      <c r="B2" s="607"/>
      <c r="C2" s="579"/>
      <c r="D2" s="579"/>
      <c r="E2" s="475" t="s">
        <v>737</v>
      </c>
      <c r="F2" s="579"/>
      <c r="G2" s="608"/>
      <c r="H2" s="596"/>
      <c r="I2" s="223" t="s">
        <v>49</v>
      </c>
      <c r="J2" s="168" t="s">
        <v>39</v>
      </c>
      <c r="K2" s="3" t="s">
        <v>50</v>
      </c>
      <c r="L2" s="171" t="s">
        <v>4</v>
      </c>
      <c r="M2" s="611"/>
      <c r="N2" s="612"/>
      <c r="O2" s="293" t="s">
        <v>41</v>
      </c>
      <c r="P2" s="293" t="s">
        <v>42</v>
      </c>
      <c r="Q2" s="613"/>
      <c r="R2" s="614"/>
      <c r="S2" s="615"/>
      <c r="T2" s="616"/>
      <c r="U2" s="587"/>
      <c r="V2" s="587"/>
      <c r="W2" s="581"/>
      <c r="X2" s="587"/>
      <c r="Y2" s="581"/>
      <c r="Z2" s="581"/>
      <c r="AA2" s="581"/>
      <c r="AB2" s="581"/>
      <c r="AC2" s="587"/>
      <c r="AD2" s="587"/>
      <c r="AE2" s="587"/>
      <c r="AF2" s="581"/>
      <c r="AG2" s="581"/>
      <c r="AH2" s="581"/>
      <c r="AI2" s="581"/>
      <c r="AJ2" s="581"/>
      <c r="AK2" s="587"/>
      <c r="AL2" s="588"/>
      <c r="AM2" s="586"/>
      <c r="AN2" s="590"/>
      <c r="AO2" s="601"/>
      <c r="AP2" s="599"/>
      <c r="AQ2" s="597"/>
      <c r="AR2" s="605"/>
      <c r="AU2" s="224" t="s">
        <v>236</v>
      </c>
      <c r="AV2" s="224" t="s">
        <v>237</v>
      </c>
      <c r="AW2" s="224" t="s">
        <v>238</v>
      </c>
      <c r="AX2" s="224" t="s">
        <v>239</v>
      </c>
      <c r="AY2" s="224" t="s">
        <v>240</v>
      </c>
      <c r="AZ2" s="224" t="s">
        <v>241</v>
      </c>
      <c r="BA2" s="224" t="s">
        <v>242</v>
      </c>
    </row>
    <row r="3" spans="1:53" ht="14.45" customHeight="1">
      <c r="A3" s="5">
        <v>1</v>
      </c>
      <c r="B3" s="6">
        <v>45911</v>
      </c>
      <c r="C3" s="6" t="s">
        <v>243</v>
      </c>
      <c r="D3" s="215" t="s">
        <v>244</v>
      </c>
      <c r="E3" s="215"/>
      <c r="F3" s="6" t="s">
        <v>245</v>
      </c>
      <c r="G3" s="7" t="s">
        <v>51</v>
      </c>
      <c r="H3" s="222" t="s">
        <v>246</v>
      </c>
      <c r="I3" s="217" t="s">
        <v>52</v>
      </c>
      <c r="J3" s="11">
        <v>100</v>
      </c>
      <c r="K3" s="11">
        <v>500</v>
      </c>
      <c r="L3" s="13">
        <v>80</v>
      </c>
      <c r="M3" s="13">
        <v>1</v>
      </c>
      <c r="N3" s="11">
        <v>3</v>
      </c>
      <c r="O3" s="21">
        <v>10</v>
      </c>
      <c r="P3" s="21">
        <v>10.25</v>
      </c>
      <c r="Q3" s="14">
        <v>3</v>
      </c>
      <c r="R3" s="14">
        <v>10.41</v>
      </c>
      <c r="S3" s="39">
        <v>2</v>
      </c>
      <c r="T3" s="40">
        <v>2</v>
      </c>
      <c r="U3" s="40">
        <v>2</v>
      </c>
      <c r="V3" s="40">
        <v>2</v>
      </c>
      <c r="W3" s="40">
        <v>2</v>
      </c>
      <c r="X3" s="40">
        <v>2</v>
      </c>
      <c r="Y3" s="40">
        <v>2</v>
      </c>
      <c r="Z3" s="40">
        <v>2</v>
      </c>
      <c r="AA3" s="40">
        <v>2</v>
      </c>
      <c r="AB3" s="40">
        <v>2</v>
      </c>
      <c r="AC3" s="40">
        <v>2</v>
      </c>
      <c r="AD3" s="40">
        <v>2</v>
      </c>
      <c r="AE3" s="40">
        <v>1</v>
      </c>
      <c r="AF3" s="11">
        <v>0</v>
      </c>
      <c r="AQ3" s="591" t="s">
        <v>182</v>
      </c>
      <c r="AR3" s="43" t="s">
        <v>247</v>
      </c>
      <c r="AT3" s="22" t="s">
        <v>248</v>
      </c>
      <c r="AU3" s="192" t="s">
        <v>249</v>
      </c>
      <c r="AV3" s="212">
        <f>SUMIFS(N$3:N$997,H$3:H$997,"TU")</f>
        <v>450</v>
      </c>
      <c r="AW3" s="213"/>
      <c r="AX3" s="212">
        <f>SUMIFS(N$3:N$997,H$3:H$997,"NHGRI")</f>
        <v>484</v>
      </c>
      <c r="AY3" s="213"/>
      <c r="AZ3" s="212">
        <f>SUMIFS(N$3:N$997,H$3:H$997,"AB")</f>
        <v>482</v>
      </c>
      <c r="BA3" s="213"/>
    </row>
    <row r="4" spans="1:53" ht="14.45" customHeight="1">
      <c r="A4" s="43"/>
      <c r="B4" s="44"/>
      <c r="C4" s="44"/>
      <c r="D4" s="216" t="s">
        <v>250</v>
      </c>
      <c r="E4" s="216"/>
      <c r="F4" s="44"/>
      <c r="G4" s="222" t="s">
        <v>51</v>
      </c>
      <c r="H4" s="222" t="s">
        <v>246</v>
      </c>
      <c r="I4" s="218" t="s">
        <v>52</v>
      </c>
      <c r="J4" s="11">
        <v>100</v>
      </c>
      <c r="K4" s="11">
        <v>500</v>
      </c>
      <c r="L4" s="13"/>
      <c r="M4" s="13">
        <v>2</v>
      </c>
      <c r="N4" s="11">
        <v>3</v>
      </c>
      <c r="O4" s="21">
        <v>10.32</v>
      </c>
      <c r="P4" s="21">
        <v>10.55</v>
      </c>
      <c r="Q4" s="14">
        <v>3</v>
      </c>
      <c r="R4" s="14">
        <v>11.11</v>
      </c>
      <c r="S4" s="39">
        <v>3</v>
      </c>
      <c r="T4" s="40">
        <v>3</v>
      </c>
      <c r="U4" s="40">
        <v>2</v>
      </c>
      <c r="V4" s="40">
        <v>2</v>
      </c>
      <c r="W4" s="40">
        <v>2</v>
      </c>
      <c r="X4" s="40">
        <v>2</v>
      </c>
      <c r="Y4" s="40">
        <v>2</v>
      </c>
      <c r="Z4" s="40">
        <v>2</v>
      </c>
      <c r="AA4" s="40">
        <v>2</v>
      </c>
      <c r="AB4" s="40">
        <v>2</v>
      </c>
      <c r="AC4" s="40">
        <v>2</v>
      </c>
      <c r="AD4" s="11">
        <v>0</v>
      </c>
      <c r="AE4" s="11"/>
      <c r="AF4" s="11"/>
      <c r="AQ4" s="592"/>
      <c r="AT4" s="22" t="s">
        <v>251</v>
      </c>
      <c r="AU4" s="192" t="s">
        <v>14</v>
      </c>
      <c r="AV4" s="212">
        <f>SUMIFS(Q$3:Q$997,H$3:H$997,"TU")</f>
        <v>450</v>
      </c>
      <c r="AW4" s="214">
        <f>(AV4*100)/AV3</f>
        <v>100</v>
      </c>
      <c r="AX4" s="212">
        <f>SUMIFS(Q$3:Q$997,H$3:H$997,"NHGRI")</f>
        <v>484</v>
      </c>
      <c r="AY4" s="214">
        <f>(AX4*100)/AX3</f>
        <v>100</v>
      </c>
      <c r="AZ4" s="212">
        <f>SUMIFS(Q$3:Q$997,H$3:H$997,"AB")</f>
        <v>482</v>
      </c>
      <c r="BA4" s="214">
        <f>(AZ4*100)/AZ3</f>
        <v>100</v>
      </c>
    </row>
    <row r="5" spans="1:53" ht="14.45" customHeight="1">
      <c r="A5" s="43"/>
      <c r="B5" s="44"/>
      <c r="C5" s="44"/>
      <c r="D5" s="44"/>
      <c r="E5" s="44"/>
      <c r="F5" s="44"/>
      <c r="G5" s="222" t="s">
        <v>51</v>
      </c>
      <c r="H5" s="222" t="s">
        <v>246</v>
      </c>
      <c r="I5" s="218" t="s">
        <v>52</v>
      </c>
      <c r="J5" s="11">
        <v>100</v>
      </c>
      <c r="K5" s="11">
        <v>500</v>
      </c>
      <c r="L5" s="13"/>
      <c r="M5" s="13">
        <v>3</v>
      </c>
      <c r="N5" s="11">
        <v>4</v>
      </c>
      <c r="O5" s="21">
        <v>10.57</v>
      </c>
      <c r="P5" s="21">
        <v>11.21</v>
      </c>
      <c r="Q5" s="14">
        <v>4</v>
      </c>
      <c r="R5" s="14">
        <v>11.45</v>
      </c>
      <c r="S5" s="39">
        <v>2</v>
      </c>
      <c r="T5" s="40">
        <v>2</v>
      </c>
      <c r="U5" s="40">
        <v>2</v>
      </c>
      <c r="V5" s="11">
        <v>0</v>
      </c>
      <c r="W5" s="11"/>
      <c r="X5" s="11"/>
      <c r="Y5" s="11"/>
      <c r="Z5" s="11"/>
      <c r="AA5" s="11"/>
      <c r="AB5" s="11"/>
      <c r="AC5" s="11"/>
      <c r="AD5" s="11"/>
      <c r="AE5" s="11"/>
      <c r="AF5" s="11"/>
      <c r="AQ5" s="592"/>
      <c r="AT5" s="22" t="s">
        <v>252</v>
      </c>
      <c r="AU5" s="190" t="s">
        <v>253</v>
      </c>
      <c r="AV5" s="212">
        <f>SUMIFS(S$3:S$997,H$3:H$997,"TU")</f>
        <v>203</v>
      </c>
      <c r="AW5" s="214">
        <f>(AV5*100)/AV3</f>
        <v>45.111111111111114</v>
      </c>
      <c r="AX5" s="212">
        <f>SUMIFS(S$3:S$997,H$3:H$997,"NHGRI")</f>
        <v>234</v>
      </c>
      <c r="AY5" s="214">
        <f>(AX5*100)/AX3</f>
        <v>48.347107438016529</v>
      </c>
      <c r="AZ5" s="212">
        <f>SUMIFS(S$3:S$997,H$3:H$997,"AB")</f>
        <v>230</v>
      </c>
      <c r="BA5" s="214">
        <f>(AZ5*100)/AZ3</f>
        <v>47.717842323651453</v>
      </c>
    </row>
    <row r="6" spans="1:53" ht="14.45" customHeight="1">
      <c r="A6" s="43"/>
      <c r="B6" s="44"/>
      <c r="C6" s="44"/>
      <c r="D6" s="44"/>
      <c r="E6" s="44"/>
      <c r="F6" s="44"/>
      <c r="G6" s="222" t="s">
        <v>51</v>
      </c>
      <c r="H6" s="222" t="s">
        <v>246</v>
      </c>
      <c r="I6" s="218" t="s">
        <v>52</v>
      </c>
      <c r="J6" s="11">
        <v>100</v>
      </c>
      <c r="K6" s="11">
        <v>500</v>
      </c>
      <c r="L6" s="13"/>
      <c r="M6" s="13">
        <v>4</v>
      </c>
      <c r="N6" s="11">
        <v>3</v>
      </c>
      <c r="O6" s="21">
        <v>11.31</v>
      </c>
      <c r="P6" s="21">
        <v>11.45</v>
      </c>
      <c r="Q6" s="14">
        <v>3</v>
      </c>
      <c r="R6" s="14">
        <v>12.02</v>
      </c>
      <c r="S6" s="39">
        <v>2</v>
      </c>
      <c r="T6" s="40">
        <v>2</v>
      </c>
      <c r="U6" s="40">
        <v>2</v>
      </c>
      <c r="V6" s="40">
        <v>2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Q6" s="592"/>
      <c r="AT6" s="22" t="s">
        <v>254</v>
      </c>
      <c r="AU6" s="190" t="s">
        <v>255</v>
      </c>
      <c r="AV6" s="212">
        <f>SUMIFS(T$3:T$997,H$3:H$997,"TU")</f>
        <v>185</v>
      </c>
      <c r="AW6" s="214">
        <f>(AV6*100)/AV3</f>
        <v>41.111111111111114</v>
      </c>
      <c r="AX6" s="212">
        <f>SUMIFS(T$3:T$997,H$3:H$997,"NHGRI")</f>
        <v>220</v>
      </c>
      <c r="AY6" s="214">
        <f>(AX6*100)/AX3</f>
        <v>45.454545454545453</v>
      </c>
      <c r="AZ6" s="212">
        <f>SUMIFS(T$3:T$997,H$3:H$997,"AB")</f>
        <v>213</v>
      </c>
      <c r="BA6" s="214">
        <f>(AZ6*100)/AZ3</f>
        <v>44.190871369294605</v>
      </c>
    </row>
    <row r="7" spans="1:53" ht="14.45" customHeight="1">
      <c r="A7" s="43"/>
      <c r="B7" s="44"/>
      <c r="C7" s="44"/>
      <c r="D7" s="44"/>
      <c r="E7" s="44"/>
      <c r="F7" s="44"/>
      <c r="G7" s="222" t="s">
        <v>51</v>
      </c>
      <c r="H7" s="222" t="s">
        <v>246</v>
      </c>
      <c r="I7" s="218" t="s">
        <v>52</v>
      </c>
      <c r="J7" s="11">
        <v>100</v>
      </c>
      <c r="K7" s="11">
        <v>500</v>
      </c>
      <c r="L7" s="13"/>
      <c r="M7" s="13">
        <v>5</v>
      </c>
      <c r="N7" s="11">
        <v>1</v>
      </c>
      <c r="O7" s="21">
        <v>11.5</v>
      </c>
      <c r="P7" s="21">
        <v>12.04</v>
      </c>
      <c r="Q7" s="14">
        <v>1</v>
      </c>
      <c r="R7" s="14">
        <v>12.19</v>
      </c>
      <c r="S7" s="222">
        <v>0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Q7" s="592"/>
      <c r="AT7" s="22" t="s">
        <v>256</v>
      </c>
      <c r="AU7" s="190" t="s">
        <v>257</v>
      </c>
      <c r="AV7" s="212">
        <f>SUMIFS(U$3:U$997,H$3:H$997,"TU")</f>
        <v>169</v>
      </c>
      <c r="AW7" s="214">
        <f>(AV7*100)/AV3</f>
        <v>37.555555555555557</v>
      </c>
      <c r="AX7" s="212">
        <f>SUMIFS(U$3:U$997,H$3:H$997,"NHGRI")</f>
        <v>210</v>
      </c>
      <c r="AY7" s="214">
        <f>(AX7*100)/AX3</f>
        <v>43.388429752066116</v>
      </c>
      <c r="AZ7" s="212">
        <f>SUMIFS(U$3:U$997,H$3:H$997,"AB")</f>
        <v>199</v>
      </c>
      <c r="BA7" s="214">
        <f>(AZ7*100)/AZ3</f>
        <v>41.286307053941911</v>
      </c>
    </row>
    <row r="8" spans="1:53" ht="14.45" customHeight="1">
      <c r="A8" s="43"/>
      <c r="B8" s="44"/>
      <c r="C8" s="44"/>
      <c r="D8" s="44"/>
      <c r="E8" s="44"/>
      <c r="F8" s="44"/>
      <c r="G8" s="19" t="s">
        <v>51</v>
      </c>
      <c r="H8" s="18" t="s">
        <v>246</v>
      </c>
      <c r="I8" s="268" t="s">
        <v>52</v>
      </c>
      <c r="J8" s="28">
        <v>100</v>
      </c>
      <c r="K8" s="28">
        <v>500</v>
      </c>
      <c r="L8" s="19"/>
      <c r="M8" s="234">
        <v>6</v>
      </c>
      <c r="N8" s="11">
        <v>4</v>
      </c>
      <c r="O8" s="21">
        <v>12.07</v>
      </c>
      <c r="P8" s="21">
        <v>12.24</v>
      </c>
      <c r="Q8" s="14">
        <v>4</v>
      </c>
      <c r="R8" s="14">
        <v>12.39</v>
      </c>
      <c r="S8" s="222">
        <v>0</v>
      </c>
      <c r="T8" s="28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P8" s="23"/>
      <c r="AQ8" s="592"/>
      <c r="AR8" s="45"/>
      <c r="AT8" s="22" t="s">
        <v>258</v>
      </c>
      <c r="AU8" s="190" t="s">
        <v>259</v>
      </c>
      <c r="AV8" s="212">
        <f>SUMIFS(V$3:V$997,H$3:H$997,"TU")</f>
        <v>156</v>
      </c>
      <c r="AW8" s="214">
        <f>(AV8*100)/AV3</f>
        <v>34.666666666666664</v>
      </c>
      <c r="AX8" s="212">
        <f>SUMIFS(V$3:V$997,H$3:H$997,"NHGRI")</f>
        <v>201</v>
      </c>
      <c r="AY8" s="214">
        <f>(AX8*100)/AX3</f>
        <v>41.528925619834709</v>
      </c>
      <c r="AZ8" s="212">
        <f>SUMIFS(V$3:V$997,H$3:H$997,"AB")</f>
        <v>179</v>
      </c>
      <c r="BA8" s="214">
        <f>(AZ8*100)/AZ3</f>
        <v>37.136929460580916</v>
      </c>
    </row>
    <row r="9" spans="1:53" ht="21.6" customHeight="1">
      <c r="A9" s="43"/>
      <c r="B9" s="44"/>
      <c r="C9" s="44"/>
      <c r="D9" s="44"/>
      <c r="E9" s="44"/>
      <c r="F9" s="44"/>
      <c r="G9" s="222" t="s">
        <v>51</v>
      </c>
      <c r="H9" s="222" t="s">
        <v>246</v>
      </c>
      <c r="I9" s="217" t="s">
        <v>52</v>
      </c>
      <c r="J9" s="11">
        <v>100</v>
      </c>
      <c r="K9" s="11">
        <v>500</v>
      </c>
      <c r="L9" s="13">
        <v>90</v>
      </c>
      <c r="M9" s="8">
        <v>1</v>
      </c>
      <c r="N9" s="9">
        <v>2</v>
      </c>
      <c r="O9" s="9">
        <v>10.02</v>
      </c>
      <c r="P9" s="9">
        <v>10.210000000000001</v>
      </c>
      <c r="Q9" s="10">
        <v>2</v>
      </c>
      <c r="R9" s="10">
        <v>10.38</v>
      </c>
      <c r="S9" s="7">
        <v>1</v>
      </c>
      <c r="T9" s="11">
        <v>0</v>
      </c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8"/>
      <c r="AN9" s="10"/>
      <c r="AO9" s="9"/>
      <c r="AP9" s="11"/>
      <c r="AQ9" s="12" t="s">
        <v>54</v>
      </c>
      <c r="AR9" s="43" t="s">
        <v>260</v>
      </c>
      <c r="AT9" s="22" t="s">
        <v>261</v>
      </c>
      <c r="AU9" s="190" t="s">
        <v>262</v>
      </c>
      <c r="AV9" s="212">
        <f>SUMIFS(W$3:W$997,H$3:H$997,"TU")</f>
        <v>145</v>
      </c>
      <c r="AW9" s="214">
        <f>(AV9*100)/AV3</f>
        <v>32.222222222222221</v>
      </c>
      <c r="AX9" s="212">
        <f>SUMIFS(W$3:W$997,H$3:H$997,"NHGRI")</f>
        <v>193</v>
      </c>
      <c r="AY9" s="214">
        <f>(AX9*100)/AX3</f>
        <v>39.876033057851238</v>
      </c>
      <c r="AZ9" s="212">
        <f>SUMIFS(W$3:W$997,H$3:H$997,"AB")</f>
        <v>174</v>
      </c>
      <c r="BA9" s="214">
        <f>(AZ9*100)/AZ3</f>
        <v>36.099585062240664</v>
      </c>
    </row>
    <row r="10" spans="1:53" ht="21.6" customHeight="1">
      <c r="A10" s="43"/>
      <c r="B10" s="44"/>
      <c r="C10" s="44"/>
      <c r="D10" s="44"/>
      <c r="E10" s="44"/>
      <c r="F10" s="44"/>
      <c r="G10" s="222" t="s">
        <v>51</v>
      </c>
      <c r="H10" s="222" t="s">
        <v>246</v>
      </c>
      <c r="I10" s="218" t="s">
        <v>52</v>
      </c>
      <c r="J10" s="11">
        <v>100</v>
      </c>
      <c r="K10" s="11">
        <v>500</v>
      </c>
      <c r="L10" s="13"/>
      <c r="M10" s="13">
        <v>2</v>
      </c>
      <c r="N10" s="11">
        <v>1</v>
      </c>
      <c r="O10" s="11">
        <v>10.32</v>
      </c>
      <c r="P10" s="11">
        <v>10.39</v>
      </c>
      <c r="Q10" s="14">
        <v>1</v>
      </c>
      <c r="R10" s="14">
        <v>10.57</v>
      </c>
      <c r="S10" s="222">
        <v>1</v>
      </c>
      <c r="T10" s="11">
        <v>1</v>
      </c>
      <c r="U10" s="11">
        <v>1</v>
      </c>
      <c r="V10" s="15">
        <v>1</v>
      </c>
      <c r="W10" s="11">
        <v>1</v>
      </c>
      <c r="X10" s="11">
        <v>1</v>
      </c>
      <c r="Y10" s="11">
        <v>1</v>
      </c>
      <c r="Z10" s="11">
        <v>1</v>
      </c>
      <c r="AA10" s="11">
        <v>1</v>
      </c>
      <c r="AB10" s="11">
        <v>1</v>
      </c>
      <c r="AC10" s="11">
        <v>0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3"/>
      <c r="AO10" s="11"/>
      <c r="AP10" s="11"/>
      <c r="AQ10" s="16" t="s">
        <v>60</v>
      </c>
      <c r="AT10" s="22" t="s">
        <v>263</v>
      </c>
      <c r="AU10" s="190" t="s">
        <v>264</v>
      </c>
      <c r="AV10" s="212">
        <f>SUMIFS(X$3:X$997,H$3:H$997,"TU")</f>
        <v>144</v>
      </c>
      <c r="AW10" s="214">
        <f>(AV10*100)/AV3</f>
        <v>32</v>
      </c>
      <c r="AX10" s="212">
        <f>SUMIFS(X$3:X$997,H$3:H$997,"NHGRI")</f>
        <v>190</v>
      </c>
      <c r="AY10" s="214">
        <f>(AX10*100)/AX3</f>
        <v>39.256198347107436</v>
      </c>
      <c r="AZ10" s="212">
        <f>SUMIFS(X$3:X$997,H$3:H$997,"AB")</f>
        <v>173</v>
      </c>
      <c r="BA10" s="214">
        <f>(AZ10*100)/AZ3</f>
        <v>35.892116182572614</v>
      </c>
    </row>
    <row r="11" spans="1:53" ht="21.6" customHeight="1">
      <c r="A11" s="43"/>
      <c r="B11" s="44"/>
      <c r="C11" s="44"/>
      <c r="D11" s="44"/>
      <c r="E11" s="44"/>
      <c r="F11" s="44"/>
      <c r="G11" s="222" t="s">
        <v>51</v>
      </c>
      <c r="H11" s="222" t="s">
        <v>246</v>
      </c>
      <c r="I11" s="218" t="s">
        <v>52</v>
      </c>
      <c r="J11" s="11">
        <v>100</v>
      </c>
      <c r="K11" s="11">
        <v>500</v>
      </c>
      <c r="L11" s="13"/>
      <c r="M11" s="13">
        <v>3</v>
      </c>
      <c r="N11" s="11">
        <v>1</v>
      </c>
      <c r="O11" s="11">
        <v>11.12</v>
      </c>
      <c r="P11" s="11">
        <v>11.26</v>
      </c>
      <c r="Q11" s="14">
        <v>1</v>
      </c>
      <c r="R11" s="14">
        <v>11.42</v>
      </c>
      <c r="S11" s="222">
        <v>1</v>
      </c>
      <c r="T11" s="11">
        <v>1</v>
      </c>
      <c r="U11" s="11">
        <v>1</v>
      </c>
      <c r="V11" s="11">
        <v>1</v>
      </c>
      <c r="W11" s="11">
        <v>1</v>
      </c>
      <c r="X11" s="11">
        <v>1</v>
      </c>
      <c r="Y11" s="11">
        <v>1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11">
        <v>0</v>
      </c>
      <c r="AG11" s="11"/>
      <c r="AH11" s="11"/>
      <c r="AI11" s="11"/>
      <c r="AJ11" s="11"/>
      <c r="AK11" s="11"/>
      <c r="AL11" s="11"/>
      <c r="AM11" s="13"/>
      <c r="AO11" s="11"/>
      <c r="AP11" s="11"/>
      <c r="AQ11" s="16" t="s">
        <v>65</v>
      </c>
      <c r="AT11" s="22" t="s">
        <v>265</v>
      </c>
      <c r="AU11" s="190" t="s">
        <v>266</v>
      </c>
      <c r="AV11" s="212">
        <f>SUMIFS(Y$3:Y$997,H$3:H$997,"TU")</f>
        <v>143</v>
      </c>
      <c r="AW11" s="214">
        <f>(AV11*100)/AV3</f>
        <v>31.777777777777779</v>
      </c>
      <c r="AX11" s="212">
        <f>SUMIFS(Y$3:Y$997,H$3:H$997,"NHGRI")</f>
        <v>180</v>
      </c>
      <c r="AY11" s="214">
        <f>(AX11*100)/AX3</f>
        <v>37.190082644628099</v>
      </c>
      <c r="AZ11" s="212">
        <f>SUMIFS(Y$3:Y$997,H$3:H$997,"AB")</f>
        <v>169</v>
      </c>
      <c r="BA11" s="214">
        <f>(AZ11*100)/AZ3</f>
        <v>35.062240663900418</v>
      </c>
    </row>
    <row r="12" spans="1:53" ht="14.45" customHeight="1">
      <c r="A12" s="43"/>
      <c r="B12" s="44"/>
      <c r="C12" s="44"/>
      <c r="D12" s="44"/>
      <c r="E12" s="44"/>
      <c r="F12" s="44"/>
      <c r="G12" s="222" t="s">
        <v>51</v>
      </c>
      <c r="H12" s="222" t="s">
        <v>246</v>
      </c>
      <c r="I12" s="218" t="s">
        <v>52</v>
      </c>
      <c r="J12" s="11">
        <v>100</v>
      </c>
      <c r="K12" s="11">
        <v>500</v>
      </c>
      <c r="L12" s="13"/>
      <c r="M12" s="13">
        <v>4</v>
      </c>
      <c r="N12" s="11">
        <v>1</v>
      </c>
      <c r="O12" s="11">
        <v>11.12</v>
      </c>
      <c r="P12" s="11">
        <v>11.36</v>
      </c>
      <c r="Q12" s="14">
        <v>1</v>
      </c>
      <c r="R12" s="14">
        <v>11.53</v>
      </c>
      <c r="S12" s="222">
        <v>1</v>
      </c>
      <c r="T12" s="11">
        <v>0</v>
      </c>
      <c r="U12" s="27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3"/>
      <c r="AO12" s="11"/>
      <c r="AP12" s="11"/>
      <c r="AQ12" s="11" t="s">
        <v>66</v>
      </c>
      <c r="AT12" s="22" t="s">
        <v>267</v>
      </c>
      <c r="AU12" s="190" t="s">
        <v>268</v>
      </c>
      <c r="AV12" s="212">
        <f>SUMIFS(Z$3:Z$997,H$3:H$997,"TU")</f>
        <v>140</v>
      </c>
      <c r="AW12" s="214">
        <f>(AV12*100)/AV3</f>
        <v>31.111111111111111</v>
      </c>
      <c r="AX12" s="212">
        <f>SUMIFS(Z$3:Z$997,H$3:H$997,"NHGRI")</f>
        <v>178</v>
      </c>
      <c r="AY12" s="214">
        <f>(AX12*100)/AX3</f>
        <v>36.776859504132233</v>
      </c>
      <c r="AZ12" s="212">
        <f>SUMIFS(Z$3:Z$997,H$3:H$997,"AB")</f>
        <v>169</v>
      </c>
      <c r="BA12" s="214">
        <f>(AZ12*100)/AZ3</f>
        <v>35.062240663900418</v>
      </c>
    </row>
    <row r="13" spans="1:53" ht="14.45" customHeight="1">
      <c r="A13" s="43"/>
      <c r="B13" s="44"/>
      <c r="C13" s="44"/>
      <c r="D13" s="44"/>
      <c r="E13" s="44"/>
      <c r="F13" s="44"/>
      <c r="G13" s="222" t="s">
        <v>51</v>
      </c>
      <c r="H13" s="222" t="s">
        <v>246</v>
      </c>
      <c r="I13" s="218" t="s">
        <v>52</v>
      </c>
      <c r="J13" s="11">
        <v>100</v>
      </c>
      <c r="K13" s="11">
        <v>500</v>
      </c>
      <c r="L13" s="13"/>
      <c r="M13" s="13">
        <v>5</v>
      </c>
      <c r="N13" s="11">
        <v>1</v>
      </c>
      <c r="O13" s="11">
        <v>11.39</v>
      </c>
      <c r="P13" s="11">
        <v>11.43</v>
      </c>
      <c r="Q13" s="14">
        <v>1</v>
      </c>
      <c r="R13" s="14">
        <v>11.59</v>
      </c>
      <c r="S13" s="222">
        <v>1</v>
      </c>
      <c r="T13" s="11">
        <v>1</v>
      </c>
      <c r="U13" s="11">
        <v>1</v>
      </c>
      <c r="V13" s="11">
        <v>1</v>
      </c>
      <c r="W13" s="11">
        <v>1</v>
      </c>
      <c r="X13" s="11">
        <v>1</v>
      </c>
      <c r="Y13" s="11">
        <v>1</v>
      </c>
      <c r="Z13" s="11">
        <v>1</v>
      </c>
      <c r="AA13" s="11">
        <v>1</v>
      </c>
      <c r="AB13" s="11">
        <v>1</v>
      </c>
      <c r="AC13" s="11">
        <v>0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3"/>
      <c r="AO13" s="11"/>
      <c r="AP13" s="11"/>
      <c r="AQ13" s="11" t="s">
        <v>66</v>
      </c>
      <c r="AT13" s="22" t="s">
        <v>269</v>
      </c>
      <c r="AU13" s="190" t="s">
        <v>23</v>
      </c>
      <c r="AV13" s="212">
        <f>SUMIFS(AA$3:AA$997,H$3:H$997,"TU")</f>
        <v>135</v>
      </c>
      <c r="AW13" s="214">
        <f>(AV13*100)/AV3</f>
        <v>30</v>
      </c>
      <c r="AX13" s="212">
        <f>SUMIFS(AA$3:AA$997,H$3:H$997,"NHGRI")</f>
        <v>172</v>
      </c>
      <c r="AY13" s="214">
        <f>(AX13*100)/AX3</f>
        <v>35.537190082644628</v>
      </c>
      <c r="AZ13" s="212">
        <f>SUMIFS(AA$3:AA$997,H$3:H$997,"AB")</f>
        <v>164</v>
      </c>
      <c r="BA13" s="214">
        <f>(AZ13*100)/AZ3</f>
        <v>34.024896265560166</v>
      </c>
    </row>
    <row r="14" spans="1:53" ht="14.45" customHeight="1">
      <c r="A14" s="43"/>
      <c r="B14" s="44"/>
      <c r="C14" s="44"/>
      <c r="D14" s="44"/>
      <c r="E14" s="44"/>
      <c r="F14" s="44"/>
      <c r="G14" s="222" t="s">
        <v>51</v>
      </c>
      <c r="H14" s="222" t="s">
        <v>246</v>
      </c>
      <c r="I14" s="218" t="s">
        <v>52</v>
      </c>
      <c r="J14" s="11">
        <v>100</v>
      </c>
      <c r="K14" s="11">
        <v>500</v>
      </c>
      <c r="L14" s="13"/>
      <c r="M14" s="13">
        <v>6</v>
      </c>
      <c r="N14" s="11">
        <v>1</v>
      </c>
      <c r="O14" s="17">
        <v>0.49444444444444446</v>
      </c>
      <c r="P14" s="15">
        <v>12.02</v>
      </c>
      <c r="Q14" s="14">
        <v>1</v>
      </c>
      <c r="R14" s="14">
        <v>12.14</v>
      </c>
      <c r="S14" s="222">
        <v>1</v>
      </c>
      <c r="T14" s="11">
        <v>1</v>
      </c>
      <c r="U14" s="11">
        <v>1</v>
      </c>
      <c r="V14" s="11">
        <v>1</v>
      </c>
      <c r="W14" s="11">
        <v>1</v>
      </c>
      <c r="X14" s="11">
        <v>1</v>
      </c>
      <c r="Y14" s="11">
        <v>1</v>
      </c>
      <c r="Z14" s="11">
        <v>1</v>
      </c>
      <c r="AA14" s="11">
        <v>1</v>
      </c>
      <c r="AB14" s="11">
        <v>1</v>
      </c>
      <c r="AC14" s="11">
        <v>0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3"/>
      <c r="AO14" s="11"/>
      <c r="AP14" s="11"/>
      <c r="AQ14" s="11" t="s">
        <v>66</v>
      </c>
      <c r="AT14" s="22" t="s">
        <v>270</v>
      </c>
      <c r="AU14" s="190" t="s">
        <v>24</v>
      </c>
      <c r="AV14" s="212">
        <f>SUMIFS(AB$3:AB$997,H$3:H$997,"TU")</f>
        <v>134</v>
      </c>
      <c r="AW14" s="214">
        <f>(AV14*100)/AV3</f>
        <v>29.777777777777779</v>
      </c>
      <c r="AX14" s="212">
        <f>SUMIFS(AB$3:AB$997,H$3:H$997,"NHGRI")</f>
        <v>168</v>
      </c>
      <c r="AY14" s="214">
        <f>(AX14*100)/AX3</f>
        <v>34.710743801652896</v>
      </c>
      <c r="AZ14" s="212">
        <f>SUMIFS(AB$3:AB$997,H$3:H$997,"AB")</f>
        <v>157</v>
      </c>
      <c r="BA14" s="214">
        <f>(AZ14*100)/AZ3</f>
        <v>32.572614107883815</v>
      </c>
    </row>
    <row r="15" spans="1:53" s="311" customFormat="1" ht="14.45" customHeight="1" thickBot="1">
      <c r="A15" s="303"/>
      <c r="B15" s="304"/>
      <c r="C15" s="304"/>
      <c r="D15" s="304"/>
      <c r="E15" s="304"/>
      <c r="F15" s="304"/>
      <c r="G15" s="305" t="s">
        <v>51</v>
      </c>
      <c r="H15" s="306" t="s">
        <v>246</v>
      </c>
      <c r="I15" s="307" t="s">
        <v>52</v>
      </c>
      <c r="J15" s="308">
        <v>100</v>
      </c>
      <c r="K15" s="308">
        <v>500</v>
      </c>
      <c r="L15" s="305"/>
      <c r="M15" s="305">
        <v>7</v>
      </c>
      <c r="N15" s="308">
        <v>2</v>
      </c>
      <c r="O15" s="308">
        <v>12.05</v>
      </c>
      <c r="P15" s="308">
        <v>12.22</v>
      </c>
      <c r="Q15" s="309">
        <v>2</v>
      </c>
      <c r="R15" s="309">
        <v>12.38</v>
      </c>
      <c r="S15" s="306">
        <v>1</v>
      </c>
      <c r="T15" s="308">
        <v>1</v>
      </c>
      <c r="U15" s="308">
        <v>1</v>
      </c>
      <c r="V15" s="308">
        <v>1</v>
      </c>
      <c r="W15" s="310">
        <v>0</v>
      </c>
      <c r="X15" s="308"/>
      <c r="Y15" s="308"/>
      <c r="Z15" s="308"/>
      <c r="AA15" s="308"/>
      <c r="AB15" s="308"/>
      <c r="AC15" s="308"/>
      <c r="AD15" s="308"/>
      <c r="AE15" s="308"/>
      <c r="AF15" s="308"/>
      <c r="AG15" s="308"/>
      <c r="AH15" s="308"/>
      <c r="AI15" s="308"/>
      <c r="AJ15" s="308"/>
      <c r="AK15" s="308"/>
      <c r="AL15" s="308"/>
      <c r="AM15" s="305"/>
      <c r="AN15" s="309"/>
      <c r="AO15" s="308"/>
      <c r="AP15" s="308"/>
      <c r="AQ15" s="308" t="s">
        <v>66</v>
      </c>
      <c r="AR15" s="303"/>
      <c r="AT15" s="311" t="s">
        <v>271</v>
      </c>
      <c r="AU15" s="312" t="s">
        <v>25</v>
      </c>
      <c r="AV15" s="313">
        <f>SUMIFS(AC$3:AC$997,H$3:H$997,"TU")</f>
        <v>120</v>
      </c>
      <c r="AW15" s="314">
        <f>(AV15*100)/AV3</f>
        <v>26.666666666666668</v>
      </c>
      <c r="AX15" s="313">
        <f>SUMIFS(AC$3:AC$997,H$3:H$997,"NHGRI")</f>
        <v>162</v>
      </c>
      <c r="AY15" s="314">
        <f>(AX15*100)/AX3</f>
        <v>33.471074380165291</v>
      </c>
      <c r="AZ15" s="313">
        <f>SUMIFS(AC$3:AC$997,H$3:H$997,"AB")</f>
        <v>147</v>
      </c>
      <c r="BA15" s="314">
        <f>(AZ15*100)/AZ3</f>
        <v>30.497925311203318</v>
      </c>
    </row>
    <row r="16" spans="1:53" ht="14.45" customHeight="1">
      <c r="A16" s="43">
        <v>2</v>
      </c>
      <c r="B16" s="44">
        <v>45916</v>
      </c>
      <c r="C16" s="44" t="s">
        <v>272</v>
      </c>
      <c r="D16" s="44" t="s">
        <v>273</v>
      </c>
      <c r="E16" s="6" t="s">
        <v>846</v>
      </c>
      <c r="F16" s="44" t="s">
        <v>245</v>
      </c>
      <c r="G16" s="222" t="s">
        <v>68</v>
      </c>
      <c r="H16" s="222" t="s">
        <v>274</v>
      </c>
      <c r="I16" s="218" t="s">
        <v>69</v>
      </c>
      <c r="J16" s="11">
        <v>100</v>
      </c>
      <c r="K16" s="11">
        <v>500</v>
      </c>
      <c r="L16" s="13">
        <v>80</v>
      </c>
      <c r="M16" s="13">
        <v>1</v>
      </c>
      <c r="N16" s="11">
        <v>5</v>
      </c>
      <c r="O16" s="21">
        <v>9.41</v>
      </c>
      <c r="P16" s="21">
        <v>10.1</v>
      </c>
      <c r="Q16" s="14">
        <v>5</v>
      </c>
      <c r="R16" s="14">
        <v>10.27</v>
      </c>
      <c r="S16" s="39">
        <v>3</v>
      </c>
      <c r="T16" s="40">
        <v>3</v>
      </c>
      <c r="U16" s="40">
        <v>3</v>
      </c>
      <c r="V16" s="40">
        <v>3</v>
      </c>
      <c r="W16" s="40">
        <v>3</v>
      </c>
      <c r="X16" s="40">
        <v>3</v>
      </c>
      <c r="Y16" s="40">
        <v>3</v>
      </c>
      <c r="Z16" s="40">
        <v>3</v>
      </c>
      <c r="AA16" s="40">
        <v>3</v>
      </c>
      <c r="AB16" s="40">
        <v>3</v>
      </c>
      <c r="AC16" s="40">
        <v>3</v>
      </c>
      <c r="AD16" s="40">
        <v>2</v>
      </c>
      <c r="AE16" s="40">
        <v>1</v>
      </c>
      <c r="AF16" s="11">
        <v>0</v>
      </c>
      <c r="AQ16" s="593" t="s">
        <v>275</v>
      </c>
      <c r="AR16" s="43" t="s">
        <v>247</v>
      </c>
      <c r="AT16" s="22" t="s">
        <v>276</v>
      </c>
      <c r="AU16" s="300" t="s">
        <v>26</v>
      </c>
      <c r="AV16" s="301">
        <f>SUMIFS(AD$3:AD$997,H$3:H$997,"TU")</f>
        <v>110</v>
      </c>
      <c r="AW16" s="302">
        <f>(AV16*100)/AV3</f>
        <v>24.444444444444443</v>
      </c>
      <c r="AX16" s="301">
        <f>SUMIFS(AD$3:AD$997,H$3:H$997,"NHGRI")</f>
        <v>146</v>
      </c>
      <c r="AY16" s="302">
        <f>(AX16*100)/AX3</f>
        <v>30.165289256198346</v>
      </c>
      <c r="AZ16" s="301">
        <f>SUMIFS(AD$3:AD$997,H$3:H$997,"AB")</f>
        <v>131</v>
      </c>
      <c r="BA16" s="302">
        <f>(AZ16*100)/AZ3</f>
        <v>27.178423236514522</v>
      </c>
    </row>
    <row r="17" spans="1:53" ht="14.45" customHeight="1">
      <c r="A17" s="43"/>
      <c r="B17" s="44"/>
      <c r="C17" s="44"/>
      <c r="D17" s="44" t="s">
        <v>277</v>
      </c>
      <c r="E17" s="44" t="s">
        <v>847</v>
      </c>
      <c r="F17" s="44"/>
      <c r="G17" s="222" t="s">
        <v>68</v>
      </c>
      <c r="H17" s="222" t="s">
        <v>274</v>
      </c>
      <c r="I17" s="218" t="s">
        <v>69</v>
      </c>
      <c r="J17" s="11">
        <v>100</v>
      </c>
      <c r="K17" s="11">
        <v>500</v>
      </c>
      <c r="L17" s="13"/>
      <c r="M17" s="13">
        <v>2</v>
      </c>
      <c r="N17" s="11">
        <v>2</v>
      </c>
      <c r="O17" s="11">
        <v>10.119999999999999</v>
      </c>
      <c r="P17" s="11">
        <v>10.19</v>
      </c>
      <c r="Q17" s="14">
        <v>2</v>
      </c>
      <c r="R17" s="14" t="s">
        <v>186</v>
      </c>
      <c r="S17" s="39">
        <v>2</v>
      </c>
      <c r="T17" s="40">
        <v>1</v>
      </c>
      <c r="U17" s="40">
        <v>1</v>
      </c>
      <c r="V17" s="40">
        <v>1</v>
      </c>
      <c r="W17" s="40">
        <v>1</v>
      </c>
      <c r="X17" s="40">
        <v>1</v>
      </c>
      <c r="Y17" s="40">
        <v>1</v>
      </c>
      <c r="Z17" s="40">
        <v>1</v>
      </c>
      <c r="AA17" s="40">
        <v>1</v>
      </c>
      <c r="AB17" s="40">
        <v>1</v>
      </c>
      <c r="AC17" s="40">
        <v>1</v>
      </c>
      <c r="AD17" s="11">
        <v>0</v>
      </c>
      <c r="AE17" s="11"/>
      <c r="AF17" s="11"/>
      <c r="AQ17" s="593"/>
      <c r="AT17" s="22" t="s">
        <v>278</v>
      </c>
      <c r="AU17" s="190" t="s">
        <v>27</v>
      </c>
      <c r="AV17" s="212">
        <f>SUMIFS(AE$3:AE$997,H$3:H$997,"TU")</f>
        <v>102</v>
      </c>
      <c r="AW17" s="214">
        <f>(AV17*100)/AV3</f>
        <v>22.666666666666668</v>
      </c>
      <c r="AX17" s="212">
        <f>SUMIFS(AE$3:AE$997,H$3:H$997,"NHGRI")</f>
        <v>127</v>
      </c>
      <c r="AY17" s="214">
        <f>(AX17*100)/AX3</f>
        <v>26.239669421487605</v>
      </c>
      <c r="AZ17" s="212">
        <f>SUMIFS(AE$3:AE$997,H$3:H$997,"AB")</f>
        <v>114</v>
      </c>
      <c r="BA17" s="214">
        <f>(AZ17*100)/AZ3</f>
        <v>23.651452282157678</v>
      </c>
    </row>
    <row r="18" spans="1:53" ht="14.45" customHeight="1">
      <c r="A18" s="43"/>
      <c r="B18" s="44"/>
      <c r="C18" s="44"/>
      <c r="D18" s="44"/>
      <c r="E18" s="44" t="s">
        <v>848</v>
      </c>
      <c r="F18" s="44"/>
      <c r="G18" s="222" t="s">
        <v>68</v>
      </c>
      <c r="H18" s="222" t="s">
        <v>274</v>
      </c>
      <c r="I18" s="218" t="s">
        <v>69</v>
      </c>
      <c r="J18" s="11">
        <v>100</v>
      </c>
      <c r="K18" s="11">
        <v>500</v>
      </c>
      <c r="L18" s="13"/>
      <c r="M18" s="46">
        <v>3</v>
      </c>
      <c r="N18" s="47">
        <v>2</v>
      </c>
      <c r="O18" s="47">
        <v>10.27</v>
      </c>
      <c r="P18" s="47">
        <v>10.59</v>
      </c>
      <c r="Q18" s="48">
        <v>2</v>
      </c>
      <c r="R18" s="242">
        <v>10.5</v>
      </c>
      <c r="S18" s="49">
        <v>2</v>
      </c>
      <c r="T18" s="50">
        <v>2</v>
      </c>
      <c r="U18" s="50">
        <v>2</v>
      </c>
      <c r="V18" s="50">
        <v>2</v>
      </c>
      <c r="W18" s="50">
        <v>2</v>
      </c>
      <c r="X18" s="50">
        <v>2</v>
      </c>
      <c r="Y18" s="50">
        <v>2</v>
      </c>
      <c r="Z18" s="50">
        <v>2</v>
      </c>
      <c r="AA18" s="50">
        <v>2</v>
      </c>
      <c r="AB18" s="50">
        <v>2</v>
      </c>
      <c r="AC18" s="50">
        <v>2</v>
      </c>
      <c r="AD18" s="50">
        <v>2</v>
      </c>
      <c r="AE18" s="50">
        <v>2</v>
      </c>
      <c r="AF18" s="50">
        <v>1</v>
      </c>
      <c r="AG18" s="50">
        <v>1</v>
      </c>
      <c r="AH18" s="50">
        <v>1</v>
      </c>
      <c r="AI18" s="50">
        <v>1</v>
      </c>
      <c r="AJ18" s="50">
        <v>1</v>
      </c>
      <c r="AK18" s="50">
        <v>1</v>
      </c>
      <c r="AL18" s="50">
        <v>1</v>
      </c>
      <c r="AM18" s="51">
        <v>1</v>
      </c>
      <c r="AN18" s="52">
        <v>1</v>
      </c>
      <c r="AO18" s="47">
        <v>1</v>
      </c>
      <c r="AP18" s="47">
        <v>0</v>
      </c>
      <c r="AQ18" s="593"/>
      <c r="AT18" s="22" t="s">
        <v>279</v>
      </c>
      <c r="AU18" s="190" t="s">
        <v>28</v>
      </c>
      <c r="AV18" s="212">
        <f>SUMIFS(AF$3:AF$997,H$3:H$997,"TU")</f>
        <v>64</v>
      </c>
      <c r="AW18" s="214">
        <f>(AV18*100)/AV3</f>
        <v>14.222222222222221</v>
      </c>
      <c r="AX18" s="212">
        <f>SUMIFS(AF$3:AF$997,H$3:H$997,"NHGRI")</f>
        <v>93</v>
      </c>
      <c r="AY18" s="214">
        <f>(AX18*100)/AX3</f>
        <v>19.214876033057852</v>
      </c>
      <c r="AZ18" s="212">
        <f>SUMIFS(AF$3:AF$997,H$3:H$997,"AB")</f>
        <v>79</v>
      </c>
      <c r="BA18" s="214">
        <f>(AZ18*100)/AZ3</f>
        <v>16.390041493775932</v>
      </c>
    </row>
    <row r="19" spans="1:53" ht="14.45" customHeight="1">
      <c r="A19" s="43"/>
      <c r="B19" s="44"/>
      <c r="C19" s="44"/>
      <c r="D19" s="44"/>
      <c r="E19" s="44" t="s">
        <v>849</v>
      </c>
      <c r="F19" s="44"/>
      <c r="G19" s="222" t="s">
        <v>68</v>
      </c>
      <c r="H19" s="222" t="s">
        <v>274</v>
      </c>
      <c r="I19" s="218" t="s">
        <v>69</v>
      </c>
      <c r="J19" s="11">
        <v>100</v>
      </c>
      <c r="K19" s="11">
        <v>500</v>
      </c>
      <c r="L19" s="13"/>
      <c r="M19" s="13">
        <v>4</v>
      </c>
      <c r="N19" s="11">
        <v>4</v>
      </c>
      <c r="O19" s="11">
        <v>10.38</v>
      </c>
      <c r="P19" s="11">
        <v>10.59</v>
      </c>
      <c r="Q19" s="14">
        <v>4</v>
      </c>
      <c r="R19" s="14">
        <v>11.15</v>
      </c>
      <c r="S19" s="39">
        <v>4</v>
      </c>
      <c r="T19" s="40">
        <v>4</v>
      </c>
      <c r="U19" s="40">
        <v>4</v>
      </c>
      <c r="V19" s="40">
        <v>4</v>
      </c>
      <c r="W19" s="40">
        <v>4</v>
      </c>
      <c r="X19" s="40">
        <v>4</v>
      </c>
      <c r="Y19" s="40">
        <v>2</v>
      </c>
      <c r="Z19" s="40">
        <v>2</v>
      </c>
      <c r="AA19" s="40">
        <v>2</v>
      </c>
      <c r="AB19" s="40">
        <v>2</v>
      </c>
      <c r="AC19" s="40">
        <v>2</v>
      </c>
      <c r="AD19" s="40">
        <v>2</v>
      </c>
      <c r="AE19" s="11">
        <v>0</v>
      </c>
      <c r="AF19" s="11"/>
      <c r="AQ19" s="593"/>
      <c r="AT19" s="22" t="s">
        <v>280</v>
      </c>
      <c r="AU19" s="190" t="s">
        <v>29</v>
      </c>
      <c r="AV19" s="212">
        <f>SUMIFS(AG$3:AG$997,H$3:H$997,"TU")</f>
        <v>39</v>
      </c>
      <c r="AW19" s="214">
        <f>(AV19*100)/AV3</f>
        <v>8.6666666666666661</v>
      </c>
      <c r="AX19" s="212">
        <f>SUMIFS(AG$3:AG$997,H$3:H$997,"NHGRI")</f>
        <v>79</v>
      </c>
      <c r="AY19" s="214">
        <f>(AX19*100)/AX3</f>
        <v>16.322314049586776</v>
      </c>
      <c r="AZ19" s="212">
        <f>SUMIFS(AG$3:AG$997,H$3:H$997,"AB")</f>
        <v>54</v>
      </c>
      <c r="BA19" s="214">
        <f>(AZ19*100)/AZ3</f>
        <v>11.203319502074688</v>
      </c>
    </row>
    <row r="20" spans="1:53" ht="14.45" customHeight="1">
      <c r="A20" s="43"/>
      <c r="B20" s="44"/>
      <c r="C20" s="44"/>
      <c r="D20" s="44"/>
      <c r="E20" s="44"/>
      <c r="F20" s="44"/>
      <c r="G20" s="19" t="s">
        <v>68</v>
      </c>
      <c r="H20" s="18" t="s">
        <v>274</v>
      </c>
      <c r="I20" s="268" t="s">
        <v>69</v>
      </c>
      <c r="J20" s="11">
        <v>100</v>
      </c>
      <c r="K20" s="11">
        <v>500</v>
      </c>
      <c r="L20" s="19"/>
      <c r="M20" s="19">
        <v>5</v>
      </c>
      <c r="N20" s="28">
        <v>1</v>
      </c>
      <c r="O20" s="28">
        <v>11.02</v>
      </c>
      <c r="P20" s="28">
        <v>11.08</v>
      </c>
      <c r="Q20" s="20">
        <v>1</v>
      </c>
      <c r="R20" s="20">
        <v>11.27</v>
      </c>
      <c r="S20" s="18">
        <v>0</v>
      </c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3"/>
      <c r="AH20" s="23"/>
      <c r="AI20" s="23"/>
      <c r="AJ20" s="23"/>
      <c r="AK20" s="23"/>
      <c r="AL20" s="23"/>
      <c r="AM20" s="53"/>
      <c r="AN20" s="20"/>
      <c r="AO20" s="23"/>
      <c r="AP20" s="23"/>
      <c r="AQ20" s="594"/>
      <c r="AR20" s="45"/>
      <c r="AT20" s="22" t="s">
        <v>281</v>
      </c>
      <c r="AU20" s="190" t="s">
        <v>30</v>
      </c>
      <c r="AV20" s="212">
        <f>SUMIFS(AH$3:AH$997,H$3:H$997,"TU")</f>
        <v>24</v>
      </c>
      <c r="AW20" s="214">
        <f>(AV20*100)/AV3</f>
        <v>5.333333333333333</v>
      </c>
      <c r="AX20" s="212">
        <f>SUMIFS(AH$3:AH$997,H$3:H$997,"NHGRI")</f>
        <v>68</v>
      </c>
      <c r="AY20" s="214">
        <f>(AX20*100)/AX3</f>
        <v>14.049586776859504</v>
      </c>
      <c r="AZ20" s="212">
        <f>SUMIFS(AH$3:AH$997,H$3:H$997,"AB")</f>
        <v>38</v>
      </c>
      <c r="BA20" s="214">
        <f>(AZ20*100)/AZ3</f>
        <v>7.8838174273858925</v>
      </c>
    </row>
    <row r="21" spans="1:53" ht="14.45" customHeight="1">
      <c r="A21" s="43"/>
      <c r="B21" s="44"/>
      <c r="C21" s="44"/>
      <c r="D21" s="44"/>
      <c r="E21" s="44"/>
      <c r="F21" s="44"/>
      <c r="G21" s="222" t="s">
        <v>68</v>
      </c>
      <c r="H21" s="222" t="s">
        <v>274</v>
      </c>
      <c r="I21" s="217" t="s">
        <v>69</v>
      </c>
      <c r="J21" s="11">
        <v>100</v>
      </c>
      <c r="K21" s="11">
        <v>500</v>
      </c>
      <c r="L21" s="13">
        <v>86</v>
      </c>
      <c r="M21" s="13">
        <v>1</v>
      </c>
      <c r="N21" s="11">
        <v>3</v>
      </c>
      <c r="O21" s="21">
        <v>9.4</v>
      </c>
      <c r="P21" s="11">
        <v>10.039999999999999</v>
      </c>
      <c r="Q21" s="14">
        <v>3</v>
      </c>
      <c r="R21" s="14">
        <v>10.220000000000001</v>
      </c>
      <c r="S21" s="222">
        <v>1</v>
      </c>
      <c r="T21" s="11">
        <v>1</v>
      </c>
      <c r="U21" s="11">
        <v>1</v>
      </c>
      <c r="V21" s="11">
        <v>1</v>
      </c>
      <c r="W21" s="11">
        <v>1</v>
      </c>
      <c r="X21" s="11">
        <v>1</v>
      </c>
      <c r="Y21" s="11">
        <v>1</v>
      </c>
      <c r="Z21" s="11">
        <v>0</v>
      </c>
      <c r="AA21" s="11"/>
      <c r="AB21" s="11"/>
      <c r="AC21" s="11"/>
      <c r="AD21" s="11"/>
      <c r="AE21" s="11"/>
      <c r="AF21" s="11"/>
      <c r="AH21" s="11"/>
      <c r="AI21" s="11"/>
      <c r="AJ21" s="11"/>
      <c r="AK21" s="11"/>
      <c r="AL21" s="11"/>
      <c r="AM21" s="13"/>
      <c r="AO21" s="11"/>
      <c r="AP21" s="11"/>
      <c r="AQ21" s="582" t="s">
        <v>71</v>
      </c>
      <c r="AR21" s="43" t="s">
        <v>260</v>
      </c>
      <c r="AT21" s="22" t="s">
        <v>282</v>
      </c>
      <c r="AU21" s="190" t="s">
        <v>31</v>
      </c>
      <c r="AV21" s="212">
        <f>SUMIFS(AI$3:AI$997,H$3:H$997,"TU")</f>
        <v>22</v>
      </c>
      <c r="AW21" s="214">
        <f>(AV21*100)/AV3</f>
        <v>4.8888888888888893</v>
      </c>
      <c r="AX21" s="212">
        <f>SUMIFS(AH$3:AH$997,H$3:H$997,"NHGRI")</f>
        <v>68</v>
      </c>
      <c r="AY21" s="214">
        <f>(AX21*100)/AX3</f>
        <v>14.049586776859504</v>
      </c>
      <c r="AZ21" s="212">
        <f>SUMIFS(AI$3:AI$997,H$3:H$997,"AB")</f>
        <v>36</v>
      </c>
      <c r="BA21" s="214">
        <f>(AZ21*100)/AZ3</f>
        <v>7.4688796680497926</v>
      </c>
    </row>
    <row r="22" spans="1:53" ht="14.45" customHeight="1">
      <c r="A22" s="43"/>
      <c r="B22" s="44"/>
      <c r="C22" s="44"/>
      <c r="D22" s="44"/>
      <c r="E22" s="44"/>
      <c r="F22" s="44"/>
      <c r="G22" s="222" t="s">
        <v>68</v>
      </c>
      <c r="H22" s="222" t="s">
        <v>274</v>
      </c>
      <c r="I22" s="218" t="s">
        <v>69</v>
      </c>
      <c r="J22" s="11">
        <v>100</v>
      </c>
      <c r="K22" s="11">
        <v>500</v>
      </c>
      <c r="L22" s="13"/>
      <c r="M22" s="13">
        <v>2</v>
      </c>
      <c r="N22" s="11">
        <v>1</v>
      </c>
      <c r="O22" s="11">
        <v>10.09</v>
      </c>
      <c r="P22" s="11">
        <v>10.199999999999999</v>
      </c>
      <c r="Q22" s="14">
        <v>1</v>
      </c>
      <c r="R22" s="14">
        <v>10.45</v>
      </c>
      <c r="S22" s="222">
        <v>1</v>
      </c>
      <c r="T22" s="11">
        <v>1</v>
      </c>
      <c r="U22" s="11">
        <v>1</v>
      </c>
      <c r="V22" s="11">
        <v>1</v>
      </c>
      <c r="W22" s="11">
        <v>1</v>
      </c>
      <c r="X22" s="11">
        <v>1</v>
      </c>
      <c r="Y22" s="11">
        <v>0</v>
      </c>
      <c r="Z22" s="11"/>
      <c r="AA22" s="11"/>
      <c r="AB22" s="11"/>
      <c r="AC22" s="11"/>
      <c r="AD22" s="11"/>
      <c r="AE22" s="11"/>
      <c r="AG22" s="11"/>
      <c r="AH22" s="11"/>
      <c r="AI22" s="11"/>
      <c r="AJ22" s="11"/>
      <c r="AK22" s="11"/>
      <c r="AL22" s="11"/>
      <c r="AM22" s="13"/>
      <c r="AO22" s="11"/>
      <c r="AP22" s="11"/>
      <c r="AQ22" s="583"/>
      <c r="AT22" s="22" t="s">
        <v>283</v>
      </c>
      <c r="AU22" s="190" t="s">
        <v>32</v>
      </c>
      <c r="AV22" s="212">
        <f>SUMIFS(AJ$3:AJ$997,H$3:H$997,"TU")</f>
        <v>20</v>
      </c>
      <c r="AW22" s="214">
        <f>(AV22*100)/AV3</f>
        <v>4.4444444444444446</v>
      </c>
      <c r="AX22" s="212">
        <f>SUMIFS(AJ$3:AJ$997,H$3:H$997,"NHGRI")</f>
        <v>56</v>
      </c>
      <c r="AY22" s="214">
        <f>(AX22*100)/AX3</f>
        <v>11.570247933884298</v>
      </c>
      <c r="AZ22" s="212">
        <f>SUMIFS(AJ$3:AJ$997,H$3:H$997,"AB")</f>
        <v>29</v>
      </c>
      <c r="BA22" s="214">
        <f>(AZ22*100)/AZ3</f>
        <v>6.0165975103734439</v>
      </c>
    </row>
    <row r="23" spans="1:53" s="311" customFormat="1" ht="30.75" thickBot="1">
      <c r="A23" s="303"/>
      <c r="B23" s="304"/>
      <c r="C23" s="304"/>
      <c r="D23" s="304"/>
      <c r="E23" s="304"/>
      <c r="F23" s="304"/>
      <c r="G23" s="305" t="s">
        <v>68</v>
      </c>
      <c r="H23" s="306" t="s">
        <v>274</v>
      </c>
      <c r="I23" s="307" t="s">
        <v>69</v>
      </c>
      <c r="J23" s="308">
        <v>100</v>
      </c>
      <c r="K23" s="308">
        <v>500</v>
      </c>
      <c r="L23" s="305"/>
      <c r="M23" s="305">
        <v>3</v>
      </c>
      <c r="N23" s="308">
        <v>5</v>
      </c>
      <c r="O23" s="308">
        <v>10.28</v>
      </c>
      <c r="P23" s="308">
        <v>10.54</v>
      </c>
      <c r="Q23" s="309">
        <v>5</v>
      </c>
      <c r="R23" s="309">
        <v>11.12</v>
      </c>
      <c r="S23" s="306">
        <v>1</v>
      </c>
      <c r="T23" s="308">
        <v>1</v>
      </c>
      <c r="U23" s="308">
        <v>1</v>
      </c>
      <c r="V23" s="308">
        <v>1</v>
      </c>
      <c r="W23" s="308">
        <v>0</v>
      </c>
      <c r="X23" s="308"/>
      <c r="Y23" s="308"/>
      <c r="Z23" s="308"/>
      <c r="AA23" s="308"/>
      <c r="AB23" s="308"/>
      <c r="AC23" s="308"/>
      <c r="AD23" s="308"/>
      <c r="AE23" s="308"/>
      <c r="AF23" s="308"/>
      <c r="AH23" s="308"/>
      <c r="AI23" s="308"/>
      <c r="AJ23" s="308"/>
      <c r="AK23" s="308"/>
      <c r="AL23" s="308"/>
      <c r="AM23" s="305"/>
      <c r="AN23" s="309"/>
      <c r="AO23" s="308"/>
      <c r="AP23" s="308"/>
      <c r="AQ23" s="584"/>
      <c r="AR23" s="303"/>
      <c r="AT23" s="311" t="s">
        <v>284</v>
      </c>
      <c r="AU23" s="312" t="s">
        <v>33</v>
      </c>
      <c r="AV23" s="313">
        <f>SUMIFS(AK$3:AK$997,H$3:H$997,"TU")</f>
        <v>11</v>
      </c>
      <c r="AW23" s="314">
        <f>(AV23*100)/AV3</f>
        <v>2.4444444444444446</v>
      </c>
      <c r="AX23" s="313">
        <f>SUMIFS(AK$3:AK$997,H$3:H$997,"NHGRI")</f>
        <v>51</v>
      </c>
      <c r="AY23" s="314">
        <f>(AX23*100)/AX3</f>
        <v>10.537190082644628</v>
      </c>
      <c r="AZ23" s="313">
        <f>SUMIFS(AK$3:AK$997,H$3:H$997,"AB")</f>
        <v>19</v>
      </c>
      <c r="BA23" s="314">
        <f>(AZ23*100)/AZ3</f>
        <v>3.9419087136929463</v>
      </c>
    </row>
    <row r="24" spans="1:53" ht="30">
      <c r="A24" s="43">
        <v>3</v>
      </c>
      <c r="B24" s="44">
        <v>45917</v>
      </c>
      <c r="C24" s="44" t="s">
        <v>285</v>
      </c>
      <c r="D24" s="44" t="s">
        <v>286</v>
      </c>
      <c r="E24" s="44" t="s">
        <v>850</v>
      </c>
      <c r="F24" s="44" t="s">
        <v>287</v>
      </c>
      <c r="G24" s="222" t="s">
        <v>72</v>
      </c>
      <c r="H24" s="222" t="s">
        <v>276</v>
      </c>
      <c r="I24" s="218" t="s">
        <v>73</v>
      </c>
      <c r="J24" s="11">
        <v>100</v>
      </c>
      <c r="K24" s="11">
        <v>500</v>
      </c>
      <c r="L24" s="13">
        <v>80</v>
      </c>
      <c r="M24" s="13">
        <v>1</v>
      </c>
      <c r="N24" s="11">
        <v>6</v>
      </c>
      <c r="O24" s="11">
        <v>9.48</v>
      </c>
      <c r="P24" s="11">
        <v>10.130000000000001</v>
      </c>
      <c r="Q24" s="14">
        <v>6</v>
      </c>
      <c r="R24" s="14">
        <v>10.31</v>
      </c>
      <c r="S24" s="39">
        <v>3</v>
      </c>
      <c r="T24" s="40">
        <v>3</v>
      </c>
      <c r="U24" s="40">
        <v>3</v>
      </c>
      <c r="V24" s="40">
        <v>3</v>
      </c>
      <c r="W24" s="40">
        <v>3</v>
      </c>
      <c r="X24" s="40">
        <v>3</v>
      </c>
      <c r="Y24" s="40">
        <v>3</v>
      </c>
      <c r="Z24" s="40">
        <v>3</v>
      </c>
      <c r="AA24" s="40">
        <v>3</v>
      </c>
      <c r="AB24" s="54">
        <v>1</v>
      </c>
      <c r="AC24" s="54">
        <v>1</v>
      </c>
      <c r="AD24" s="54">
        <v>1</v>
      </c>
      <c r="AE24" s="54">
        <v>1</v>
      </c>
      <c r="AF24" s="54">
        <v>1</v>
      </c>
      <c r="AG24" s="54">
        <v>1</v>
      </c>
      <c r="AH24" s="54">
        <v>0</v>
      </c>
      <c r="AR24" s="43" t="s">
        <v>247</v>
      </c>
      <c r="AT24" s="22" t="s">
        <v>288</v>
      </c>
      <c r="AU24" s="300" t="s">
        <v>34</v>
      </c>
      <c r="AV24" s="301">
        <f>SUMIFS(AL$3:AL$997,H$3:H$997,"TU")</f>
        <v>8</v>
      </c>
      <c r="AW24" s="302">
        <f>(AV24*100)/AV3</f>
        <v>1.7777777777777777</v>
      </c>
      <c r="AX24" s="301">
        <f>SUMIFS(AL$3:AL$997,H$3:H$997,"NHGRI")</f>
        <v>34</v>
      </c>
      <c r="AY24" s="302">
        <f>(AX24*100)/AX3</f>
        <v>7.0247933884297522</v>
      </c>
      <c r="AZ24" s="301">
        <f>SUMIFS(AL$3:AL$997,H$3:H$997,"AB")</f>
        <v>14</v>
      </c>
      <c r="BA24" s="302">
        <f>(AZ24*100)/AZ3</f>
        <v>2.904564315352697</v>
      </c>
    </row>
    <row r="25" spans="1:53">
      <c r="A25" s="43"/>
      <c r="B25" s="44"/>
      <c r="C25" s="44"/>
      <c r="D25" s="44" t="s">
        <v>289</v>
      </c>
      <c r="E25" s="44" t="s">
        <v>851</v>
      </c>
      <c r="F25" s="44"/>
      <c r="G25" s="222" t="s">
        <v>72</v>
      </c>
      <c r="H25" s="222" t="s">
        <v>276</v>
      </c>
      <c r="I25" s="218" t="s">
        <v>73</v>
      </c>
      <c r="J25" s="11">
        <v>100</v>
      </c>
      <c r="K25" s="11">
        <v>500</v>
      </c>
      <c r="L25" s="13"/>
      <c r="M25" s="13">
        <v>2</v>
      </c>
      <c r="N25" s="11">
        <v>5</v>
      </c>
      <c r="O25" s="11">
        <v>10.16</v>
      </c>
      <c r="P25" s="11">
        <v>10.34</v>
      </c>
      <c r="Q25" s="14">
        <v>5</v>
      </c>
      <c r="R25" s="14">
        <v>10.49</v>
      </c>
      <c r="S25" s="39">
        <v>2</v>
      </c>
      <c r="T25" s="40">
        <v>2</v>
      </c>
      <c r="U25" s="40">
        <v>2</v>
      </c>
      <c r="V25" s="40">
        <v>2</v>
      </c>
      <c r="W25" s="40">
        <v>2</v>
      </c>
      <c r="X25" s="40">
        <v>2</v>
      </c>
      <c r="Y25" s="40">
        <v>2</v>
      </c>
      <c r="Z25" s="40">
        <v>2</v>
      </c>
      <c r="AA25" s="11">
        <v>0</v>
      </c>
      <c r="AB25" s="11"/>
      <c r="AC25" s="11"/>
      <c r="AD25" s="11"/>
      <c r="AE25" s="11"/>
      <c r="AF25" s="11"/>
      <c r="AT25" s="22" t="s">
        <v>290</v>
      </c>
      <c r="AU25" s="191" t="s">
        <v>47</v>
      </c>
      <c r="AV25" s="212">
        <f>SUMIFS(AM$3:AM$997,H$3:H$997,"TU")</f>
        <v>8</v>
      </c>
      <c r="AW25" s="214">
        <f>(AV25*100)/AV3</f>
        <v>1.7777777777777777</v>
      </c>
      <c r="AX25" s="212">
        <f>SUMIFS(AM$3:AM$997,H$3:H$997,"NHGRI")</f>
        <v>27</v>
      </c>
      <c r="AY25" s="214">
        <f>(AX25*100)/AX3</f>
        <v>5.5785123966942152</v>
      </c>
      <c r="AZ25" s="212">
        <f>SUMIFS(AM$3:AM$997,H$3:H$997,"AB")</f>
        <v>11</v>
      </c>
      <c r="BA25" s="214">
        <f>(AZ25*100)/AZ3</f>
        <v>2.2821576763485476</v>
      </c>
    </row>
    <row r="26" spans="1:53">
      <c r="A26" s="43"/>
      <c r="B26" s="44"/>
      <c r="C26" s="44"/>
      <c r="D26" s="44"/>
      <c r="E26" s="44" t="s">
        <v>852</v>
      </c>
      <c r="F26" s="44"/>
      <c r="G26" s="222" t="s">
        <v>72</v>
      </c>
      <c r="H26" s="222" t="s">
        <v>276</v>
      </c>
      <c r="I26" s="218" t="s">
        <v>73</v>
      </c>
      <c r="J26" s="11">
        <v>100</v>
      </c>
      <c r="K26" s="11">
        <v>500</v>
      </c>
      <c r="L26" s="13"/>
      <c r="M26" s="13">
        <v>3</v>
      </c>
      <c r="N26" s="11">
        <v>5</v>
      </c>
      <c r="O26" s="11">
        <v>10.49</v>
      </c>
      <c r="P26" s="11">
        <v>11.08</v>
      </c>
      <c r="Q26" s="14">
        <v>5</v>
      </c>
      <c r="R26" s="14">
        <v>11.24</v>
      </c>
      <c r="S26" s="39">
        <v>4</v>
      </c>
      <c r="T26" s="40">
        <v>4</v>
      </c>
      <c r="U26" s="40">
        <v>4</v>
      </c>
      <c r="V26" s="40">
        <v>4</v>
      </c>
      <c r="W26" s="40">
        <v>4</v>
      </c>
      <c r="X26" s="40">
        <v>4</v>
      </c>
      <c r="Y26" s="40">
        <v>4</v>
      </c>
      <c r="Z26" s="40">
        <v>4</v>
      </c>
      <c r="AA26" s="40">
        <v>4</v>
      </c>
      <c r="AB26" s="40">
        <v>4</v>
      </c>
      <c r="AC26" s="40">
        <v>4</v>
      </c>
      <c r="AD26" s="40">
        <v>4</v>
      </c>
      <c r="AE26" s="40">
        <v>4</v>
      </c>
      <c r="AF26" s="40">
        <v>4</v>
      </c>
      <c r="AG26" s="11">
        <v>0</v>
      </c>
      <c r="AT26" s="22" t="s">
        <v>291</v>
      </c>
      <c r="AU26" s="191" t="s">
        <v>48</v>
      </c>
      <c r="AV26" s="212">
        <f>SUMIFS(AN$3:AN$997,H$3:H$997,"TU")</f>
        <v>8</v>
      </c>
      <c r="AW26" s="214">
        <f>(AV26*100)/AV3</f>
        <v>1.7777777777777777</v>
      </c>
      <c r="AX26" s="212">
        <f>SUMIFS(AN$3:AN$997,H$3:H$997,"NHGRI")</f>
        <v>27</v>
      </c>
      <c r="AY26" s="214">
        <f>(AX26*100)/AX3</f>
        <v>5.5785123966942152</v>
      </c>
      <c r="AZ26" s="212">
        <f>SUMIFS(AN$3:AN$997,H$3:H$997,"AB")</f>
        <v>11</v>
      </c>
      <c r="BA26" s="214">
        <f>(AZ26*100)/AZ3</f>
        <v>2.2821576763485476</v>
      </c>
    </row>
    <row r="27" spans="1:53">
      <c r="A27" s="43"/>
      <c r="B27" s="44"/>
      <c r="C27" s="44"/>
      <c r="D27" s="44"/>
      <c r="E27" s="44" t="s">
        <v>853</v>
      </c>
      <c r="F27" s="44"/>
      <c r="G27" s="222" t="s">
        <v>72</v>
      </c>
      <c r="H27" s="222" t="s">
        <v>276</v>
      </c>
      <c r="I27" s="218" t="s">
        <v>73</v>
      </c>
      <c r="J27" s="11">
        <v>100</v>
      </c>
      <c r="K27" s="11">
        <v>500</v>
      </c>
      <c r="L27" s="13"/>
      <c r="M27" s="13">
        <v>4</v>
      </c>
      <c r="N27" s="11">
        <v>6</v>
      </c>
      <c r="O27" s="11">
        <v>11.25</v>
      </c>
      <c r="P27" s="11">
        <v>11.53</v>
      </c>
      <c r="Q27" s="14">
        <v>6</v>
      </c>
      <c r="R27" s="14">
        <v>12.08</v>
      </c>
      <c r="S27" s="39">
        <v>3</v>
      </c>
      <c r="T27" s="40">
        <v>3</v>
      </c>
      <c r="U27" s="40">
        <v>3</v>
      </c>
      <c r="V27" s="40">
        <v>3</v>
      </c>
      <c r="W27" s="40">
        <v>3</v>
      </c>
      <c r="X27" s="40">
        <v>3</v>
      </c>
      <c r="Y27" s="40">
        <v>3</v>
      </c>
      <c r="Z27" s="40">
        <v>3</v>
      </c>
      <c r="AA27" s="40">
        <v>3</v>
      </c>
      <c r="AB27" s="40">
        <v>3</v>
      </c>
      <c r="AC27" s="40">
        <v>3</v>
      </c>
      <c r="AD27" s="40">
        <v>3</v>
      </c>
      <c r="AE27" s="40">
        <v>3</v>
      </c>
      <c r="AF27" s="40">
        <v>3</v>
      </c>
      <c r="AG27" s="11">
        <v>0</v>
      </c>
    </row>
    <row r="28" spans="1:53">
      <c r="A28" s="43"/>
      <c r="B28" s="44"/>
      <c r="C28" s="44"/>
      <c r="D28" s="44"/>
      <c r="E28" s="44"/>
      <c r="F28" s="44"/>
      <c r="G28" s="222" t="s">
        <v>72</v>
      </c>
      <c r="H28" s="222" t="s">
        <v>276</v>
      </c>
      <c r="I28" s="218" t="s">
        <v>73</v>
      </c>
      <c r="J28" s="11">
        <v>100</v>
      </c>
      <c r="K28" s="11">
        <v>500</v>
      </c>
      <c r="L28" s="13"/>
      <c r="M28" s="13">
        <v>5</v>
      </c>
      <c r="N28" s="11">
        <v>5</v>
      </c>
      <c r="O28" s="11">
        <v>11.57</v>
      </c>
      <c r="P28" s="11">
        <v>12.08</v>
      </c>
      <c r="Q28" s="14">
        <v>5</v>
      </c>
      <c r="R28" s="14">
        <v>12.23</v>
      </c>
      <c r="S28" s="39">
        <v>1</v>
      </c>
      <c r="T28" s="40">
        <v>1</v>
      </c>
      <c r="U28" s="40">
        <v>1</v>
      </c>
      <c r="V28" s="40">
        <v>1</v>
      </c>
      <c r="W28" s="40">
        <v>1</v>
      </c>
      <c r="X28" s="40">
        <v>1</v>
      </c>
      <c r="Y28" s="40">
        <v>1</v>
      </c>
      <c r="Z28" s="40">
        <v>1</v>
      </c>
      <c r="AA28" s="40">
        <v>1</v>
      </c>
      <c r="AB28" s="40">
        <v>1</v>
      </c>
      <c r="AC28" s="40">
        <v>1</v>
      </c>
      <c r="AD28" s="40">
        <v>1</v>
      </c>
      <c r="AE28" s="40">
        <v>1</v>
      </c>
      <c r="AF28" s="40">
        <v>1</v>
      </c>
      <c r="AG28" s="11">
        <v>0</v>
      </c>
    </row>
    <row r="29" spans="1:53">
      <c r="A29" s="43"/>
      <c r="B29" s="44"/>
      <c r="C29" s="44"/>
      <c r="D29" s="44"/>
      <c r="E29" s="44"/>
      <c r="F29" s="44"/>
      <c r="G29" s="222" t="s">
        <v>72</v>
      </c>
      <c r="H29" s="222" t="s">
        <v>276</v>
      </c>
      <c r="I29" s="218" t="s">
        <v>73</v>
      </c>
      <c r="J29" s="11">
        <v>100</v>
      </c>
      <c r="K29" s="11">
        <v>500</v>
      </c>
      <c r="L29" s="13"/>
      <c r="M29" s="55" t="s">
        <v>102</v>
      </c>
      <c r="N29" s="57" t="s">
        <v>191</v>
      </c>
      <c r="O29" s="57" t="s">
        <v>61</v>
      </c>
      <c r="P29" s="57" t="s">
        <v>61</v>
      </c>
      <c r="Q29" s="58" t="s">
        <v>191</v>
      </c>
      <c r="R29" s="58" t="s">
        <v>191</v>
      </c>
      <c r="S29" s="56">
        <v>0</v>
      </c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4"/>
    </row>
    <row r="30" spans="1:53">
      <c r="A30" s="43"/>
      <c r="B30" s="44"/>
      <c r="C30" s="44"/>
      <c r="D30" s="44"/>
      <c r="E30" s="44"/>
      <c r="F30" s="44"/>
      <c r="G30" s="222" t="s">
        <v>72</v>
      </c>
      <c r="H30" s="222" t="s">
        <v>276</v>
      </c>
      <c r="I30" s="218" t="s">
        <v>73</v>
      </c>
      <c r="J30" s="11">
        <v>100</v>
      </c>
      <c r="K30" s="11">
        <v>500</v>
      </c>
      <c r="L30" s="13"/>
      <c r="M30" s="55" t="s">
        <v>103</v>
      </c>
      <c r="N30" s="57">
        <v>4</v>
      </c>
      <c r="O30" s="57" t="s">
        <v>61</v>
      </c>
      <c r="P30" s="57" t="s">
        <v>61</v>
      </c>
      <c r="Q30" s="58">
        <v>4</v>
      </c>
      <c r="R30" s="58">
        <v>11.15</v>
      </c>
      <c r="S30" s="56">
        <v>2</v>
      </c>
      <c r="T30" s="57">
        <v>2</v>
      </c>
      <c r="U30" s="57">
        <v>2</v>
      </c>
      <c r="V30" s="57">
        <v>2</v>
      </c>
      <c r="W30" s="57">
        <v>2</v>
      </c>
      <c r="X30" s="57">
        <v>2</v>
      </c>
      <c r="Y30" s="57">
        <v>2</v>
      </c>
      <c r="Z30" s="57">
        <v>2</v>
      </c>
      <c r="AA30" s="57">
        <v>2</v>
      </c>
      <c r="AB30" s="57">
        <v>2</v>
      </c>
      <c r="AC30" s="57">
        <v>2</v>
      </c>
      <c r="AD30" s="57">
        <v>2</v>
      </c>
      <c r="AE30" s="57">
        <v>2</v>
      </c>
      <c r="AF30" s="11">
        <v>0</v>
      </c>
    </row>
    <row r="31" spans="1:53">
      <c r="A31" s="43"/>
      <c r="B31" s="44"/>
      <c r="C31" s="44"/>
      <c r="D31" s="44"/>
      <c r="E31" s="44"/>
      <c r="F31" s="44"/>
      <c r="G31" s="222" t="s">
        <v>72</v>
      </c>
      <c r="H31" s="222" t="s">
        <v>276</v>
      </c>
      <c r="I31" s="218" t="s">
        <v>73</v>
      </c>
      <c r="J31" s="11">
        <v>100</v>
      </c>
      <c r="K31" s="11">
        <v>500</v>
      </c>
      <c r="L31" s="13"/>
      <c r="M31" s="55" t="s">
        <v>104</v>
      </c>
      <c r="N31" s="57">
        <v>3</v>
      </c>
      <c r="O31" s="57" t="s">
        <v>61</v>
      </c>
      <c r="P31" s="57" t="s">
        <v>61</v>
      </c>
      <c r="Q31" s="58">
        <v>3</v>
      </c>
      <c r="R31" s="58">
        <v>11.29</v>
      </c>
      <c r="S31" s="56">
        <v>3</v>
      </c>
      <c r="T31" s="57">
        <v>3</v>
      </c>
      <c r="U31" s="11">
        <v>0</v>
      </c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</row>
    <row r="32" spans="1:53">
      <c r="A32" s="43"/>
      <c r="B32" s="44"/>
      <c r="C32" s="44"/>
      <c r="D32" s="44"/>
      <c r="E32" s="44"/>
      <c r="F32" s="44"/>
      <c r="G32" s="222" t="s">
        <v>72</v>
      </c>
      <c r="H32" s="222" t="s">
        <v>276</v>
      </c>
      <c r="I32" s="218" t="s">
        <v>73</v>
      </c>
      <c r="J32" s="11">
        <v>100</v>
      </c>
      <c r="K32" s="11">
        <v>500</v>
      </c>
      <c r="L32" s="13"/>
      <c r="M32" s="55" t="s">
        <v>105</v>
      </c>
      <c r="N32" s="57">
        <v>5</v>
      </c>
      <c r="O32" s="57" t="s">
        <v>61</v>
      </c>
      <c r="P32" s="57" t="s">
        <v>61</v>
      </c>
      <c r="Q32" s="58">
        <v>5</v>
      </c>
      <c r="R32" s="58">
        <v>11.45</v>
      </c>
      <c r="S32" s="56">
        <v>4</v>
      </c>
      <c r="T32" s="57">
        <v>4</v>
      </c>
      <c r="U32" s="57">
        <v>4</v>
      </c>
      <c r="V32" s="57">
        <v>4</v>
      </c>
      <c r="W32" s="57">
        <v>2</v>
      </c>
      <c r="X32" s="57">
        <v>1</v>
      </c>
      <c r="Y32" s="57">
        <v>1</v>
      </c>
      <c r="Z32" s="57">
        <v>1</v>
      </c>
      <c r="AA32" s="57">
        <v>1</v>
      </c>
      <c r="AB32" s="57">
        <v>1</v>
      </c>
      <c r="AC32" s="57">
        <v>1</v>
      </c>
      <c r="AD32" s="57">
        <v>1</v>
      </c>
      <c r="AE32" s="57">
        <v>1</v>
      </c>
      <c r="AF32" s="57">
        <v>1</v>
      </c>
      <c r="AG32" s="11">
        <v>0</v>
      </c>
    </row>
    <row r="33" spans="1:44">
      <c r="A33" s="43"/>
      <c r="B33" s="44"/>
      <c r="C33" s="44"/>
      <c r="D33" s="44"/>
      <c r="E33" s="44"/>
      <c r="F33" s="44"/>
      <c r="G33" s="19" t="s">
        <v>72</v>
      </c>
      <c r="H33" s="18" t="s">
        <v>276</v>
      </c>
      <c r="I33" s="268" t="s">
        <v>73</v>
      </c>
      <c r="J33" s="28">
        <v>100</v>
      </c>
      <c r="K33" s="28">
        <v>500</v>
      </c>
      <c r="L33" s="19"/>
      <c r="M33" s="59" t="s">
        <v>106</v>
      </c>
      <c r="N33" s="61">
        <v>5</v>
      </c>
      <c r="O33" s="61" t="s">
        <v>61</v>
      </c>
      <c r="P33" s="61" t="s">
        <v>61</v>
      </c>
      <c r="Q33" s="62">
        <v>5</v>
      </c>
      <c r="R33" s="62">
        <v>12.15</v>
      </c>
      <c r="S33" s="60">
        <v>4</v>
      </c>
      <c r="T33" s="61">
        <v>4</v>
      </c>
      <c r="U33" s="61">
        <v>4</v>
      </c>
      <c r="V33" s="61">
        <v>2</v>
      </c>
      <c r="W33" s="61">
        <v>2</v>
      </c>
      <c r="X33" s="61">
        <v>2</v>
      </c>
      <c r="Y33" s="61">
        <v>2</v>
      </c>
      <c r="Z33" s="61">
        <v>2</v>
      </c>
      <c r="AA33" s="61">
        <v>2</v>
      </c>
      <c r="AB33" s="61">
        <v>2</v>
      </c>
      <c r="AC33" s="61">
        <v>2</v>
      </c>
      <c r="AD33" s="61">
        <v>2</v>
      </c>
      <c r="AE33" s="61">
        <v>1</v>
      </c>
      <c r="AF33" s="61">
        <v>1</v>
      </c>
      <c r="AG33" s="28">
        <v>0</v>
      </c>
      <c r="AH33" s="23"/>
      <c r="AI33" s="23"/>
      <c r="AJ33" s="23"/>
      <c r="AK33" s="23"/>
      <c r="AL33" s="23"/>
      <c r="AM33" s="53"/>
      <c r="AN33" s="20"/>
      <c r="AO33" s="23"/>
      <c r="AP33" s="23"/>
      <c r="AQ33" s="23"/>
      <c r="AR33" s="45"/>
    </row>
    <row r="34" spans="1:44">
      <c r="A34" s="43"/>
      <c r="B34" s="44"/>
      <c r="C34" s="44"/>
      <c r="D34" s="44"/>
      <c r="E34" s="44"/>
      <c r="F34" s="44"/>
      <c r="G34" s="222" t="s">
        <v>72</v>
      </c>
      <c r="H34" s="222" t="s">
        <v>276</v>
      </c>
      <c r="I34" s="217" t="s">
        <v>73</v>
      </c>
      <c r="J34" s="11" t="s">
        <v>74</v>
      </c>
      <c r="K34" s="11" t="s">
        <v>74</v>
      </c>
      <c r="L34" s="13">
        <v>86</v>
      </c>
      <c r="M34" s="13">
        <v>1</v>
      </c>
      <c r="N34" s="11">
        <v>4</v>
      </c>
      <c r="O34" s="11">
        <v>9.31</v>
      </c>
      <c r="P34" s="11">
        <v>9.42</v>
      </c>
      <c r="Q34" s="14">
        <v>4</v>
      </c>
      <c r="R34" s="14">
        <v>9.59</v>
      </c>
      <c r="S34" s="222">
        <v>3</v>
      </c>
      <c r="T34" s="11">
        <v>3</v>
      </c>
      <c r="U34" s="11">
        <v>3</v>
      </c>
      <c r="V34" s="11">
        <v>3</v>
      </c>
      <c r="W34" s="11">
        <v>3</v>
      </c>
      <c r="X34" s="11">
        <v>3</v>
      </c>
      <c r="Y34" s="11">
        <v>3</v>
      </c>
      <c r="Z34" s="11">
        <v>3</v>
      </c>
      <c r="AA34" s="11">
        <v>3</v>
      </c>
      <c r="AB34" s="11">
        <v>3</v>
      </c>
      <c r="AC34" s="11">
        <v>3</v>
      </c>
      <c r="AD34" s="11">
        <v>2</v>
      </c>
      <c r="AE34" s="11">
        <v>2</v>
      </c>
      <c r="AF34" s="11">
        <v>2</v>
      </c>
      <c r="AG34" s="11">
        <v>2</v>
      </c>
      <c r="AH34" s="11">
        <v>2</v>
      </c>
      <c r="AI34" s="11">
        <v>2</v>
      </c>
      <c r="AJ34" s="11">
        <v>1</v>
      </c>
      <c r="AK34" s="11">
        <v>1</v>
      </c>
      <c r="AL34" s="11">
        <v>0</v>
      </c>
      <c r="AM34" s="13"/>
      <c r="AO34" s="11"/>
      <c r="AP34" s="11"/>
      <c r="AQ34" s="11" t="s">
        <v>76</v>
      </c>
      <c r="AR34" s="43" t="s">
        <v>260</v>
      </c>
    </row>
    <row r="35" spans="1:44">
      <c r="A35" s="43"/>
      <c r="B35" s="44"/>
      <c r="C35" s="44"/>
      <c r="D35" s="44"/>
      <c r="E35" s="44"/>
      <c r="F35" s="44"/>
      <c r="G35" s="222" t="s">
        <v>72</v>
      </c>
      <c r="H35" s="222" t="s">
        <v>276</v>
      </c>
      <c r="I35" s="218" t="s">
        <v>73</v>
      </c>
      <c r="J35" s="11">
        <v>100</v>
      </c>
      <c r="K35" s="11">
        <v>500</v>
      </c>
      <c r="L35" s="13"/>
      <c r="M35" s="13">
        <v>2</v>
      </c>
      <c r="N35" s="11">
        <v>5</v>
      </c>
      <c r="O35" s="11">
        <v>9.5</v>
      </c>
      <c r="P35" s="11">
        <v>10.09</v>
      </c>
      <c r="Q35" s="14">
        <v>5</v>
      </c>
      <c r="R35" s="14">
        <v>10.3</v>
      </c>
      <c r="S35" s="222">
        <v>4</v>
      </c>
      <c r="T35" s="11">
        <v>4</v>
      </c>
      <c r="U35" s="11">
        <v>4</v>
      </c>
      <c r="V35" s="11">
        <v>4</v>
      </c>
      <c r="W35" s="11">
        <v>4</v>
      </c>
      <c r="X35" s="11">
        <v>4</v>
      </c>
      <c r="Y35" s="11">
        <v>4</v>
      </c>
      <c r="Z35" s="11">
        <v>4</v>
      </c>
      <c r="AA35" s="11">
        <v>4</v>
      </c>
      <c r="AB35" s="11">
        <v>4</v>
      </c>
      <c r="AC35" s="11">
        <v>4</v>
      </c>
      <c r="AD35" s="11">
        <v>4</v>
      </c>
      <c r="AE35" s="11">
        <v>3</v>
      </c>
      <c r="AF35" s="11">
        <v>3</v>
      </c>
      <c r="AG35" s="11">
        <v>3</v>
      </c>
      <c r="AH35" s="11">
        <v>2</v>
      </c>
      <c r="AI35" s="11">
        <v>2</v>
      </c>
      <c r="AJ35" s="11">
        <v>2</v>
      </c>
      <c r="AK35" s="11">
        <v>2</v>
      </c>
      <c r="AL35" s="11">
        <v>0</v>
      </c>
      <c r="AM35" s="13"/>
      <c r="AO35" s="11"/>
      <c r="AP35" s="11"/>
      <c r="AQ35" s="11" t="s">
        <v>78</v>
      </c>
    </row>
    <row r="36" spans="1:44">
      <c r="A36" s="43"/>
      <c r="B36" s="44"/>
      <c r="C36" s="44"/>
      <c r="D36" s="44"/>
      <c r="E36" s="44"/>
      <c r="F36" s="44"/>
      <c r="G36" s="222" t="s">
        <v>72</v>
      </c>
      <c r="H36" s="222" t="s">
        <v>276</v>
      </c>
      <c r="I36" s="218" t="s">
        <v>73</v>
      </c>
      <c r="J36" s="11">
        <v>100</v>
      </c>
      <c r="K36" s="11">
        <v>500</v>
      </c>
      <c r="L36" s="13"/>
      <c r="M36" s="13">
        <v>3</v>
      </c>
      <c r="N36" s="11">
        <v>6</v>
      </c>
      <c r="O36" s="11">
        <v>10.14</v>
      </c>
      <c r="P36" s="11">
        <v>10.38</v>
      </c>
      <c r="Q36" s="14">
        <v>6</v>
      </c>
      <c r="R36" s="14">
        <v>10.54</v>
      </c>
      <c r="S36" s="222">
        <v>3</v>
      </c>
      <c r="T36" s="11">
        <v>3</v>
      </c>
      <c r="U36" s="11">
        <v>3</v>
      </c>
      <c r="V36" s="11">
        <v>3</v>
      </c>
      <c r="W36" s="11">
        <v>3</v>
      </c>
      <c r="X36" s="11">
        <v>3</v>
      </c>
      <c r="Y36" s="11">
        <v>3</v>
      </c>
      <c r="Z36" s="11">
        <v>3</v>
      </c>
      <c r="AA36" s="11">
        <v>3</v>
      </c>
      <c r="AB36" s="11">
        <v>2</v>
      </c>
      <c r="AC36" s="11">
        <v>2</v>
      </c>
      <c r="AD36" s="11">
        <v>1</v>
      </c>
      <c r="AE36" s="11">
        <v>1</v>
      </c>
      <c r="AF36" s="11">
        <v>0</v>
      </c>
      <c r="AH36" s="11"/>
      <c r="AI36" s="11"/>
      <c r="AJ36" s="11"/>
      <c r="AK36" s="11"/>
      <c r="AL36" s="11"/>
      <c r="AM36" s="13"/>
      <c r="AO36" s="11"/>
      <c r="AP36" s="11"/>
      <c r="AQ36" s="11" t="s">
        <v>80</v>
      </c>
    </row>
    <row r="37" spans="1:44">
      <c r="A37" s="43"/>
      <c r="B37" s="44"/>
      <c r="C37" s="44"/>
      <c r="D37" s="44"/>
      <c r="E37" s="44"/>
      <c r="F37" s="44"/>
      <c r="G37" s="222" t="s">
        <v>72</v>
      </c>
      <c r="H37" s="222" t="s">
        <v>276</v>
      </c>
      <c r="I37" s="218" t="s">
        <v>73</v>
      </c>
      <c r="J37" s="11">
        <v>100</v>
      </c>
      <c r="K37" s="11">
        <v>500</v>
      </c>
      <c r="L37" s="13"/>
      <c r="M37" s="13">
        <v>4</v>
      </c>
      <c r="N37" s="11">
        <v>3</v>
      </c>
      <c r="O37" s="11">
        <v>10.49</v>
      </c>
      <c r="P37" s="11">
        <v>11.09</v>
      </c>
      <c r="Q37" s="14">
        <v>3</v>
      </c>
      <c r="R37" s="14">
        <v>11.25</v>
      </c>
      <c r="S37" s="222">
        <v>2</v>
      </c>
      <c r="T37" s="11">
        <v>2</v>
      </c>
      <c r="U37" s="11">
        <v>2</v>
      </c>
      <c r="V37" s="11">
        <v>2</v>
      </c>
      <c r="W37" s="11">
        <v>2</v>
      </c>
      <c r="X37" s="11">
        <v>2</v>
      </c>
      <c r="Y37" s="11">
        <v>2</v>
      </c>
      <c r="Z37" s="11">
        <v>2</v>
      </c>
      <c r="AA37" s="11">
        <v>2</v>
      </c>
      <c r="AB37" s="11">
        <v>2</v>
      </c>
      <c r="AC37" s="11">
        <v>2</v>
      </c>
      <c r="AD37" s="11">
        <v>2</v>
      </c>
      <c r="AE37" s="11">
        <v>2</v>
      </c>
      <c r="AF37" s="11">
        <v>2</v>
      </c>
      <c r="AG37" s="11">
        <v>2</v>
      </c>
      <c r="AH37" s="11">
        <v>2</v>
      </c>
      <c r="AI37" s="11">
        <v>2</v>
      </c>
      <c r="AJ37" s="11">
        <v>2</v>
      </c>
      <c r="AK37" s="11">
        <v>1</v>
      </c>
      <c r="AL37" s="11">
        <v>0</v>
      </c>
      <c r="AM37" s="13"/>
      <c r="AO37" s="11"/>
      <c r="AP37" s="11"/>
      <c r="AQ37" s="11" t="s">
        <v>81</v>
      </c>
    </row>
    <row r="38" spans="1:44">
      <c r="A38" s="43"/>
      <c r="B38" s="44"/>
      <c r="C38" s="44"/>
      <c r="D38" s="44"/>
      <c r="E38" s="44"/>
      <c r="F38" s="44"/>
      <c r="G38" s="222" t="s">
        <v>72</v>
      </c>
      <c r="H38" s="222" t="s">
        <v>276</v>
      </c>
      <c r="I38" s="218" t="s">
        <v>73</v>
      </c>
      <c r="J38" s="11">
        <v>100</v>
      </c>
      <c r="K38" s="11">
        <v>500</v>
      </c>
      <c r="L38" s="13"/>
      <c r="M38" s="13">
        <v>5</v>
      </c>
      <c r="N38" s="11">
        <v>4</v>
      </c>
      <c r="O38" s="11">
        <v>11.12</v>
      </c>
      <c r="P38" s="11">
        <v>11.4</v>
      </c>
      <c r="Q38" s="14">
        <v>4</v>
      </c>
      <c r="R38" s="14">
        <v>11.55</v>
      </c>
      <c r="S38" s="222">
        <v>1</v>
      </c>
      <c r="T38" s="11">
        <v>1</v>
      </c>
      <c r="U38" s="11">
        <v>1</v>
      </c>
      <c r="V38" s="11">
        <v>1</v>
      </c>
      <c r="W38" s="11">
        <v>1</v>
      </c>
      <c r="X38" s="11">
        <v>1</v>
      </c>
      <c r="Y38" s="11">
        <v>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11">
        <v>0</v>
      </c>
      <c r="AH38" s="11"/>
      <c r="AI38" s="11"/>
      <c r="AJ38" s="11"/>
      <c r="AK38" s="11"/>
      <c r="AL38" s="11"/>
      <c r="AM38" s="13"/>
      <c r="AO38" s="11"/>
      <c r="AP38" s="11"/>
      <c r="AQ38" s="11" t="s">
        <v>82</v>
      </c>
    </row>
    <row r="39" spans="1:44" s="311" customFormat="1" ht="15.75" thickBot="1">
      <c r="A39" s="303"/>
      <c r="B39" s="304"/>
      <c r="C39" s="304"/>
      <c r="D39" s="304"/>
      <c r="E39" s="304"/>
      <c r="F39" s="304"/>
      <c r="G39" s="305" t="s">
        <v>72</v>
      </c>
      <c r="H39" s="306" t="s">
        <v>276</v>
      </c>
      <c r="I39" s="307" t="s">
        <v>73</v>
      </c>
      <c r="J39" s="308">
        <v>100</v>
      </c>
      <c r="K39" s="308">
        <v>500</v>
      </c>
      <c r="L39" s="305"/>
      <c r="M39" s="305">
        <v>6</v>
      </c>
      <c r="N39" s="308">
        <v>5</v>
      </c>
      <c r="O39" s="308">
        <v>11.52</v>
      </c>
      <c r="P39" s="308">
        <v>12.1</v>
      </c>
      <c r="Q39" s="309">
        <v>5</v>
      </c>
      <c r="R39" s="309">
        <v>12.23</v>
      </c>
      <c r="S39" s="306">
        <v>0</v>
      </c>
      <c r="T39" s="308">
        <v>0</v>
      </c>
      <c r="U39" s="308"/>
      <c r="V39" s="308"/>
      <c r="W39" s="308"/>
      <c r="X39" s="308"/>
      <c r="Y39" s="308"/>
      <c r="Z39" s="308"/>
      <c r="AA39" s="308"/>
      <c r="AB39" s="308"/>
      <c r="AC39" s="308"/>
      <c r="AD39" s="308"/>
      <c r="AE39" s="308"/>
      <c r="AF39" s="308"/>
      <c r="AH39" s="308"/>
      <c r="AI39" s="308"/>
      <c r="AJ39" s="308"/>
      <c r="AK39" s="308"/>
      <c r="AL39" s="308"/>
      <c r="AM39" s="305"/>
      <c r="AN39" s="309"/>
      <c r="AO39" s="308"/>
      <c r="AP39" s="308"/>
      <c r="AQ39" s="308" t="s">
        <v>82</v>
      </c>
      <c r="AR39" s="303"/>
    </row>
    <row r="40" spans="1:44">
      <c r="A40" s="43">
        <v>4</v>
      </c>
      <c r="B40" s="44">
        <v>45918</v>
      </c>
      <c r="C40" s="44" t="s">
        <v>285</v>
      </c>
      <c r="D40" s="44" t="s">
        <v>854</v>
      </c>
      <c r="E40" s="44" t="s">
        <v>857</v>
      </c>
      <c r="F40" s="44" t="s">
        <v>245</v>
      </c>
      <c r="G40" s="222" t="s">
        <v>83</v>
      </c>
      <c r="H40" s="222" t="s">
        <v>246</v>
      </c>
      <c r="I40" s="218" t="s">
        <v>84</v>
      </c>
      <c r="J40" s="11">
        <v>100</v>
      </c>
      <c r="K40" s="11">
        <v>500</v>
      </c>
      <c r="L40" s="13">
        <v>60</v>
      </c>
      <c r="M40" s="13">
        <v>1</v>
      </c>
      <c r="N40" s="11">
        <v>4</v>
      </c>
      <c r="O40" s="11" t="s">
        <v>61</v>
      </c>
      <c r="P40" s="11">
        <v>10.050000000000001</v>
      </c>
      <c r="Q40" s="14">
        <v>4</v>
      </c>
      <c r="R40" s="14">
        <v>10.210000000000001</v>
      </c>
      <c r="S40" s="222">
        <v>0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R40" s="43" t="s">
        <v>247</v>
      </c>
    </row>
    <row r="41" spans="1:44">
      <c r="A41" s="43"/>
      <c r="B41" s="222"/>
      <c r="C41" s="222"/>
      <c r="D41" s="222" t="s">
        <v>292</v>
      </c>
      <c r="E41" s="222" t="s">
        <v>844</v>
      </c>
      <c r="F41" s="222"/>
      <c r="G41" s="222" t="s">
        <v>83</v>
      </c>
      <c r="H41" s="222" t="s">
        <v>246</v>
      </c>
      <c r="I41" s="218" t="s">
        <v>84</v>
      </c>
      <c r="J41" s="11">
        <v>100</v>
      </c>
      <c r="K41" s="11">
        <v>500</v>
      </c>
      <c r="L41" s="13"/>
      <c r="M41" s="13">
        <v>2</v>
      </c>
      <c r="N41" s="11">
        <v>4</v>
      </c>
      <c r="O41" s="11">
        <v>10.15</v>
      </c>
      <c r="P41" s="11">
        <v>10.31</v>
      </c>
      <c r="Q41" s="14">
        <v>4</v>
      </c>
      <c r="R41" s="14">
        <v>10.46</v>
      </c>
      <c r="S41" s="39">
        <v>3</v>
      </c>
      <c r="T41" s="40">
        <v>3</v>
      </c>
      <c r="U41" s="40">
        <v>3</v>
      </c>
      <c r="V41" s="40">
        <v>3</v>
      </c>
      <c r="W41" s="40">
        <v>3</v>
      </c>
      <c r="X41" s="40">
        <v>3</v>
      </c>
      <c r="Y41" s="40">
        <v>3</v>
      </c>
      <c r="Z41" s="40">
        <v>3</v>
      </c>
      <c r="AA41" s="40">
        <v>3</v>
      </c>
      <c r="AB41" s="40">
        <v>3</v>
      </c>
      <c r="AC41" s="40">
        <v>3</v>
      </c>
      <c r="AD41" s="40">
        <v>3</v>
      </c>
      <c r="AE41" s="40">
        <v>3</v>
      </c>
      <c r="AF41" s="40">
        <v>2</v>
      </c>
    </row>
    <row r="42" spans="1:44">
      <c r="A42" s="43"/>
      <c r="B42" s="222"/>
      <c r="C42" s="222"/>
      <c r="D42" s="222" t="s">
        <v>855</v>
      </c>
      <c r="E42" s="222" t="s">
        <v>858</v>
      </c>
      <c r="F42" s="222"/>
      <c r="G42" s="222" t="s">
        <v>83</v>
      </c>
      <c r="H42" s="222" t="s">
        <v>246</v>
      </c>
      <c r="I42" s="218" t="s">
        <v>84</v>
      </c>
      <c r="J42" s="11">
        <v>100</v>
      </c>
      <c r="K42" s="11">
        <v>500</v>
      </c>
      <c r="L42" s="13"/>
      <c r="M42" s="13">
        <v>3</v>
      </c>
      <c r="N42" s="11">
        <v>3</v>
      </c>
      <c r="O42" s="11">
        <v>10.32</v>
      </c>
      <c r="P42" s="11">
        <v>10.44</v>
      </c>
      <c r="Q42" s="14">
        <v>3</v>
      </c>
      <c r="R42" s="38">
        <v>11</v>
      </c>
      <c r="S42" s="39">
        <v>2</v>
      </c>
      <c r="T42" s="40">
        <v>2</v>
      </c>
      <c r="U42" s="40">
        <v>1</v>
      </c>
      <c r="V42" s="40">
        <v>1</v>
      </c>
      <c r="W42" s="40">
        <v>1</v>
      </c>
      <c r="X42" s="40">
        <v>1</v>
      </c>
      <c r="Y42" s="40">
        <v>1</v>
      </c>
      <c r="Z42" s="40">
        <v>1</v>
      </c>
      <c r="AA42" s="40">
        <v>1</v>
      </c>
      <c r="AB42" s="40">
        <v>1</v>
      </c>
      <c r="AC42" s="40">
        <v>1</v>
      </c>
      <c r="AD42" s="40">
        <v>1</v>
      </c>
      <c r="AE42" s="40">
        <v>1</v>
      </c>
      <c r="AF42" s="11"/>
    </row>
    <row r="43" spans="1:44">
      <c r="A43" s="43"/>
      <c r="B43" s="222"/>
      <c r="C43" s="222"/>
      <c r="D43" s="222" t="s">
        <v>856</v>
      </c>
      <c r="E43" s="222" t="s">
        <v>844</v>
      </c>
      <c r="F43" s="222"/>
      <c r="G43" s="222" t="s">
        <v>83</v>
      </c>
      <c r="H43" s="222" t="s">
        <v>246</v>
      </c>
      <c r="I43" s="218" t="s">
        <v>84</v>
      </c>
      <c r="J43" s="11">
        <v>100</v>
      </c>
      <c r="K43" s="11">
        <v>500</v>
      </c>
      <c r="L43" s="13"/>
      <c r="M43" s="13">
        <v>4</v>
      </c>
      <c r="N43" s="11">
        <v>3</v>
      </c>
      <c r="O43" s="11">
        <v>10.46</v>
      </c>
      <c r="P43" s="11">
        <v>11.03</v>
      </c>
      <c r="Q43" s="14">
        <v>3</v>
      </c>
      <c r="R43" s="38">
        <v>11.2</v>
      </c>
      <c r="S43" s="39">
        <v>2</v>
      </c>
      <c r="T43" s="40">
        <v>2</v>
      </c>
      <c r="U43" s="40">
        <v>2</v>
      </c>
      <c r="V43" s="40">
        <v>2</v>
      </c>
      <c r="W43" s="40">
        <v>2</v>
      </c>
      <c r="X43" s="40">
        <v>2</v>
      </c>
      <c r="Y43" s="40">
        <v>2</v>
      </c>
      <c r="Z43" s="40">
        <v>2</v>
      </c>
      <c r="AA43" s="40">
        <v>2</v>
      </c>
      <c r="AB43" s="40">
        <v>2</v>
      </c>
      <c r="AC43" s="40">
        <v>2</v>
      </c>
      <c r="AD43" s="40">
        <v>2</v>
      </c>
      <c r="AE43" s="40">
        <v>1</v>
      </c>
      <c r="AF43" s="11"/>
    </row>
    <row r="44" spans="1:44">
      <c r="A44" s="43"/>
      <c r="B44" s="222"/>
      <c r="C44" s="222"/>
      <c r="D44" s="222"/>
      <c r="E44" s="222" t="s">
        <v>859</v>
      </c>
      <c r="F44" s="222"/>
      <c r="G44" s="222" t="s">
        <v>83</v>
      </c>
      <c r="H44" s="222" t="s">
        <v>246</v>
      </c>
      <c r="I44" s="218" t="s">
        <v>84</v>
      </c>
      <c r="J44" s="11">
        <v>100</v>
      </c>
      <c r="K44" s="11">
        <v>500</v>
      </c>
      <c r="L44" s="13"/>
      <c r="M44" s="13">
        <v>5</v>
      </c>
      <c r="N44" s="11">
        <v>5</v>
      </c>
      <c r="O44" s="11">
        <v>11.03</v>
      </c>
      <c r="P44" s="11">
        <v>11.23</v>
      </c>
      <c r="Q44" s="14">
        <v>5</v>
      </c>
      <c r="R44" s="14">
        <v>11.37</v>
      </c>
      <c r="S44" s="39">
        <v>4</v>
      </c>
      <c r="T44" s="40">
        <v>4</v>
      </c>
      <c r="U44" s="40">
        <v>4</v>
      </c>
      <c r="V44" s="40">
        <v>4</v>
      </c>
      <c r="W44" s="40">
        <v>4</v>
      </c>
      <c r="X44" s="40">
        <v>4</v>
      </c>
      <c r="Y44" s="40">
        <v>4</v>
      </c>
      <c r="Z44" s="40">
        <v>4</v>
      </c>
      <c r="AA44" s="40">
        <v>4</v>
      </c>
      <c r="AB44" s="40">
        <v>4</v>
      </c>
      <c r="AC44" s="40">
        <v>4</v>
      </c>
      <c r="AD44" s="40">
        <v>4</v>
      </c>
      <c r="AE44" s="40">
        <v>4</v>
      </c>
      <c r="AF44" s="40">
        <v>4</v>
      </c>
    </row>
    <row r="45" spans="1:44">
      <c r="A45" s="43"/>
      <c r="B45" s="222"/>
      <c r="C45" s="222"/>
      <c r="D45" s="222"/>
      <c r="E45" s="222" t="s">
        <v>844</v>
      </c>
      <c r="F45" s="222"/>
      <c r="G45" s="222" t="s">
        <v>83</v>
      </c>
      <c r="H45" s="222" t="s">
        <v>246</v>
      </c>
      <c r="I45" s="218" t="s">
        <v>84</v>
      </c>
      <c r="J45" s="11">
        <v>100</v>
      </c>
      <c r="K45" s="11">
        <v>500</v>
      </c>
      <c r="L45" s="13"/>
      <c r="M45" s="46">
        <v>6</v>
      </c>
      <c r="N45" s="47">
        <v>3</v>
      </c>
      <c r="O45" s="47">
        <v>11.23</v>
      </c>
      <c r="P45" s="47">
        <v>11.45</v>
      </c>
      <c r="Q45" s="48">
        <v>3</v>
      </c>
      <c r="R45" s="48">
        <v>12.02</v>
      </c>
      <c r="S45" s="49">
        <v>4</v>
      </c>
      <c r="T45" s="50">
        <v>4</v>
      </c>
      <c r="U45" s="50">
        <v>3</v>
      </c>
      <c r="V45" s="50">
        <v>3</v>
      </c>
      <c r="W45" s="40">
        <v>3</v>
      </c>
      <c r="X45" s="40">
        <v>3</v>
      </c>
      <c r="Y45" s="50">
        <v>3</v>
      </c>
      <c r="Z45" s="50">
        <v>3</v>
      </c>
      <c r="AA45" s="50">
        <v>3</v>
      </c>
      <c r="AB45" s="50">
        <v>3</v>
      </c>
      <c r="AC45" s="50">
        <v>3</v>
      </c>
      <c r="AD45" s="50">
        <v>3</v>
      </c>
      <c r="AE45" s="50">
        <v>3</v>
      </c>
      <c r="AF45" s="50">
        <v>1</v>
      </c>
      <c r="AG45" s="50">
        <v>1</v>
      </c>
      <c r="AH45" s="50">
        <v>1</v>
      </c>
      <c r="AI45" s="50">
        <v>1</v>
      </c>
      <c r="AJ45" s="50">
        <v>1</v>
      </c>
      <c r="AK45" s="50">
        <v>1</v>
      </c>
      <c r="AL45" s="50">
        <v>1</v>
      </c>
      <c r="AM45" s="51">
        <v>1</v>
      </c>
      <c r="AN45" s="52">
        <v>1</v>
      </c>
      <c r="AO45" s="50">
        <v>1</v>
      </c>
      <c r="AP45" s="50">
        <v>0</v>
      </c>
      <c r="AQ45" s="256" t="s">
        <v>293</v>
      </c>
    </row>
    <row r="46" spans="1:44">
      <c r="A46" s="43"/>
      <c r="B46" s="222"/>
      <c r="C46" s="222"/>
      <c r="D46" s="222"/>
      <c r="E46" s="222" t="s">
        <v>860</v>
      </c>
      <c r="F46" s="222"/>
      <c r="G46" s="19" t="s">
        <v>83</v>
      </c>
      <c r="H46" s="18" t="s">
        <v>246</v>
      </c>
      <c r="I46" s="268" t="s">
        <v>84</v>
      </c>
      <c r="J46" s="11">
        <v>100</v>
      </c>
      <c r="K46" s="11">
        <v>500</v>
      </c>
      <c r="L46" s="19"/>
      <c r="M46" s="19">
        <v>7</v>
      </c>
      <c r="N46" s="28">
        <v>6</v>
      </c>
      <c r="O46" s="28">
        <v>11.46</v>
      </c>
      <c r="P46" s="28">
        <v>12.13</v>
      </c>
      <c r="Q46" s="20">
        <v>6</v>
      </c>
      <c r="R46" s="20">
        <v>12.29</v>
      </c>
      <c r="S46" s="63">
        <v>4</v>
      </c>
      <c r="T46" s="64">
        <v>4</v>
      </c>
      <c r="U46" s="64">
        <v>3</v>
      </c>
      <c r="V46" s="64">
        <v>3</v>
      </c>
      <c r="W46" s="64">
        <v>3</v>
      </c>
      <c r="X46" s="64">
        <v>3</v>
      </c>
      <c r="Y46" s="64">
        <v>3</v>
      </c>
      <c r="Z46" s="64">
        <v>3</v>
      </c>
      <c r="AA46" s="64">
        <v>3</v>
      </c>
      <c r="AB46" s="64">
        <v>3</v>
      </c>
      <c r="AC46" s="64">
        <v>3</v>
      </c>
      <c r="AD46" s="64">
        <v>3</v>
      </c>
      <c r="AE46" s="64">
        <v>3</v>
      </c>
      <c r="AF46" s="64">
        <v>1</v>
      </c>
      <c r="AG46" s="64">
        <v>1</v>
      </c>
      <c r="AH46" s="64">
        <v>1</v>
      </c>
      <c r="AI46" s="23"/>
      <c r="AJ46" s="23"/>
      <c r="AK46" s="23"/>
      <c r="AL46" s="23"/>
      <c r="AM46" s="53"/>
      <c r="AN46" s="20"/>
      <c r="AO46" s="23"/>
      <c r="AP46" s="23"/>
      <c r="AQ46" s="23"/>
      <c r="AR46" s="45"/>
    </row>
    <row r="47" spans="1:44">
      <c r="A47" s="43"/>
      <c r="B47" s="222"/>
      <c r="C47" s="222"/>
      <c r="D47" s="222"/>
      <c r="E47" s="222" t="s">
        <v>844</v>
      </c>
      <c r="F47" s="222"/>
      <c r="G47" s="222" t="s">
        <v>83</v>
      </c>
      <c r="H47" s="222" t="s">
        <v>246</v>
      </c>
      <c r="I47" s="217" t="s">
        <v>84</v>
      </c>
      <c r="J47" s="11">
        <v>100</v>
      </c>
      <c r="K47" s="11">
        <v>500</v>
      </c>
      <c r="L47" s="13">
        <v>86</v>
      </c>
      <c r="M47" s="13">
        <v>1</v>
      </c>
      <c r="N47" s="11">
        <v>2</v>
      </c>
      <c r="O47" s="11">
        <v>9.4499999999999993</v>
      </c>
      <c r="P47" s="11">
        <v>10.039999999999999</v>
      </c>
      <c r="Q47" s="14">
        <v>2</v>
      </c>
      <c r="R47" s="14">
        <v>10.220000000000001</v>
      </c>
      <c r="S47" s="39">
        <v>1</v>
      </c>
      <c r="T47" s="11">
        <v>1</v>
      </c>
      <c r="U47" s="11">
        <v>1</v>
      </c>
      <c r="V47" s="11">
        <v>1</v>
      </c>
      <c r="W47" s="11">
        <v>1</v>
      </c>
      <c r="X47" s="11">
        <v>1</v>
      </c>
      <c r="Y47" s="11">
        <v>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11">
        <v>0</v>
      </c>
      <c r="AH47" s="11"/>
      <c r="AI47" s="11"/>
      <c r="AJ47" s="11"/>
      <c r="AK47" s="11"/>
      <c r="AL47" s="11"/>
      <c r="AM47" s="13"/>
      <c r="AQ47" s="582" t="s">
        <v>86</v>
      </c>
      <c r="AR47" s="43" t="s">
        <v>260</v>
      </c>
    </row>
    <row r="48" spans="1:44">
      <c r="A48" s="43"/>
      <c r="B48" s="222"/>
      <c r="C48" s="222"/>
      <c r="D48" s="222"/>
      <c r="E48" s="222"/>
      <c r="F48" s="222"/>
      <c r="G48" s="222" t="s">
        <v>88</v>
      </c>
      <c r="H48" s="222" t="s">
        <v>246</v>
      </c>
      <c r="I48" s="218" t="s">
        <v>84</v>
      </c>
      <c r="J48" s="11">
        <v>100</v>
      </c>
      <c r="K48" s="11">
        <v>500</v>
      </c>
      <c r="L48" s="13"/>
      <c r="M48" s="13">
        <v>2</v>
      </c>
      <c r="N48" s="11">
        <v>2</v>
      </c>
      <c r="O48" s="11">
        <v>10.199999999999999</v>
      </c>
      <c r="P48" s="11">
        <v>10.31</v>
      </c>
      <c r="Q48" s="14">
        <v>2</v>
      </c>
      <c r="R48" s="14">
        <v>10.48</v>
      </c>
      <c r="S48" s="39">
        <v>1</v>
      </c>
      <c r="T48" s="11">
        <v>1</v>
      </c>
      <c r="U48" s="11">
        <v>1</v>
      </c>
      <c r="V48" s="11">
        <v>1</v>
      </c>
      <c r="W48" s="11">
        <v>1</v>
      </c>
      <c r="X48" s="11">
        <v>1</v>
      </c>
      <c r="Y48" s="11">
        <v>1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11">
        <v>1</v>
      </c>
      <c r="AG48" s="11">
        <v>1</v>
      </c>
      <c r="AH48" s="11">
        <v>1</v>
      </c>
      <c r="AI48" s="11">
        <v>1</v>
      </c>
      <c r="AJ48" s="11">
        <v>1</v>
      </c>
      <c r="AK48" s="11">
        <v>0</v>
      </c>
      <c r="AL48" s="11"/>
      <c r="AM48" s="13"/>
      <c r="AQ48" s="583"/>
    </row>
    <row r="49" spans="1:44">
      <c r="A49" s="43"/>
      <c r="B49" s="222"/>
      <c r="C49" s="222"/>
      <c r="D49" s="222"/>
      <c r="E49" s="222"/>
      <c r="F49" s="222"/>
      <c r="G49" s="222" t="s">
        <v>88</v>
      </c>
      <c r="H49" s="222" t="s">
        <v>246</v>
      </c>
      <c r="I49" s="218" t="s">
        <v>84</v>
      </c>
      <c r="J49" s="11">
        <v>100</v>
      </c>
      <c r="K49" s="11">
        <v>500</v>
      </c>
      <c r="L49" s="13"/>
      <c r="M49" s="13">
        <v>3</v>
      </c>
      <c r="N49" s="11">
        <v>3</v>
      </c>
      <c r="O49" s="11">
        <v>10.33</v>
      </c>
      <c r="P49" s="11">
        <v>10.45</v>
      </c>
      <c r="Q49" s="14">
        <v>3</v>
      </c>
      <c r="R49" s="14">
        <v>11.05</v>
      </c>
      <c r="S49" s="39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H49" s="11"/>
      <c r="AI49" s="11"/>
      <c r="AJ49" s="11"/>
      <c r="AK49" s="11"/>
      <c r="AL49" s="11"/>
      <c r="AM49" s="13"/>
      <c r="AQ49" s="583"/>
    </row>
    <row r="50" spans="1:44">
      <c r="A50" s="43"/>
      <c r="B50" s="222"/>
      <c r="C50" s="222"/>
      <c r="D50" s="222"/>
      <c r="E50" s="222"/>
      <c r="F50" s="222"/>
      <c r="G50" s="222" t="s">
        <v>83</v>
      </c>
      <c r="H50" s="222" t="s">
        <v>246</v>
      </c>
      <c r="I50" s="218" t="s">
        <v>84</v>
      </c>
      <c r="J50" s="11">
        <v>100</v>
      </c>
      <c r="K50" s="11">
        <v>500</v>
      </c>
      <c r="L50" s="13"/>
      <c r="M50" s="13">
        <v>4</v>
      </c>
      <c r="N50" s="11">
        <v>5</v>
      </c>
      <c r="O50" s="11">
        <v>10.49</v>
      </c>
      <c r="P50" s="11">
        <v>10.56</v>
      </c>
      <c r="Q50" s="14">
        <v>5</v>
      </c>
      <c r="R50" s="14">
        <v>11.09</v>
      </c>
      <c r="S50" s="39">
        <v>1</v>
      </c>
      <c r="T50" s="11">
        <v>1</v>
      </c>
      <c r="U50" s="11">
        <v>0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H50" s="11"/>
      <c r="AI50" s="11"/>
      <c r="AJ50" s="11"/>
      <c r="AK50" s="11"/>
      <c r="AL50" s="11"/>
      <c r="AM50" s="13"/>
      <c r="AQ50" s="583"/>
    </row>
    <row r="51" spans="1:44">
      <c r="A51" s="43"/>
      <c r="B51" s="222"/>
      <c r="C51" s="222"/>
      <c r="D51" s="222"/>
      <c r="E51" s="222"/>
      <c r="F51" s="222"/>
      <c r="G51" s="222" t="s">
        <v>83</v>
      </c>
      <c r="H51" s="222" t="s">
        <v>246</v>
      </c>
      <c r="I51" s="218" t="s">
        <v>84</v>
      </c>
      <c r="J51" s="11">
        <v>100</v>
      </c>
      <c r="K51" s="11">
        <v>500</v>
      </c>
      <c r="L51" s="13"/>
      <c r="M51" s="13">
        <v>5</v>
      </c>
      <c r="N51" s="11">
        <v>6</v>
      </c>
      <c r="O51" s="11">
        <v>11.02</v>
      </c>
      <c r="P51" s="11">
        <v>11.19</v>
      </c>
      <c r="Q51" s="14">
        <v>6</v>
      </c>
      <c r="R51" s="14">
        <v>11.39</v>
      </c>
      <c r="S51" s="39">
        <v>2</v>
      </c>
      <c r="T51" s="11">
        <v>2</v>
      </c>
      <c r="U51" s="11">
        <v>1</v>
      </c>
      <c r="V51" s="11">
        <v>1</v>
      </c>
      <c r="W51" s="11">
        <v>1</v>
      </c>
      <c r="X51" s="11">
        <v>1</v>
      </c>
      <c r="Y51" s="11">
        <v>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11">
        <v>1</v>
      </c>
      <c r="AG51" s="11">
        <v>1</v>
      </c>
      <c r="AH51" s="11">
        <v>1</v>
      </c>
      <c r="AI51" s="11">
        <v>1</v>
      </c>
      <c r="AJ51" s="11">
        <v>1</v>
      </c>
      <c r="AK51" s="11">
        <v>0</v>
      </c>
      <c r="AL51" s="11"/>
      <c r="AM51" s="13"/>
      <c r="AQ51" s="583"/>
    </row>
    <row r="52" spans="1:44">
      <c r="A52" s="43"/>
      <c r="B52" s="222"/>
      <c r="C52" s="222"/>
      <c r="D52" s="222"/>
      <c r="E52" s="222"/>
      <c r="F52" s="222"/>
      <c r="G52" s="222" t="s">
        <v>83</v>
      </c>
      <c r="H52" s="222" t="s">
        <v>246</v>
      </c>
      <c r="I52" s="218" t="s">
        <v>84</v>
      </c>
      <c r="J52" s="11">
        <v>100</v>
      </c>
      <c r="K52" s="11">
        <v>500</v>
      </c>
      <c r="L52" s="13"/>
      <c r="M52" s="13">
        <v>6</v>
      </c>
      <c r="N52" s="11">
        <v>3</v>
      </c>
      <c r="O52" s="11">
        <v>11.21</v>
      </c>
      <c r="P52" s="11">
        <v>11.48</v>
      </c>
      <c r="Q52" s="14">
        <v>3</v>
      </c>
      <c r="R52" s="14">
        <v>12.05</v>
      </c>
      <c r="S52" s="39">
        <v>2</v>
      </c>
      <c r="T52" s="11">
        <v>2</v>
      </c>
      <c r="U52" s="11">
        <v>2</v>
      </c>
      <c r="V52" s="11">
        <v>1</v>
      </c>
      <c r="W52" s="11">
        <v>1</v>
      </c>
      <c r="X52" s="11">
        <v>1</v>
      </c>
      <c r="Y52" s="11">
        <v>1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0</v>
      </c>
      <c r="AF52" s="11"/>
      <c r="AH52" s="11"/>
      <c r="AI52" s="11"/>
      <c r="AJ52" s="11"/>
      <c r="AK52" s="11"/>
      <c r="AL52" s="11"/>
      <c r="AM52" s="13"/>
      <c r="AQ52" s="583"/>
    </row>
    <row r="53" spans="1:44" s="311" customFormat="1" ht="15.75" thickBot="1">
      <c r="A53" s="303"/>
      <c r="B53" s="306"/>
      <c r="C53" s="306"/>
      <c r="D53" s="306"/>
      <c r="E53" s="306"/>
      <c r="F53" s="306"/>
      <c r="G53" s="305" t="s">
        <v>83</v>
      </c>
      <c r="H53" s="306" t="s">
        <v>246</v>
      </c>
      <c r="I53" s="307" t="s">
        <v>84</v>
      </c>
      <c r="J53" s="308">
        <v>100</v>
      </c>
      <c r="K53" s="308">
        <v>500</v>
      </c>
      <c r="L53" s="305"/>
      <c r="M53" s="305">
        <v>7</v>
      </c>
      <c r="N53" s="308">
        <v>7</v>
      </c>
      <c r="O53" s="308">
        <v>11.51</v>
      </c>
      <c r="P53" s="308">
        <v>12.19</v>
      </c>
      <c r="Q53" s="309">
        <v>7</v>
      </c>
      <c r="R53" s="309">
        <v>12.35</v>
      </c>
      <c r="S53" s="315">
        <v>2</v>
      </c>
      <c r="T53" s="308">
        <v>2</v>
      </c>
      <c r="U53" s="308">
        <v>1</v>
      </c>
      <c r="V53" s="308">
        <v>1</v>
      </c>
      <c r="W53" s="308">
        <v>1</v>
      </c>
      <c r="X53" s="308">
        <v>1</v>
      </c>
      <c r="Y53" s="308">
        <v>1</v>
      </c>
      <c r="Z53" s="308">
        <v>1</v>
      </c>
      <c r="AA53" s="308">
        <v>1</v>
      </c>
      <c r="AB53" s="308">
        <v>1</v>
      </c>
      <c r="AC53" s="308">
        <v>1</v>
      </c>
      <c r="AD53" s="308">
        <v>1</v>
      </c>
      <c r="AE53" s="308">
        <v>1</v>
      </c>
      <c r="AF53" s="308">
        <v>1</v>
      </c>
      <c r="AG53" s="308">
        <v>0</v>
      </c>
      <c r="AH53" s="308"/>
      <c r="AI53" s="308"/>
      <c r="AJ53" s="308"/>
      <c r="AK53" s="308"/>
      <c r="AL53" s="308"/>
      <c r="AM53" s="305"/>
      <c r="AN53" s="309"/>
      <c r="AQ53" s="584"/>
      <c r="AR53" s="303"/>
    </row>
    <row r="54" spans="1:44">
      <c r="A54" s="43">
        <v>5</v>
      </c>
      <c r="B54" s="44">
        <v>45923</v>
      </c>
      <c r="C54" s="44" t="s">
        <v>285</v>
      </c>
      <c r="D54" s="44" t="s">
        <v>861</v>
      </c>
      <c r="E54" s="44" t="s">
        <v>862</v>
      </c>
      <c r="F54" s="44" t="s">
        <v>294</v>
      </c>
      <c r="G54" s="222" t="s">
        <v>92</v>
      </c>
      <c r="H54" s="222" t="s">
        <v>274</v>
      </c>
      <c r="I54" s="218" t="s">
        <v>93</v>
      </c>
      <c r="J54" s="11">
        <v>100</v>
      </c>
      <c r="K54" s="11">
        <v>500</v>
      </c>
      <c r="L54" s="13">
        <v>60</v>
      </c>
      <c r="M54" s="13">
        <v>1</v>
      </c>
      <c r="N54" s="11" t="s">
        <v>198</v>
      </c>
      <c r="O54" s="11">
        <v>10.050000000000001</v>
      </c>
      <c r="P54" s="11">
        <v>10.220000000000001</v>
      </c>
      <c r="Q54" s="14" t="s">
        <v>198</v>
      </c>
      <c r="R54" s="14">
        <v>10.39</v>
      </c>
      <c r="S54" s="39">
        <v>4</v>
      </c>
      <c r="T54" s="40">
        <v>4</v>
      </c>
      <c r="U54" s="40">
        <v>4</v>
      </c>
      <c r="V54" s="40">
        <v>4</v>
      </c>
      <c r="W54" s="40">
        <v>4</v>
      </c>
      <c r="X54" s="40">
        <v>4</v>
      </c>
      <c r="Y54" s="40">
        <v>4</v>
      </c>
      <c r="Z54" s="40">
        <v>4</v>
      </c>
      <c r="AA54" s="40">
        <v>4</v>
      </c>
      <c r="AB54" s="40">
        <v>4</v>
      </c>
      <c r="AC54" s="40">
        <v>4</v>
      </c>
      <c r="AD54" s="40">
        <v>2</v>
      </c>
      <c r="AE54" s="11">
        <v>0</v>
      </c>
      <c r="AR54" s="43" t="s">
        <v>247</v>
      </c>
    </row>
    <row r="55" spans="1:44">
      <c r="A55" s="43"/>
      <c r="B55" s="222"/>
      <c r="C55" s="222"/>
      <c r="D55" s="222" t="s">
        <v>295</v>
      </c>
      <c r="E55" s="222" t="s">
        <v>844</v>
      </c>
      <c r="F55" s="222"/>
      <c r="G55" s="222" t="s">
        <v>92</v>
      </c>
      <c r="H55" s="222" t="s">
        <v>274</v>
      </c>
      <c r="I55" s="218" t="s">
        <v>93</v>
      </c>
      <c r="J55" s="11">
        <v>100</v>
      </c>
      <c r="K55" s="11">
        <v>500</v>
      </c>
      <c r="L55" s="13"/>
      <c r="M55" s="13">
        <v>2</v>
      </c>
      <c r="N55" s="11" t="s">
        <v>199</v>
      </c>
      <c r="O55" s="11">
        <v>10.24</v>
      </c>
      <c r="P55" s="11">
        <v>10.38</v>
      </c>
      <c r="Q55" s="14" t="s">
        <v>199</v>
      </c>
      <c r="R55" s="14">
        <v>10.57</v>
      </c>
      <c r="S55" s="39">
        <v>2</v>
      </c>
      <c r="T55" s="40">
        <v>2</v>
      </c>
      <c r="U55" s="40">
        <v>2</v>
      </c>
      <c r="V55" s="40">
        <v>2</v>
      </c>
      <c r="W55" s="40">
        <v>2</v>
      </c>
      <c r="X55" s="40">
        <v>2</v>
      </c>
      <c r="Y55" s="40">
        <v>2</v>
      </c>
      <c r="Z55" s="40">
        <v>2</v>
      </c>
      <c r="AA55" s="40">
        <v>2</v>
      </c>
      <c r="AB55" s="40">
        <v>2</v>
      </c>
      <c r="AC55" s="40">
        <v>2</v>
      </c>
      <c r="AD55" s="40">
        <v>2</v>
      </c>
      <c r="AE55" s="40">
        <v>1</v>
      </c>
      <c r="AF55" s="11">
        <v>0</v>
      </c>
    </row>
    <row r="56" spans="1:44">
      <c r="A56" s="43"/>
      <c r="B56" s="222"/>
      <c r="C56" s="222"/>
      <c r="D56" s="222"/>
      <c r="E56" s="222" t="s">
        <v>863</v>
      </c>
      <c r="F56" s="222"/>
      <c r="G56" s="222" t="s">
        <v>92</v>
      </c>
      <c r="H56" s="222" t="s">
        <v>274</v>
      </c>
      <c r="I56" s="218" t="s">
        <v>93</v>
      </c>
      <c r="J56" s="11">
        <v>100</v>
      </c>
      <c r="K56" s="11">
        <v>500</v>
      </c>
      <c r="L56" s="13"/>
      <c r="M56" s="13">
        <v>3</v>
      </c>
      <c r="N56" s="11" t="s">
        <v>200</v>
      </c>
      <c r="O56" s="11">
        <v>10.45</v>
      </c>
      <c r="P56" s="11">
        <v>10.58</v>
      </c>
      <c r="Q56" s="14" t="s">
        <v>200</v>
      </c>
      <c r="R56" s="14">
        <v>11.14</v>
      </c>
      <c r="S56" s="39">
        <v>2</v>
      </c>
      <c r="T56" s="40">
        <v>2</v>
      </c>
      <c r="U56" s="40">
        <v>2</v>
      </c>
      <c r="V56" s="40">
        <v>2</v>
      </c>
      <c r="W56" s="40">
        <v>2</v>
      </c>
      <c r="X56" s="40">
        <v>2</v>
      </c>
      <c r="Y56" s="40">
        <v>2</v>
      </c>
      <c r="Z56" s="40">
        <v>2</v>
      </c>
      <c r="AA56" s="40">
        <v>2</v>
      </c>
      <c r="AB56" s="40">
        <v>2</v>
      </c>
      <c r="AC56" s="40">
        <v>2</v>
      </c>
      <c r="AD56" s="40">
        <v>1</v>
      </c>
      <c r="AE56" s="40">
        <v>1</v>
      </c>
      <c r="AF56" s="11">
        <v>0</v>
      </c>
    </row>
    <row r="57" spans="1:44">
      <c r="A57" s="43"/>
      <c r="B57" s="222"/>
      <c r="C57" s="222"/>
      <c r="D57" s="222"/>
      <c r="E57" s="222" t="s">
        <v>844</v>
      </c>
      <c r="F57" s="222"/>
      <c r="G57" s="222" t="s">
        <v>92</v>
      </c>
      <c r="H57" s="222" t="s">
        <v>274</v>
      </c>
      <c r="I57" s="218" t="s">
        <v>93</v>
      </c>
      <c r="J57" s="11">
        <v>100</v>
      </c>
      <c r="K57" s="11">
        <v>500</v>
      </c>
      <c r="L57" s="13"/>
      <c r="M57" s="13">
        <v>4</v>
      </c>
      <c r="N57" s="11" t="s">
        <v>200</v>
      </c>
      <c r="O57" s="21">
        <v>11</v>
      </c>
      <c r="P57" s="11">
        <v>11.17</v>
      </c>
      <c r="Q57" s="14" t="s">
        <v>200</v>
      </c>
      <c r="R57" s="14">
        <v>11.33</v>
      </c>
      <c r="S57" s="39">
        <v>2</v>
      </c>
      <c r="T57" s="40">
        <v>1</v>
      </c>
      <c r="U57" s="40">
        <v>1</v>
      </c>
      <c r="V57" s="40">
        <v>1</v>
      </c>
      <c r="W57" s="40">
        <v>1</v>
      </c>
      <c r="X57" s="40">
        <v>1</v>
      </c>
      <c r="Y57" s="40">
        <v>1</v>
      </c>
      <c r="Z57" s="40">
        <v>1</v>
      </c>
      <c r="AA57" s="40">
        <v>1</v>
      </c>
      <c r="AB57" s="40">
        <v>1</v>
      </c>
      <c r="AC57" s="40">
        <v>1</v>
      </c>
      <c r="AD57" s="40">
        <v>1</v>
      </c>
      <c r="AE57" s="40">
        <v>1</v>
      </c>
      <c r="AF57" s="11">
        <v>0</v>
      </c>
    </row>
    <row r="58" spans="1:44">
      <c r="A58" s="43"/>
      <c r="B58" s="222"/>
      <c r="C58" s="222"/>
      <c r="D58" s="222"/>
      <c r="E58" s="222"/>
      <c r="F58" s="222"/>
      <c r="G58" s="222" t="s">
        <v>92</v>
      </c>
      <c r="H58" s="222" t="s">
        <v>274</v>
      </c>
      <c r="I58" s="218" t="s">
        <v>93</v>
      </c>
      <c r="J58" s="11">
        <v>100</v>
      </c>
      <c r="K58" s="11">
        <v>500</v>
      </c>
      <c r="L58" s="13"/>
      <c r="M58" s="13">
        <v>5</v>
      </c>
      <c r="N58" s="11" t="s">
        <v>200</v>
      </c>
      <c r="O58" s="11" t="s">
        <v>61</v>
      </c>
      <c r="P58" s="21">
        <v>11.4</v>
      </c>
      <c r="Q58" s="14" t="s">
        <v>200</v>
      </c>
      <c r="R58" s="14">
        <v>11.58</v>
      </c>
      <c r="S58" s="39">
        <v>2</v>
      </c>
      <c r="T58" s="40">
        <v>2</v>
      </c>
      <c r="U58" s="40">
        <v>2</v>
      </c>
      <c r="V58" s="40">
        <v>2</v>
      </c>
      <c r="W58" s="40">
        <v>2</v>
      </c>
      <c r="X58" s="40">
        <v>2</v>
      </c>
      <c r="Y58" s="40">
        <v>2</v>
      </c>
      <c r="Z58" s="40">
        <v>2</v>
      </c>
      <c r="AA58" s="40">
        <v>2</v>
      </c>
      <c r="AB58" s="40">
        <v>2</v>
      </c>
      <c r="AC58" s="40">
        <v>2</v>
      </c>
      <c r="AD58" s="40">
        <v>2</v>
      </c>
      <c r="AE58" s="11">
        <v>0</v>
      </c>
    </row>
    <row r="59" spans="1:44">
      <c r="A59" s="43"/>
      <c r="B59" s="222"/>
      <c r="C59" s="222"/>
      <c r="D59" s="222"/>
      <c r="E59" s="222"/>
      <c r="F59" s="222"/>
      <c r="G59" s="222" t="s">
        <v>92</v>
      </c>
      <c r="H59" s="222" t="s">
        <v>274</v>
      </c>
      <c r="I59" s="218" t="s">
        <v>93</v>
      </c>
      <c r="J59" s="11">
        <v>100</v>
      </c>
      <c r="K59" s="11">
        <v>500</v>
      </c>
      <c r="L59" s="13"/>
      <c r="M59" s="13">
        <v>6</v>
      </c>
      <c r="N59" s="11" t="s">
        <v>56</v>
      </c>
      <c r="O59" s="11">
        <v>11.41</v>
      </c>
      <c r="P59" s="11">
        <v>11.52</v>
      </c>
      <c r="Q59" s="14" t="s">
        <v>56</v>
      </c>
      <c r="R59" s="14">
        <v>12.06</v>
      </c>
      <c r="S59" s="39">
        <v>1</v>
      </c>
      <c r="T59" s="40">
        <v>1</v>
      </c>
      <c r="U59" s="40">
        <v>1</v>
      </c>
      <c r="V59" s="40">
        <v>1</v>
      </c>
      <c r="W59" s="40">
        <v>1</v>
      </c>
      <c r="X59" s="40">
        <v>1</v>
      </c>
      <c r="Y59" s="40">
        <v>1</v>
      </c>
      <c r="Z59" s="40">
        <v>1</v>
      </c>
      <c r="AA59" s="40">
        <v>1</v>
      </c>
      <c r="AB59" s="40">
        <v>1</v>
      </c>
      <c r="AC59" s="40">
        <v>1</v>
      </c>
      <c r="AD59" s="40">
        <v>1</v>
      </c>
      <c r="AE59" s="40">
        <v>1</v>
      </c>
      <c r="AF59" s="11">
        <v>0</v>
      </c>
    </row>
    <row r="60" spans="1:44">
      <c r="A60" s="43"/>
      <c r="B60" s="222"/>
      <c r="C60" s="222"/>
      <c r="D60" s="222"/>
      <c r="E60" s="222"/>
      <c r="F60" s="222"/>
      <c r="G60" s="222" t="s">
        <v>92</v>
      </c>
      <c r="H60" s="222" t="s">
        <v>274</v>
      </c>
      <c r="I60" s="218" t="s">
        <v>93</v>
      </c>
      <c r="J60" s="11">
        <v>100</v>
      </c>
      <c r="K60" s="11">
        <v>500</v>
      </c>
      <c r="L60" s="13"/>
      <c r="M60" s="13">
        <v>7</v>
      </c>
      <c r="N60" s="11" t="s">
        <v>199</v>
      </c>
      <c r="O60" s="11">
        <v>12.04</v>
      </c>
      <c r="P60" s="11">
        <v>12.21</v>
      </c>
      <c r="Q60" s="14" t="s">
        <v>199</v>
      </c>
      <c r="R60" s="14">
        <v>12.35</v>
      </c>
      <c r="S60" s="39">
        <v>3</v>
      </c>
      <c r="T60" s="40">
        <v>2</v>
      </c>
      <c r="U60" s="40">
        <v>2</v>
      </c>
      <c r="V60" s="11">
        <v>0</v>
      </c>
      <c r="W60" s="40"/>
      <c r="X60" s="40"/>
      <c r="Y60" s="40"/>
      <c r="Z60" s="40"/>
      <c r="AA60" s="40"/>
      <c r="AB60" s="40"/>
      <c r="AC60" s="40"/>
      <c r="AD60" s="40"/>
      <c r="AE60" s="40"/>
    </row>
    <row r="61" spans="1:44">
      <c r="A61" s="65"/>
      <c r="B61" s="66"/>
      <c r="C61" s="66"/>
      <c r="D61" s="66"/>
      <c r="E61" s="66"/>
      <c r="F61" s="66"/>
      <c r="G61" s="66" t="s">
        <v>92</v>
      </c>
      <c r="H61" s="222" t="s">
        <v>274</v>
      </c>
      <c r="I61" s="218" t="s">
        <v>93</v>
      </c>
      <c r="J61" s="11">
        <v>100</v>
      </c>
      <c r="K61" s="11">
        <v>500</v>
      </c>
      <c r="L61" s="67"/>
      <c r="M61" s="67" t="s">
        <v>102</v>
      </c>
      <c r="N61" s="68">
        <v>3</v>
      </c>
      <c r="O61" s="68" t="s">
        <v>61</v>
      </c>
      <c r="P61" s="68" t="s">
        <v>61</v>
      </c>
      <c r="Q61" s="69">
        <v>3</v>
      </c>
      <c r="R61" s="69">
        <v>10.55</v>
      </c>
      <c r="S61" s="66">
        <v>2</v>
      </c>
      <c r="T61" s="68">
        <v>2</v>
      </c>
      <c r="U61" s="68">
        <v>2</v>
      </c>
      <c r="V61" s="68">
        <v>2</v>
      </c>
      <c r="W61" s="68">
        <v>2</v>
      </c>
      <c r="X61" s="68">
        <v>2</v>
      </c>
      <c r="Y61" s="68">
        <v>2</v>
      </c>
      <c r="Z61" s="68">
        <v>2</v>
      </c>
      <c r="AA61" s="68">
        <v>2</v>
      </c>
      <c r="AB61" s="68">
        <v>1</v>
      </c>
      <c r="AC61" s="68">
        <v>1</v>
      </c>
      <c r="AD61" s="68">
        <v>1</v>
      </c>
      <c r="AE61" s="68">
        <v>1</v>
      </c>
      <c r="AF61" s="11">
        <v>0</v>
      </c>
      <c r="AG61" s="24"/>
      <c r="AH61" s="24"/>
      <c r="AI61" s="24"/>
      <c r="AJ61" s="24"/>
      <c r="AK61" s="24"/>
      <c r="AL61" s="24"/>
      <c r="AM61" s="70"/>
      <c r="AN61" s="69"/>
      <c r="AO61" s="24"/>
      <c r="AP61" s="24"/>
      <c r="AQ61" s="24"/>
    </row>
    <row r="62" spans="1:44">
      <c r="A62" s="65"/>
      <c r="B62" s="66"/>
      <c r="C62" s="66"/>
      <c r="D62" s="66"/>
      <c r="E62" s="66"/>
      <c r="F62" s="66"/>
      <c r="G62" s="66" t="s">
        <v>92</v>
      </c>
      <c r="H62" s="222" t="s">
        <v>274</v>
      </c>
      <c r="I62" s="218" t="s">
        <v>93</v>
      </c>
      <c r="J62" s="11">
        <v>100</v>
      </c>
      <c r="K62" s="11">
        <v>500</v>
      </c>
      <c r="L62" s="67"/>
      <c r="M62" s="71" t="s">
        <v>103</v>
      </c>
      <c r="N62" s="73">
        <v>2</v>
      </c>
      <c r="O62" s="73" t="s">
        <v>61</v>
      </c>
      <c r="P62" s="73" t="s">
        <v>61</v>
      </c>
      <c r="Q62" s="74">
        <v>2</v>
      </c>
      <c r="R62" s="74">
        <v>11.11</v>
      </c>
      <c r="S62" s="72">
        <v>2</v>
      </c>
      <c r="T62" s="73">
        <v>2</v>
      </c>
      <c r="U62" s="73">
        <v>2</v>
      </c>
      <c r="V62" s="73">
        <v>2</v>
      </c>
      <c r="W62" s="68">
        <v>2</v>
      </c>
      <c r="X62" s="68">
        <v>2</v>
      </c>
      <c r="Y62" s="73">
        <v>2</v>
      </c>
      <c r="Z62" s="73">
        <v>2</v>
      </c>
      <c r="AA62" s="73">
        <v>2</v>
      </c>
      <c r="AB62" s="73">
        <v>2</v>
      </c>
      <c r="AC62" s="73">
        <v>2</v>
      </c>
      <c r="AD62" s="73">
        <v>2</v>
      </c>
      <c r="AE62" s="73">
        <v>2</v>
      </c>
      <c r="AF62" s="73">
        <v>1</v>
      </c>
      <c r="AG62" s="73">
        <v>1</v>
      </c>
      <c r="AH62" s="73">
        <v>1</v>
      </c>
      <c r="AI62" s="73">
        <v>1</v>
      </c>
      <c r="AJ62" s="73">
        <v>1</v>
      </c>
      <c r="AK62" s="73">
        <v>1</v>
      </c>
      <c r="AL62" s="73">
        <v>1</v>
      </c>
      <c r="AM62" s="71">
        <v>1</v>
      </c>
      <c r="AN62" s="74">
        <v>1</v>
      </c>
      <c r="AO62" s="73">
        <v>1</v>
      </c>
      <c r="AP62" s="73">
        <v>0</v>
      </c>
      <c r="AQ62" s="258" t="s">
        <v>296</v>
      </c>
    </row>
    <row r="63" spans="1:44">
      <c r="A63" s="65"/>
      <c r="B63" s="66"/>
      <c r="C63" s="66"/>
      <c r="D63" s="66"/>
      <c r="E63" s="66"/>
      <c r="F63" s="66"/>
      <c r="G63" s="66" t="s">
        <v>92</v>
      </c>
      <c r="H63" s="222" t="s">
        <v>274</v>
      </c>
      <c r="I63" s="218" t="s">
        <v>93</v>
      </c>
      <c r="J63" s="11">
        <v>100</v>
      </c>
      <c r="K63" s="11">
        <v>500</v>
      </c>
      <c r="L63" s="67"/>
      <c r="M63" s="67" t="s">
        <v>104</v>
      </c>
      <c r="N63" s="68">
        <v>3</v>
      </c>
      <c r="O63" s="68" t="s">
        <v>61</v>
      </c>
      <c r="P63" s="68" t="s">
        <v>61</v>
      </c>
      <c r="Q63" s="69">
        <v>3</v>
      </c>
      <c r="R63" s="69">
        <v>11.36</v>
      </c>
      <c r="S63" s="66">
        <v>3</v>
      </c>
      <c r="T63" s="68">
        <v>1</v>
      </c>
      <c r="U63" s="68">
        <v>1</v>
      </c>
      <c r="V63" s="68">
        <v>1</v>
      </c>
      <c r="W63" s="68">
        <v>1</v>
      </c>
      <c r="X63" s="68">
        <v>1</v>
      </c>
      <c r="Y63" s="68">
        <v>1</v>
      </c>
      <c r="Z63" s="68">
        <v>1</v>
      </c>
      <c r="AA63" s="68">
        <v>1</v>
      </c>
      <c r="AB63" s="11">
        <v>0</v>
      </c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70"/>
      <c r="AN63" s="69"/>
      <c r="AO63" s="24"/>
      <c r="AP63" s="24"/>
      <c r="AQ63" s="24"/>
    </row>
    <row r="64" spans="1:44">
      <c r="A64" s="65"/>
      <c r="B64" s="66"/>
      <c r="C64" s="66"/>
      <c r="D64" s="66"/>
      <c r="E64" s="66"/>
      <c r="F64" s="66"/>
      <c r="G64" s="66" t="s">
        <v>92</v>
      </c>
      <c r="H64" s="222" t="s">
        <v>274</v>
      </c>
      <c r="I64" s="218" t="s">
        <v>93</v>
      </c>
      <c r="J64" s="11">
        <v>100</v>
      </c>
      <c r="K64" s="11">
        <v>500</v>
      </c>
      <c r="L64" s="67"/>
      <c r="M64" s="67" t="s">
        <v>105</v>
      </c>
      <c r="N64" s="68">
        <v>3</v>
      </c>
      <c r="O64" s="68" t="s">
        <v>61</v>
      </c>
      <c r="P64" s="68" t="s">
        <v>61</v>
      </c>
      <c r="Q64" s="69">
        <v>3</v>
      </c>
      <c r="R64" s="243">
        <v>12.1</v>
      </c>
      <c r="S64" s="66">
        <v>2</v>
      </c>
      <c r="T64" s="68">
        <v>2</v>
      </c>
      <c r="U64" s="68">
        <v>2</v>
      </c>
      <c r="V64" s="68">
        <v>2</v>
      </c>
      <c r="W64" s="68">
        <v>2</v>
      </c>
      <c r="X64" s="68">
        <v>2</v>
      </c>
      <c r="Y64" s="68">
        <v>2</v>
      </c>
      <c r="Z64" s="68">
        <v>2</v>
      </c>
      <c r="AA64" s="68">
        <v>2</v>
      </c>
      <c r="AB64" s="68">
        <v>2</v>
      </c>
      <c r="AC64" s="68">
        <v>2</v>
      </c>
      <c r="AD64" s="68">
        <v>1</v>
      </c>
      <c r="AE64" s="11">
        <v>0</v>
      </c>
      <c r="AF64" s="24"/>
      <c r="AG64" s="24"/>
      <c r="AH64" s="24"/>
      <c r="AI64" s="24"/>
      <c r="AJ64" s="24"/>
      <c r="AK64" s="24"/>
      <c r="AL64" s="24"/>
      <c r="AM64" s="70"/>
      <c r="AN64" s="69"/>
      <c r="AO64" s="24"/>
      <c r="AP64" s="24"/>
      <c r="AQ64" s="24"/>
    </row>
    <row r="65" spans="1:44">
      <c r="A65" s="65"/>
      <c r="B65" s="66"/>
      <c r="C65" s="66"/>
      <c r="D65" s="66"/>
      <c r="E65" s="66"/>
      <c r="F65" s="66"/>
      <c r="G65" s="75" t="s">
        <v>92</v>
      </c>
      <c r="H65" s="18" t="s">
        <v>274</v>
      </c>
      <c r="I65" s="268" t="s">
        <v>93</v>
      </c>
      <c r="J65" s="28">
        <v>100</v>
      </c>
      <c r="K65" s="28">
        <v>500</v>
      </c>
      <c r="L65" s="75"/>
      <c r="M65" s="75" t="s">
        <v>106</v>
      </c>
      <c r="N65" s="77">
        <v>3</v>
      </c>
      <c r="O65" s="77" t="s">
        <v>61</v>
      </c>
      <c r="P65" s="77" t="s">
        <v>61</v>
      </c>
      <c r="Q65" s="78">
        <v>3</v>
      </c>
      <c r="R65" s="78">
        <v>12.28</v>
      </c>
      <c r="S65" s="76">
        <v>2</v>
      </c>
      <c r="T65" s="77">
        <v>2</v>
      </c>
      <c r="U65" s="77">
        <v>2</v>
      </c>
      <c r="V65" s="77">
        <v>2</v>
      </c>
      <c r="W65" s="77">
        <v>2</v>
      </c>
      <c r="X65" s="77">
        <v>2</v>
      </c>
      <c r="Y65" s="77">
        <v>2</v>
      </c>
      <c r="Z65" s="77">
        <v>2</v>
      </c>
      <c r="AA65" s="77">
        <v>2</v>
      </c>
      <c r="AB65" s="77">
        <v>2</v>
      </c>
      <c r="AC65" s="77">
        <v>2</v>
      </c>
      <c r="AD65" s="77">
        <v>2</v>
      </c>
      <c r="AE65" s="77">
        <v>2</v>
      </c>
      <c r="AF65" s="11">
        <v>0</v>
      </c>
      <c r="AG65" s="25"/>
      <c r="AH65" s="25"/>
      <c r="AI65" s="25"/>
      <c r="AJ65" s="25"/>
      <c r="AK65" s="25"/>
      <c r="AL65" s="25"/>
      <c r="AM65" s="79"/>
      <c r="AN65" s="78"/>
      <c r="AO65" s="25"/>
      <c r="AP65" s="25"/>
      <c r="AQ65" s="25"/>
      <c r="AR65" s="45"/>
    </row>
    <row r="66" spans="1:44">
      <c r="A66" s="65"/>
      <c r="B66" s="66"/>
      <c r="C66" s="66"/>
      <c r="D66" s="66"/>
      <c r="E66" s="66"/>
      <c r="F66" s="66"/>
      <c r="G66" s="222" t="s">
        <v>92</v>
      </c>
      <c r="H66" s="222" t="s">
        <v>274</v>
      </c>
      <c r="I66" s="217" t="s">
        <v>93</v>
      </c>
      <c r="J66" s="11">
        <v>100</v>
      </c>
      <c r="K66" s="11">
        <v>500</v>
      </c>
      <c r="L66" s="13">
        <v>91</v>
      </c>
      <c r="M66" s="13">
        <v>1</v>
      </c>
      <c r="N66" s="11">
        <v>3</v>
      </c>
      <c r="O66" s="11">
        <v>10.02</v>
      </c>
      <c r="P66" s="11">
        <v>10.16</v>
      </c>
      <c r="Q66" s="14">
        <v>3</v>
      </c>
      <c r="R66" s="14">
        <v>10.33</v>
      </c>
      <c r="S66" s="66">
        <v>0</v>
      </c>
      <c r="T66" s="11"/>
      <c r="AO66" s="24"/>
      <c r="AP66" s="24"/>
      <c r="AQ66" s="24"/>
      <c r="AR66" s="43" t="s">
        <v>260</v>
      </c>
    </row>
    <row r="67" spans="1:44">
      <c r="A67" s="65"/>
      <c r="B67" s="66"/>
      <c r="C67" s="66"/>
      <c r="D67" s="66"/>
      <c r="E67" s="66"/>
      <c r="F67" s="66"/>
      <c r="G67" s="222" t="s">
        <v>92</v>
      </c>
      <c r="H67" s="222" t="s">
        <v>274</v>
      </c>
      <c r="I67" s="218" t="s">
        <v>93</v>
      </c>
      <c r="J67" s="11">
        <v>100</v>
      </c>
      <c r="K67" s="11">
        <v>500</v>
      </c>
      <c r="L67" s="13"/>
      <c r="M67" s="13">
        <v>2</v>
      </c>
      <c r="N67" s="11">
        <v>3</v>
      </c>
      <c r="O67" s="11">
        <v>10.27</v>
      </c>
      <c r="P67" s="11">
        <v>10.37</v>
      </c>
      <c r="Q67" s="14">
        <v>3</v>
      </c>
      <c r="R67" s="14">
        <v>10.56</v>
      </c>
      <c r="S67" s="66">
        <v>2</v>
      </c>
      <c r="T67" s="11">
        <v>2</v>
      </c>
      <c r="U67" s="11">
        <v>2</v>
      </c>
      <c r="V67" s="11">
        <v>2</v>
      </c>
      <c r="W67" s="11">
        <v>2</v>
      </c>
      <c r="X67" s="11">
        <v>2</v>
      </c>
      <c r="Y67" s="11">
        <v>2</v>
      </c>
      <c r="Z67" s="11">
        <v>2</v>
      </c>
      <c r="AA67" s="11">
        <v>2</v>
      </c>
      <c r="AB67" s="11">
        <v>2</v>
      </c>
      <c r="AC67" s="11">
        <v>2</v>
      </c>
      <c r="AD67" s="11">
        <v>2</v>
      </c>
      <c r="AE67" s="11">
        <v>2</v>
      </c>
      <c r="AF67" s="11">
        <v>2</v>
      </c>
      <c r="AG67" s="11">
        <v>2</v>
      </c>
      <c r="AH67" s="11">
        <v>2</v>
      </c>
      <c r="AI67" s="11">
        <v>2</v>
      </c>
      <c r="AJ67" s="11">
        <v>1</v>
      </c>
      <c r="AK67" s="11">
        <v>1</v>
      </c>
      <c r="AL67" s="11">
        <v>0</v>
      </c>
      <c r="AM67" s="13"/>
      <c r="AO67" s="24"/>
      <c r="AP67" s="24"/>
      <c r="AQ67" s="24"/>
    </row>
    <row r="68" spans="1:44">
      <c r="A68" s="65"/>
      <c r="B68" s="66"/>
      <c r="C68" s="66"/>
      <c r="D68" s="66"/>
      <c r="E68" s="66"/>
      <c r="F68" s="66"/>
      <c r="G68" s="222" t="s">
        <v>92</v>
      </c>
      <c r="H68" s="222" t="s">
        <v>274</v>
      </c>
      <c r="I68" s="218" t="s">
        <v>93</v>
      </c>
      <c r="J68" s="11">
        <v>100</v>
      </c>
      <c r="K68" s="11">
        <v>500</v>
      </c>
      <c r="L68" s="13"/>
      <c r="M68" s="46">
        <v>3</v>
      </c>
      <c r="N68" s="47">
        <v>4</v>
      </c>
      <c r="O68" s="47">
        <v>10.4</v>
      </c>
      <c r="P68" s="47">
        <v>11.05</v>
      </c>
      <c r="Q68" s="48">
        <v>4</v>
      </c>
      <c r="R68" s="48">
        <v>11.21</v>
      </c>
      <c r="S68" s="72">
        <v>4</v>
      </c>
      <c r="T68" s="47">
        <v>4</v>
      </c>
      <c r="U68" s="47">
        <v>4</v>
      </c>
      <c r="V68" s="47">
        <v>4</v>
      </c>
      <c r="W68" s="11">
        <v>4</v>
      </c>
      <c r="X68" s="11">
        <v>4</v>
      </c>
      <c r="Y68" s="47">
        <v>4</v>
      </c>
      <c r="Z68" s="47">
        <v>4</v>
      </c>
      <c r="AA68" s="47">
        <v>4</v>
      </c>
      <c r="AB68" s="47">
        <v>4</v>
      </c>
      <c r="AC68" s="47">
        <v>4</v>
      </c>
      <c r="AD68" s="47">
        <v>4</v>
      </c>
      <c r="AE68" s="47">
        <v>4</v>
      </c>
      <c r="AF68" s="47">
        <v>4</v>
      </c>
      <c r="AG68" s="47">
        <v>4</v>
      </c>
      <c r="AH68" s="47">
        <v>3</v>
      </c>
      <c r="AI68" s="47">
        <v>3</v>
      </c>
      <c r="AJ68" s="47">
        <v>3</v>
      </c>
      <c r="AK68" s="47">
        <v>2</v>
      </c>
      <c r="AL68" s="47">
        <v>1</v>
      </c>
      <c r="AM68" s="80">
        <v>1</v>
      </c>
      <c r="AN68" s="81">
        <v>1</v>
      </c>
      <c r="AO68" s="82">
        <v>1</v>
      </c>
      <c r="AP68" s="82">
        <v>0</v>
      </c>
      <c r="AQ68" s="258" t="s">
        <v>297</v>
      </c>
    </row>
    <row r="69" spans="1:44">
      <c r="A69" s="65"/>
      <c r="B69" s="66"/>
      <c r="C69" s="66"/>
      <c r="D69" s="66"/>
      <c r="E69" s="66"/>
      <c r="F69" s="66"/>
      <c r="G69" s="222" t="s">
        <v>92</v>
      </c>
      <c r="H69" s="222" t="s">
        <v>274</v>
      </c>
      <c r="I69" s="218" t="s">
        <v>93</v>
      </c>
      <c r="J69" s="11">
        <v>100</v>
      </c>
      <c r="K69" s="11">
        <v>500</v>
      </c>
      <c r="L69" s="13"/>
      <c r="M69" s="13">
        <v>4</v>
      </c>
      <c r="N69" s="11">
        <v>5</v>
      </c>
      <c r="O69" s="11">
        <v>11.07</v>
      </c>
      <c r="P69" s="11">
        <v>11.29</v>
      </c>
      <c r="Q69" s="14">
        <v>5</v>
      </c>
      <c r="R69" s="14">
        <v>11.45</v>
      </c>
      <c r="S69" s="66">
        <v>5</v>
      </c>
      <c r="T69" s="11">
        <v>5</v>
      </c>
      <c r="U69" s="11">
        <v>5</v>
      </c>
      <c r="V69" s="11">
        <v>3</v>
      </c>
      <c r="W69" s="11">
        <v>3</v>
      </c>
      <c r="X69" s="11">
        <v>3</v>
      </c>
      <c r="Y69" s="11">
        <v>3</v>
      </c>
      <c r="Z69" s="11">
        <v>3</v>
      </c>
      <c r="AA69" s="11">
        <v>3</v>
      </c>
      <c r="AB69" s="11">
        <v>3</v>
      </c>
      <c r="AC69" s="11">
        <v>0</v>
      </c>
      <c r="AD69" s="83"/>
      <c r="AE69" s="83"/>
      <c r="AF69" s="83"/>
      <c r="AG69" s="83"/>
      <c r="AH69" s="83"/>
      <c r="AI69" s="83"/>
      <c r="AJ69" s="83"/>
      <c r="AK69" s="83"/>
      <c r="AL69" s="83"/>
      <c r="AM69" s="84"/>
      <c r="AN69" s="346"/>
      <c r="AO69" s="24"/>
      <c r="AP69" s="24"/>
      <c r="AQ69" s="24"/>
    </row>
    <row r="70" spans="1:44" s="311" customFormat="1" ht="15.75" thickBot="1">
      <c r="A70" s="316"/>
      <c r="B70" s="317"/>
      <c r="C70" s="317"/>
      <c r="D70" s="317"/>
      <c r="E70" s="317"/>
      <c r="F70" s="317"/>
      <c r="G70" s="305" t="s">
        <v>92</v>
      </c>
      <c r="H70" s="306" t="s">
        <v>274</v>
      </c>
      <c r="I70" s="307" t="s">
        <v>93</v>
      </c>
      <c r="J70" s="308">
        <v>100</v>
      </c>
      <c r="K70" s="308">
        <v>500</v>
      </c>
      <c r="L70" s="305"/>
      <c r="M70" s="305">
        <v>5</v>
      </c>
      <c r="N70" s="308">
        <v>1</v>
      </c>
      <c r="O70" s="308">
        <v>11.49</v>
      </c>
      <c r="P70" s="308">
        <v>11.57</v>
      </c>
      <c r="Q70" s="309">
        <v>1</v>
      </c>
      <c r="R70" s="309">
        <v>12.12</v>
      </c>
      <c r="S70" s="317">
        <v>1</v>
      </c>
      <c r="T70" s="308">
        <v>1</v>
      </c>
      <c r="U70" s="308">
        <v>1</v>
      </c>
      <c r="V70" s="308">
        <v>0</v>
      </c>
      <c r="AD70" s="318"/>
      <c r="AM70" s="319"/>
      <c r="AN70" s="309"/>
      <c r="AO70" s="320"/>
      <c r="AP70" s="320"/>
      <c r="AQ70" s="320"/>
      <c r="AR70" s="303"/>
    </row>
    <row r="71" spans="1:44">
      <c r="A71" s="43">
        <v>6</v>
      </c>
      <c r="B71" s="44">
        <v>45926</v>
      </c>
      <c r="C71" s="44" t="s">
        <v>285</v>
      </c>
      <c r="D71" s="44" t="s">
        <v>298</v>
      </c>
      <c r="E71" s="44" t="s">
        <v>864</v>
      </c>
      <c r="F71" s="44" t="s">
        <v>294</v>
      </c>
      <c r="G71" s="222" t="s">
        <v>95</v>
      </c>
      <c r="H71" s="222" t="s">
        <v>276</v>
      </c>
      <c r="I71" s="218" t="s">
        <v>96</v>
      </c>
      <c r="J71" s="11">
        <v>100</v>
      </c>
      <c r="K71" s="11">
        <v>500</v>
      </c>
      <c r="L71" s="13">
        <v>60</v>
      </c>
      <c r="M71" s="13">
        <v>1</v>
      </c>
      <c r="N71" s="238">
        <v>1</v>
      </c>
      <c r="O71" s="11">
        <v>10.08</v>
      </c>
      <c r="P71" s="21">
        <v>10.199999999999999</v>
      </c>
      <c r="Q71" s="169">
        <v>1</v>
      </c>
      <c r="R71" s="14">
        <v>10.35</v>
      </c>
      <c r="S71" s="39">
        <v>0</v>
      </c>
      <c r="AR71" s="43" t="s">
        <v>247</v>
      </c>
    </row>
    <row r="72" spans="1:44">
      <c r="A72" s="43"/>
      <c r="B72" s="222"/>
      <c r="C72" s="222"/>
      <c r="D72" s="222" t="s">
        <v>299</v>
      </c>
      <c r="E72" s="222" t="s">
        <v>844</v>
      </c>
      <c r="F72" s="222"/>
      <c r="G72" s="222" t="s">
        <v>95</v>
      </c>
      <c r="H72" s="222" t="s">
        <v>276</v>
      </c>
      <c r="I72" s="218" t="s">
        <v>96</v>
      </c>
      <c r="J72" s="11">
        <v>100</v>
      </c>
      <c r="K72" s="11">
        <v>500</v>
      </c>
      <c r="L72" s="13"/>
      <c r="M72" s="13">
        <v>2</v>
      </c>
      <c r="N72" s="238">
        <v>4</v>
      </c>
      <c r="O72" s="11">
        <v>10.210000000000001</v>
      </c>
      <c r="P72" s="11">
        <v>10.39</v>
      </c>
      <c r="Q72" s="169">
        <v>4</v>
      </c>
      <c r="R72" s="14">
        <v>10.54</v>
      </c>
      <c r="S72" s="39">
        <v>2</v>
      </c>
      <c r="T72" s="40">
        <v>2</v>
      </c>
      <c r="U72" s="40">
        <v>2</v>
      </c>
      <c r="V72" s="40">
        <v>2</v>
      </c>
      <c r="W72" s="40">
        <v>2</v>
      </c>
      <c r="X72" s="40">
        <v>2</v>
      </c>
      <c r="Y72" s="40">
        <v>2</v>
      </c>
      <c r="Z72" s="40">
        <v>2</v>
      </c>
      <c r="AA72" s="40">
        <v>2</v>
      </c>
      <c r="AB72" s="40">
        <v>2</v>
      </c>
      <c r="AC72" s="40">
        <v>2</v>
      </c>
      <c r="AD72" s="40">
        <v>2</v>
      </c>
      <c r="AE72" s="40">
        <v>1</v>
      </c>
      <c r="AF72" s="11">
        <v>0</v>
      </c>
    </row>
    <row r="73" spans="1:44">
      <c r="A73" s="43"/>
      <c r="B73" s="222"/>
      <c r="C73" s="222"/>
      <c r="D73" s="222" t="s">
        <v>300</v>
      </c>
      <c r="E73" s="222" t="s">
        <v>865</v>
      </c>
      <c r="F73" s="222"/>
      <c r="G73" s="222" t="s">
        <v>98</v>
      </c>
      <c r="H73" s="222" t="s">
        <v>276</v>
      </c>
      <c r="I73" s="218" t="s">
        <v>96</v>
      </c>
      <c r="J73" s="11">
        <v>100</v>
      </c>
      <c r="K73" s="11">
        <v>500</v>
      </c>
      <c r="L73" s="13"/>
      <c r="M73" s="13">
        <v>3</v>
      </c>
      <c r="N73" s="238">
        <v>3</v>
      </c>
      <c r="O73" s="11">
        <v>10.47</v>
      </c>
      <c r="P73" s="21">
        <v>11.06</v>
      </c>
      <c r="Q73" s="169">
        <v>3</v>
      </c>
      <c r="R73" s="14">
        <v>11.23</v>
      </c>
      <c r="S73" s="39">
        <v>1</v>
      </c>
      <c r="T73" s="40">
        <v>1</v>
      </c>
      <c r="U73" s="40">
        <v>1</v>
      </c>
      <c r="V73" s="40">
        <v>1</v>
      </c>
      <c r="W73" s="40">
        <v>1</v>
      </c>
      <c r="X73" s="40">
        <v>1</v>
      </c>
      <c r="Y73" s="40">
        <v>1</v>
      </c>
      <c r="Z73" s="40">
        <v>1</v>
      </c>
      <c r="AA73" s="11">
        <v>0</v>
      </c>
      <c r="AB73" s="54"/>
      <c r="AC73" s="54"/>
      <c r="AD73" s="54"/>
      <c r="AE73" s="54"/>
      <c r="AF73" s="54"/>
    </row>
    <row r="74" spans="1:44">
      <c r="A74" s="43"/>
      <c r="B74" s="222"/>
      <c r="C74" s="222"/>
      <c r="D74" s="222" t="s">
        <v>301</v>
      </c>
      <c r="E74" s="222" t="s">
        <v>844</v>
      </c>
      <c r="F74" s="222"/>
      <c r="G74" s="222" t="s">
        <v>95</v>
      </c>
      <c r="H74" s="222" t="s">
        <v>276</v>
      </c>
      <c r="I74" s="218" t="s">
        <v>96</v>
      </c>
      <c r="J74" s="11">
        <v>100</v>
      </c>
      <c r="K74" s="11">
        <v>500</v>
      </c>
      <c r="L74" s="13"/>
      <c r="M74" s="13">
        <v>4</v>
      </c>
      <c r="N74" s="238">
        <v>3</v>
      </c>
      <c r="O74" s="11">
        <v>11.1</v>
      </c>
      <c r="P74" s="11">
        <v>11.35</v>
      </c>
      <c r="Q74" s="169">
        <v>3</v>
      </c>
      <c r="R74" s="14">
        <v>11.5</v>
      </c>
      <c r="S74" s="39">
        <v>2</v>
      </c>
      <c r="T74" s="40">
        <v>2</v>
      </c>
      <c r="U74" s="40">
        <v>2</v>
      </c>
      <c r="V74" s="40">
        <v>2</v>
      </c>
      <c r="W74" s="40">
        <v>2</v>
      </c>
      <c r="X74" s="40">
        <v>2</v>
      </c>
      <c r="Y74" s="40">
        <v>2</v>
      </c>
      <c r="Z74" s="40">
        <v>2</v>
      </c>
      <c r="AA74" s="40">
        <v>2</v>
      </c>
      <c r="AB74" s="40">
        <v>2</v>
      </c>
      <c r="AC74" s="40">
        <v>2</v>
      </c>
      <c r="AD74" s="40">
        <v>1</v>
      </c>
      <c r="AE74" s="40">
        <v>1</v>
      </c>
      <c r="AF74" s="40">
        <v>1</v>
      </c>
      <c r="AG74" s="11">
        <v>0</v>
      </c>
    </row>
    <row r="75" spans="1:44">
      <c r="A75" s="43"/>
      <c r="B75" s="222"/>
      <c r="C75" s="222"/>
      <c r="D75" s="222"/>
      <c r="E75" s="222" t="s">
        <v>866</v>
      </c>
      <c r="F75" s="222"/>
      <c r="G75" s="222" t="s">
        <v>98</v>
      </c>
      <c r="H75" s="222" t="s">
        <v>276</v>
      </c>
      <c r="I75" s="218" t="s">
        <v>96</v>
      </c>
      <c r="J75" s="11">
        <v>100</v>
      </c>
      <c r="K75" s="11">
        <v>500</v>
      </c>
      <c r="L75" s="13"/>
      <c r="M75" s="13">
        <v>5</v>
      </c>
      <c r="N75" s="238">
        <v>4</v>
      </c>
      <c r="O75" s="11">
        <v>11.45</v>
      </c>
      <c r="P75" s="11" t="s">
        <v>61</v>
      </c>
      <c r="Q75" s="169">
        <v>4</v>
      </c>
      <c r="R75" s="14">
        <v>12.34</v>
      </c>
      <c r="S75" s="39">
        <v>4</v>
      </c>
      <c r="T75" s="40">
        <v>4</v>
      </c>
      <c r="U75" s="40">
        <v>4</v>
      </c>
      <c r="V75" s="40">
        <v>4</v>
      </c>
      <c r="W75" s="40">
        <v>4</v>
      </c>
      <c r="X75" s="40">
        <v>4</v>
      </c>
      <c r="Y75" s="40">
        <v>4</v>
      </c>
      <c r="Z75" s="40">
        <v>4</v>
      </c>
      <c r="AA75" s="40">
        <v>3</v>
      </c>
      <c r="AB75" s="40">
        <v>3</v>
      </c>
      <c r="AC75" s="40">
        <v>3</v>
      </c>
      <c r="AD75" s="11">
        <v>0</v>
      </c>
      <c r="AE75" s="54"/>
      <c r="AF75" s="54"/>
    </row>
    <row r="76" spans="1:44">
      <c r="A76" s="43"/>
      <c r="B76" s="222"/>
      <c r="C76" s="222"/>
      <c r="D76" s="222"/>
      <c r="E76" s="222" t="s">
        <v>844</v>
      </c>
      <c r="F76" s="222"/>
      <c r="G76" s="19" t="s">
        <v>98</v>
      </c>
      <c r="H76" s="18" t="s">
        <v>276</v>
      </c>
      <c r="I76" s="268" t="s">
        <v>96</v>
      </c>
      <c r="J76" s="28">
        <v>100</v>
      </c>
      <c r="K76" s="28">
        <v>500</v>
      </c>
      <c r="L76" s="19"/>
      <c r="M76" s="19">
        <v>6</v>
      </c>
      <c r="N76" s="239">
        <v>4</v>
      </c>
      <c r="O76" s="28" t="s">
        <v>61</v>
      </c>
      <c r="P76" s="28">
        <v>12.33</v>
      </c>
      <c r="Q76" s="170">
        <v>4</v>
      </c>
      <c r="R76" s="20">
        <v>12.48</v>
      </c>
      <c r="S76" s="63">
        <v>3</v>
      </c>
      <c r="T76" s="64">
        <v>3</v>
      </c>
      <c r="U76" s="64">
        <v>3</v>
      </c>
      <c r="V76" s="64">
        <v>3</v>
      </c>
      <c r="W76" s="64">
        <v>3</v>
      </c>
      <c r="X76" s="64">
        <v>3</v>
      </c>
      <c r="Y76" s="64">
        <v>1</v>
      </c>
      <c r="Z76" s="64">
        <v>1</v>
      </c>
      <c r="AA76" s="64">
        <v>1</v>
      </c>
      <c r="AB76" s="64">
        <v>1</v>
      </c>
      <c r="AC76" s="11">
        <v>0</v>
      </c>
      <c r="AD76" s="85"/>
      <c r="AE76" s="85"/>
      <c r="AF76" s="85"/>
      <c r="AG76" s="23"/>
      <c r="AH76" s="23"/>
      <c r="AI76" s="23"/>
      <c r="AJ76" s="23"/>
      <c r="AK76" s="23"/>
      <c r="AL76" s="23"/>
      <c r="AM76" s="53"/>
      <c r="AN76" s="20"/>
      <c r="AO76" s="23"/>
      <c r="AP76" s="23"/>
      <c r="AQ76" s="23"/>
      <c r="AR76" s="45"/>
    </row>
    <row r="77" spans="1:44">
      <c r="E77" s="222" t="s">
        <v>867</v>
      </c>
      <c r="G77" s="222" t="s">
        <v>95</v>
      </c>
      <c r="H77" s="222" t="s">
        <v>276</v>
      </c>
      <c r="I77" s="217" t="s">
        <v>96</v>
      </c>
      <c r="J77" s="11">
        <v>100</v>
      </c>
      <c r="K77" s="11">
        <v>500</v>
      </c>
      <c r="L77" s="13">
        <v>76</v>
      </c>
      <c r="M77" s="46">
        <v>1</v>
      </c>
      <c r="N77" s="47">
        <v>2</v>
      </c>
      <c r="O77" s="47">
        <v>10.199999999999999</v>
      </c>
      <c r="P77" s="47">
        <v>10.29</v>
      </c>
      <c r="Q77" s="48">
        <v>2</v>
      </c>
      <c r="R77" s="48">
        <v>10.47</v>
      </c>
      <c r="S77" s="26">
        <v>1</v>
      </c>
      <c r="T77" s="47">
        <v>1</v>
      </c>
      <c r="U77" s="47">
        <v>1</v>
      </c>
      <c r="V77" s="47">
        <v>1</v>
      </c>
      <c r="W77" s="11">
        <v>1</v>
      </c>
      <c r="X77" s="11">
        <v>1</v>
      </c>
      <c r="Y77" s="47">
        <v>1</v>
      </c>
      <c r="Z77" s="47">
        <v>1</v>
      </c>
      <c r="AA77" s="47">
        <v>1</v>
      </c>
      <c r="AB77" s="47">
        <v>1</v>
      </c>
      <c r="AC77" s="47">
        <v>1</v>
      </c>
      <c r="AD77" s="47">
        <v>1</v>
      </c>
      <c r="AE77" s="47">
        <v>1</v>
      </c>
      <c r="AF77" s="47">
        <v>1</v>
      </c>
      <c r="AG77" s="47">
        <v>1</v>
      </c>
      <c r="AH77" s="47">
        <v>1</v>
      </c>
      <c r="AI77" s="47">
        <v>1</v>
      </c>
      <c r="AJ77" s="47">
        <v>1</v>
      </c>
      <c r="AK77" s="47">
        <v>1</v>
      </c>
      <c r="AL77" s="47">
        <v>1</v>
      </c>
      <c r="AM77" s="46">
        <v>1</v>
      </c>
      <c r="AN77" s="48">
        <v>1</v>
      </c>
      <c r="AO77" s="47">
        <v>1</v>
      </c>
      <c r="AP77" s="47">
        <v>0</v>
      </c>
      <c r="AQ77" s="256" t="s">
        <v>302</v>
      </c>
      <c r="AR77" s="43" t="s">
        <v>260</v>
      </c>
    </row>
    <row r="78" spans="1:44" ht="29.1" customHeight="1">
      <c r="E78" s="222" t="s">
        <v>844</v>
      </c>
      <c r="G78" s="222" t="s">
        <v>95</v>
      </c>
      <c r="H78" s="222" t="s">
        <v>276</v>
      </c>
      <c r="I78" s="218" t="s">
        <v>96</v>
      </c>
      <c r="J78" s="11">
        <v>100</v>
      </c>
      <c r="K78" s="11">
        <v>500</v>
      </c>
      <c r="L78" s="13"/>
      <c r="M78" s="13">
        <v>2</v>
      </c>
      <c r="N78" s="11">
        <v>2</v>
      </c>
      <c r="O78" s="11">
        <v>10.34</v>
      </c>
      <c r="P78" s="11">
        <v>10.41</v>
      </c>
      <c r="Q78" s="14">
        <v>2</v>
      </c>
      <c r="R78" s="14">
        <v>10.59</v>
      </c>
      <c r="S78" s="222">
        <v>2</v>
      </c>
      <c r="T78" s="11">
        <v>2</v>
      </c>
      <c r="U78" s="11">
        <v>2</v>
      </c>
      <c r="V78" s="11">
        <v>2</v>
      </c>
      <c r="W78" s="11">
        <v>2</v>
      </c>
      <c r="X78" s="11">
        <v>2</v>
      </c>
      <c r="Y78" s="11">
        <v>2</v>
      </c>
      <c r="Z78" s="11">
        <v>2</v>
      </c>
      <c r="AA78" s="11">
        <v>2</v>
      </c>
      <c r="AB78" s="11">
        <v>2</v>
      </c>
      <c r="AC78" s="11">
        <v>2</v>
      </c>
      <c r="AD78" s="11">
        <v>2</v>
      </c>
      <c r="AE78" s="11">
        <v>2</v>
      </c>
      <c r="AF78" s="11">
        <v>0</v>
      </c>
      <c r="AG78" s="11"/>
      <c r="AH78" s="11"/>
      <c r="AO78" s="11"/>
      <c r="AP78" s="11"/>
      <c r="AR78" s="602" t="s">
        <v>303</v>
      </c>
    </row>
    <row r="79" spans="1:44">
      <c r="E79" s="222"/>
      <c r="G79" s="222" t="s">
        <v>98</v>
      </c>
      <c r="H79" s="222" t="s">
        <v>276</v>
      </c>
      <c r="I79" s="218" t="s">
        <v>96</v>
      </c>
      <c r="J79" s="11">
        <v>100</v>
      </c>
      <c r="K79" s="11">
        <v>500</v>
      </c>
      <c r="L79" s="13"/>
      <c r="M79" s="46">
        <v>3</v>
      </c>
      <c r="N79" s="47">
        <v>1</v>
      </c>
      <c r="O79" s="47">
        <v>10.49</v>
      </c>
      <c r="P79" s="47">
        <v>10.56</v>
      </c>
      <c r="Q79" s="48">
        <v>1</v>
      </c>
      <c r="R79" s="48">
        <v>11.14</v>
      </c>
      <c r="S79" s="26">
        <v>1</v>
      </c>
      <c r="T79" s="47">
        <v>1</v>
      </c>
      <c r="U79" s="47">
        <v>1</v>
      </c>
      <c r="V79" s="47">
        <v>1</v>
      </c>
      <c r="W79" s="11">
        <v>1</v>
      </c>
      <c r="X79" s="11">
        <v>1</v>
      </c>
      <c r="Y79" s="47">
        <v>1</v>
      </c>
      <c r="Z79" s="47">
        <v>1</v>
      </c>
      <c r="AA79" s="47">
        <v>1</v>
      </c>
      <c r="AB79" s="47">
        <v>1</v>
      </c>
      <c r="AC79" s="47">
        <v>1</v>
      </c>
      <c r="AD79" s="47">
        <v>1</v>
      </c>
      <c r="AE79" s="47">
        <v>1</v>
      </c>
      <c r="AF79" s="47">
        <v>1</v>
      </c>
      <c r="AG79" s="47">
        <v>1</v>
      </c>
      <c r="AH79" s="47">
        <v>1</v>
      </c>
      <c r="AI79" s="47">
        <v>1</v>
      </c>
      <c r="AJ79" s="47">
        <v>1</v>
      </c>
      <c r="AK79" s="47">
        <v>1</v>
      </c>
      <c r="AL79" s="47">
        <v>1</v>
      </c>
      <c r="AM79" s="46">
        <v>1</v>
      </c>
      <c r="AN79" s="48">
        <v>1</v>
      </c>
      <c r="AO79" s="47">
        <v>1</v>
      </c>
      <c r="AP79" s="47">
        <v>1</v>
      </c>
      <c r="AQ79" s="257" t="s">
        <v>304</v>
      </c>
      <c r="AR79" s="602"/>
    </row>
    <row r="80" spans="1:44">
      <c r="E80" s="222"/>
      <c r="G80" s="222" t="s">
        <v>98</v>
      </c>
      <c r="H80" s="222" t="s">
        <v>276</v>
      </c>
      <c r="I80" s="218" t="s">
        <v>96</v>
      </c>
      <c r="J80" s="11">
        <v>100</v>
      </c>
      <c r="K80" s="11">
        <v>500</v>
      </c>
      <c r="L80" s="13"/>
      <c r="M80" s="13">
        <v>4</v>
      </c>
      <c r="N80" s="11">
        <v>5</v>
      </c>
      <c r="O80" s="11">
        <v>11.02</v>
      </c>
      <c r="P80" s="11">
        <v>11.24</v>
      </c>
      <c r="Q80" s="14">
        <v>5</v>
      </c>
      <c r="R80" s="14">
        <v>11.43</v>
      </c>
      <c r="S80" s="222">
        <v>1</v>
      </c>
      <c r="T80" s="11">
        <v>1</v>
      </c>
      <c r="U80" s="11">
        <v>1</v>
      </c>
      <c r="V80" s="11">
        <v>1</v>
      </c>
      <c r="W80" s="11">
        <v>1</v>
      </c>
      <c r="X80" s="11">
        <v>1</v>
      </c>
      <c r="Y80" s="11">
        <v>1</v>
      </c>
      <c r="Z80" s="11">
        <v>1</v>
      </c>
      <c r="AA80" s="11">
        <v>1</v>
      </c>
      <c r="AB80" s="11">
        <v>1</v>
      </c>
      <c r="AC80" s="11">
        <v>1</v>
      </c>
      <c r="AD80" s="11">
        <v>0</v>
      </c>
      <c r="AO80" s="11"/>
      <c r="AP80" s="11"/>
      <c r="AR80" s="602"/>
    </row>
    <row r="81" spans="1:44">
      <c r="G81" s="222" t="s">
        <v>98</v>
      </c>
      <c r="H81" s="222" t="s">
        <v>276</v>
      </c>
      <c r="I81" s="218" t="s">
        <v>96</v>
      </c>
      <c r="J81" s="11">
        <v>100</v>
      </c>
      <c r="K81" s="11">
        <v>500</v>
      </c>
      <c r="L81" s="13"/>
      <c r="M81" s="46">
        <v>5</v>
      </c>
      <c r="N81" s="47">
        <v>6</v>
      </c>
      <c r="O81" s="47">
        <v>11.45</v>
      </c>
      <c r="P81" s="47">
        <v>12.11</v>
      </c>
      <c r="Q81" s="48">
        <v>6</v>
      </c>
      <c r="R81" s="48">
        <v>12.26</v>
      </c>
      <c r="S81" s="26">
        <v>6</v>
      </c>
      <c r="T81" s="47">
        <v>2</v>
      </c>
      <c r="U81" s="47">
        <v>2</v>
      </c>
      <c r="V81" s="47">
        <v>2</v>
      </c>
      <c r="W81" s="11">
        <v>2</v>
      </c>
      <c r="X81" s="11">
        <v>2</v>
      </c>
      <c r="Y81" s="47">
        <v>2</v>
      </c>
      <c r="Z81" s="47">
        <v>2</v>
      </c>
      <c r="AA81" s="47">
        <v>2</v>
      </c>
      <c r="AB81" s="47">
        <v>2</v>
      </c>
      <c r="AC81" s="47">
        <v>2</v>
      </c>
      <c r="AD81" s="47">
        <v>2</v>
      </c>
      <c r="AE81" s="47">
        <v>2</v>
      </c>
      <c r="AF81" s="47">
        <v>2</v>
      </c>
      <c r="AG81" s="47">
        <v>1</v>
      </c>
      <c r="AH81" s="47">
        <v>1</v>
      </c>
      <c r="AI81" s="47">
        <v>1</v>
      </c>
      <c r="AJ81" s="47">
        <v>1</v>
      </c>
      <c r="AK81" s="47">
        <v>1</v>
      </c>
      <c r="AL81" s="47">
        <v>1</v>
      </c>
      <c r="AM81" s="46">
        <v>1</v>
      </c>
      <c r="AN81" s="48">
        <v>1</v>
      </c>
      <c r="AO81" s="47">
        <v>1</v>
      </c>
      <c r="AP81" s="47">
        <v>0</v>
      </c>
      <c r="AQ81" s="256" t="s">
        <v>305</v>
      </c>
      <c r="AR81" s="602"/>
    </row>
    <row r="82" spans="1:44" s="311" customFormat="1" ht="15.75" thickBot="1">
      <c r="A82" s="321"/>
      <c r="B82" s="321"/>
      <c r="C82" s="321"/>
      <c r="D82" s="321"/>
      <c r="E82" s="321"/>
      <c r="F82" s="321"/>
      <c r="G82" s="305" t="s">
        <v>98</v>
      </c>
      <c r="H82" s="306" t="s">
        <v>276</v>
      </c>
      <c r="I82" s="307" t="s">
        <v>96</v>
      </c>
      <c r="J82" s="308">
        <v>100</v>
      </c>
      <c r="K82" s="308">
        <v>500</v>
      </c>
      <c r="L82" s="305"/>
      <c r="M82" s="305">
        <v>6</v>
      </c>
      <c r="N82" s="308">
        <v>6</v>
      </c>
      <c r="O82" s="308">
        <v>12.13</v>
      </c>
      <c r="P82" s="308">
        <v>12.35</v>
      </c>
      <c r="Q82" s="309">
        <v>6</v>
      </c>
      <c r="R82" s="309">
        <v>12.5</v>
      </c>
      <c r="S82" s="306">
        <v>2</v>
      </c>
      <c r="T82" s="308">
        <v>1</v>
      </c>
      <c r="U82" s="308">
        <v>1</v>
      </c>
      <c r="V82" s="308">
        <v>1</v>
      </c>
      <c r="W82" s="308">
        <v>1</v>
      </c>
      <c r="X82" s="308">
        <v>1</v>
      </c>
      <c r="Y82" s="308">
        <v>1</v>
      </c>
      <c r="Z82" s="308">
        <v>1</v>
      </c>
      <c r="AA82" s="308">
        <v>1</v>
      </c>
      <c r="AB82" s="308">
        <v>1</v>
      </c>
      <c r="AC82" s="308">
        <v>1</v>
      </c>
      <c r="AD82" s="308">
        <v>1</v>
      </c>
      <c r="AE82" s="308">
        <v>1</v>
      </c>
      <c r="AF82" s="308">
        <v>0</v>
      </c>
      <c r="AM82" s="319"/>
      <c r="AN82" s="309"/>
      <c r="AR82" s="603"/>
    </row>
    <row r="83" spans="1:44">
      <c r="A83" s="43">
        <v>7</v>
      </c>
      <c r="B83" s="44">
        <v>45930</v>
      </c>
      <c r="C83" s="222" t="s">
        <v>306</v>
      </c>
      <c r="D83" s="222" t="s">
        <v>307</v>
      </c>
      <c r="E83" s="222" t="s">
        <v>837</v>
      </c>
      <c r="F83" s="31" t="s">
        <v>294</v>
      </c>
      <c r="G83" s="222" t="s">
        <v>100</v>
      </c>
      <c r="H83" s="222" t="s">
        <v>246</v>
      </c>
      <c r="I83" s="218" t="s">
        <v>101</v>
      </c>
      <c r="J83" s="11">
        <v>100</v>
      </c>
      <c r="K83" s="11">
        <v>500</v>
      </c>
      <c r="L83" s="13">
        <v>60</v>
      </c>
      <c r="M83" s="13">
        <v>1</v>
      </c>
      <c r="N83" s="11">
        <v>5</v>
      </c>
      <c r="O83" s="11">
        <v>9.49</v>
      </c>
      <c r="P83" s="11">
        <v>10.14</v>
      </c>
      <c r="Q83" s="14">
        <v>5</v>
      </c>
      <c r="R83" s="38">
        <v>10.3</v>
      </c>
      <c r="S83" s="39">
        <v>3</v>
      </c>
      <c r="T83" s="40">
        <v>3</v>
      </c>
      <c r="U83" s="40">
        <v>3</v>
      </c>
      <c r="V83" s="40">
        <v>3</v>
      </c>
      <c r="W83" s="40">
        <v>3</v>
      </c>
      <c r="X83" s="40">
        <v>3</v>
      </c>
      <c r="Y83" s="40">
        <v>3</v>
      </c>
      <c r="Z83" s="40">
        <v>3</v>
      </c>
      <c r="AA83" s="40">
        <v>3</v>
      </c>
      <c r="AB83" s="40">
        <v>3</v>
      </c>
      <c r="AC83" s="40">
        <v>3</v>
      </c>
      <c r="AD83" s="40">
        <v>3</v>
      </c>
      <c r="AE83" s="40">
        <v>3</v>
      </c>
      <c r="AF83" s="40"/>
      <c r="AG83" s="11"/>
      <c r="AH83" s="11"/>
      <c r="AI83" s="11"/>
      <c r="AR83" s="43" t="s">
        <v>247</v>
      </c>
    </row>
    <row r="84" spans="1:44">
      <c r="C84" s="222"/>
      <c r="D84" s="222" t="s">
        <v>308</v>
      </c>
      <c r="E84" s="222" t="s">
        <v>836</v>
      </c>
      <c r="G84" s="222" t="s">
        <v>100</v>
      </c>
      <c r="H84" s="222" t="s">
        <v>246</v>
      </c>
      <c r="I84" s="218" t="s">
        <v>101</v>
      </c>
      <c r="J84" s="11">
        <v>100</v>
      </c>
      <c r="K84" s="11">
        <v>500</v>
      </c>
      <c r="M84" s="13">
        <v>2</v>
      </c>
      <c r="N84" s="11">
        <v>4</v>
      </c>
      <c r="O84" s="11">
        <v>10.220000000000001</v>
      </c>
      <c r="P84" s="11">
        <v>10.38</v>
      </c>
      <c r="Q84" s="14">
        <v>4</v>
      </c>
      <c r="R84" s="14">
        <v>10.54</v>
      </c>
      <c r="S84" s="39">
        <v>3</v>
      </c>
      <c r="T84" s="40">
        <v>3</v>
      </c>
      <c r="U84" s="40">
        <v>3</v>
      </c>
      <c r="V84" s="40">
        <v>3</v>
      </c>
      <c r="W84" s="40">
        <v>3</v>
      </c>
      <c r="X84" s="40">
        <v>3</v>
      </c>
      <c r="Y84" s="40">
        <v>3</v>
      </c>
      <c r="Z84" s="40">
        <v>3</v>
      </c>
      <c r="AA84" s="40">
        <v>2</v>
      </c>
      <c r="AB84" s="40">
        <v>2</v>
      </c>
      <c r="AC84" s="40">
        <v>2</v>
      </c>
      <c r="AD84" s="40">
        <v>2</v>
      </c>
      <c r="AE84" s="40">
        <v>2</v>
      </c>
      <c r="AF84" s="11"/>
      <c r="AG84" s="11"/>
      <c r="AH84" s="11"/>
      <c r="AI84" s="11"/>
    </row>
    <row r="85" spans="1:44">
      <c r="C85" s="222"/>
      <c r="D85" s="222"/>
      <c r="E85" s="222" t="s">
        <v>840</v>
      </c>
      <c r="G85" s="222" t="s">
        <v>100</v>
      </c>
      <c r="H85" s="222" t="s">
        <v>246</v>
      </c>
      <c r="I85" s="218" t="s">
        <v>101</v>
      </c>
      <c r="J85" s="11">
        <v>100</v>
      </c>
      <c r="K85" s="11">
        <v>500</v>
      </c>
      <c r="M85" s="13">
        <v>3</v>
      </c>
      <c r="N85" s="11">
        <v>5</v>
      </c>
      <c r="O85" s="11">
        <v>10.39</v>
      </c>
      <c r="P85" s="11">
        <v>10.56</v>
      </c>
      <c r="Q85" s="14">
        <v>5</v>
      </c>
      <c r="R85" s="14">
        <v>11.12</v>
      </c>
      <c r="S85" s="39">
        <v>3</v>
      </c>
      <c r="T85" s="40">
        <v>2</v>
      </c>
      <c r="U85" s="40">
        <v>2</v>
      </c>
      <c r="V85" s="40">
        <v>2</v>
      </c>
      <c r="W85" s="40">
        <v>2</v>
      </c>
      <c r="X85" s="40">
        <v>2</v>
      </c>
      <c r="Y85" s="40">
        <v>2</v>
      </c>
      <c r="Z85" s="40">
        <v>2</v>
      </c>
      <c r="AA85" s="40">
        <v>2</v>
      </c>
      <c r="AB85" s="40">
        <v>2</v>
      </c>
      <c r="AC85" s="40">
        <v>2</v>
      </c>
      <c r="AD85" s="40">
        <v>2</v>
      </c>
      <c r="AE85" s="40">
        <v>2</v>
      </c>
      <c r="AF85" s="11"/>
      <c r="AG85" s="11"/>
      <c r="AH85" s="11"/>
      <c r="AI85" s="11"/>
    </row>
    <row r="86" spans="1:44">
      <c r="C86" s="222"/>
      <c r="D86" s="222"/>
      <c r="E86" s="222" t="s">
        <v>838</v>
      </c>
      <c r="G86" s="222" t="s">
        <v>100</v>
      </c>
      <c r="H86" s="222" t="s">
        <v>246</v>
      </c>
      <c r="I86" s="218" t="s">
        <v>101</v>
      </c>
      <c r="J86" s="11">
        <v>100</v>
      </c>
      <c r="K86" s="11">
        <v>500</v>
      </c>
      <c r="M86" s="13">
        <v>4</v>
      </c>
      <c r="N86" s="11">
        <v>3</v>
      </c>
      <c r="O86" s="21">
        <v>11.1</v>
      </c>
      <c r="P86" s="11">
        <v>11.22</v>
      </c>
      <c r="Q86" s="14">
        <v>3</v>
      </c>
      <c r="R86" s="14">
        <v>11.38</v>
      </c>
      <c r="S86" s="39">
        <v>1</v>
      </c>
      <c r="T86" s="40">
        <v>1</v>
      </c>
      <c r="U86" s="40">
        <v>1</v>
      </c>
      <c r="V86" s="40">
        <v>1</v>
      </c>
      <c r="W86" s="40">
        <v>1</v>
      </c>
      <c r="X86" s="40">
        <v>1</v>
      </c>
      <c r="Y86" s="40">
        <v>1</v>
      </c>
      <c r="Z86" s="40">
        <v>1</v>
      </c>
      <c r="AA86" s="40">
        <v>1</v>
      </c>
      <c r="AB86" s="40">
        <v>1</v>
      </c>
      <c r="AC86" s="40">
        <v>1</v>
      </c>
      <c r="AD86" s="40">
        <v>1</v>
      </c>
      <c r="AE86" s="40">
        <v>1</v>
      </c>
      <c r="AF86" s="40">
        <v>1</v>
      </c>
      <c r="AG86" s="40"/>
      <c r="AH86" s="11"/>
      <c r="AI86" s="11"/>
    </row>
    <row r="87" spans="1:44">
      <c r="C87" s="222"/>
      <c r="D87" s="222"/>
      <c r="E87" s="222"/>
      <c r="G87" s="222" t="s">
        <v>100</v>
      </c>
      <c r="H87" s="222" t="s">
        <v>246</v>
      </c>
      <c r="I87" s="218" t="s">
        <v>101</v>
      </c>
      <c r="J87" s="11">
        <v>100</v>
      </c>
      <c r="K87" s="11">
        <v>500</v>
      </c>
      <c r="M87" s="13">
        <v>5</v>
      </c>
      <c r="N87" s="11">
        <v>6</v>
      </c>
      <c r="O87" s="11">
        <v>11.22</v>
      </c>
      <c r="P87" s="21">
        <v>11.4</v>
      </c>
      <c r="Q87" s="14">
        <v>6</v>
      </c>
      <c r="R87" s="14">
        <v>12.03</v>
      </c>
      <c r="S87" s="39">
        <v>3</v>
      </c>
      <c r="T87" s="40">
        <v>3</v>
      </c>
      <c r="U87" s="40">
        <v>2</v>
      </c>
      <c r="V87" s="40">
        <v>2</v>
      </c>
      <c r="W87" s="40">
        <v>2</v>
      </c>
      <c r="X87" s="40">
        <v>2</v>
      </c>
      <c r="Y87" s="40">
        <v>2</v>
      </c>
      <c r="Z87" s="40">
        <v>2</v>
      </c>
      <c r="AA87" s="40">
        <v>2</v>
      </c>
      <c r="AB87" s="40">
        <v>2</v>
      </c>
      <c r="AC87" s="40">
        <v>2</v>
      </c>
      <c r="AD87" s="40">
        <v>2</v>
      </c>
      <c r="AE87" s="40">
        <v>2</v>
      </c>
      <c r="AF87" s="40">
        <v>2</v>
      </c>
      <c r="AG87" s="40">
        <v>1</v>
      </c>
      <c r="AH87" s="11"/>
      <c r="AI87" s="11"/>
    </row>
    <row r="88" spans="1:44">
      <c r="C88" s="222"/>
      <c r="D88" s="222"/>
      <c r="E88" s="222"/>
      <c r="G88" s="222" t="s">
        <v>100</v>
      </c>
      <c r="H88" s="222" t="s">
        <v>246</v>
      </c>
      <c r="I88" s="218" t="s">
        <v>101</v>
      </c>
      <c r="J88" s="11">
        <v>100</v>
      </c>
      <c r="K88" s="11">
        <v>500</v>
      </c>
      <c r="M88" s="13">
        <v>6</v>
      </c>
      <c r="N88" s="11">
        <v>6</v>
      </c>
      <c r="O88" s="11">
        <v>11.48</v>
      </c>
      <c r="P88" s="11">
        <v>12.04</v>
      </c>
      <c r="Q88" s="14">
        <v>6</v>
      </c>
      <c r="R88" s="14">
        <v>12.21</v>
      </c>
      <c r="S88" s="39">
        <v>4</v>
      </c>
      <c r="T88" s="40">
        <v>4</v>
      </c>
      <c r="U88" s="40">
        <v>4</v>
      </c>
      <c r="V88" s="40">
        <v>2</v>
      </c>
      <c r="W88" s="40">
        <v>2</v>
      </c>
      <c r="X88" s="40">
        <v>2</v>
      </c>
      <c r="Y88" s="40">
        <v>2</v>
      </c>
      <c r="Z88" s="40">
        <v>2</v>
      </c>
      <c r="AA88" s="40">
        <v>2</v>
      </c>
      <c r="AB88" s="40">
        <v>2</v>
      </c>
      <c r="AC88" s="40">
        <v>2</v>
      </c>
      <c r="AD88" s="40">
        <v>2</v>
      </c>
      <c r="AE88" s="40">
        <v>2</v>
      </c>
      <c r="AF88" s="40"/>
      <c r="AG88" s="40"/>
      <c r="AH88" s="11"/>
      <c r="AI88" s="11"/>
    </row>
    <row r="89" spans="1:44" s="23" customFormat="1">
      <c r="A89" s="31"/>
      <c r="B89" s="31"/>
      <c r="C89" s="222"/>
      <c r="D89" s="222"/>
      <c r="E89" s="222"/>
      <c r="F89" s="31"/>
      <c r="G89" s="19" t="s">
        <v>100</v>
      </c>
      <c r="H89" s="18" t="s">
        <v>246</v>
      </c>
      <c r="I89" s="268" t="s">
        <v>101</v>
      </c>
      <c r="J89" s="28">
        <v>100</v>
      </c>
      <c r="K89" s="28">
        <v>500</v>
      </c>
      <c r="L89" s="53"/>
      <c r="M89" s="19">
        <v>7</v>
      </c>
      <c r="N89" s="28">
        <v>5</v>
      </c>
      <c r="O89" s="28">
        <v>12.05</v>
      </c>
      <c r="P89" s="259">
        <v>12.2</v>
      </c>
      <c r="Q89" s="20">
        <v>5</v>
      </c>
      <c r="R89" s="20">
        <v>12.37</v>
      </c>
      <c r="S89" s="63">
        <v>1</v>
      </c>
      <c r="T89" s="64">
        <v>1</v>
      </c>
      <c r="U89" s="64">
        <v>1</v>
      </c>
      <c r="V89" s="64">
        <v>1</v>
      </c>
      <c r="W89" s="64">
        <v>1</v>
      </c>
      <c r="X89" s="64">
        <v>1</v>
      </c>
      <c r="Y89" s="64">
        <v>1</v>
      </c>
      <c r="Z89" s="64">
        <v>1</v>
      </c>
      <c r="AA89" s="64">
        <v>1</v>
      </c>
      <c r="AB89" s="64">
        <v>1</v>
      </c>
      <c r="AC89" s="64"/>
      <c r="AD89" s="64"/>
      <c r="AE89" s="64"/>
      <c r="AF89" s="64"/>
      <c r="AG89" s="64"/>
      <c r="AH89" s="28"/>
      <c r="AI89" s="28"/>
      <c r="AM89" s="53"/>
      <c r="AN89" s="20"/>
      <c r="AR89" s="45"/>
    </row>
    <row r="90" spans="1:44">
      <c r="A90" s="43"/>
      <c r="B90" s="44"/>
      <c r="C90" s="222"/>
      <c r="D90" s="222"/>
      <c r="E90" s="222"/>
      <c r="G90" s="222" t="s">
        <v>100</v>
      </c>
      <c r="H90" s="222" t="s">
        <v>246</v>
      </c>
      <c r="I90" s="218" t="s">
        <v>101</v>
      </c>
      <c r="J90" s="11">
        <v>100</v>
      </c>
      <c r="K90" s="11">
        <v>500</v>
      </c>
      <c r="L90" s="13">
        <v>76</v>
      </c>
      <c r="M90" s="13">
        <v>1</v>
      </c>
      <c r="N90" s="11">
        <v>4</v>
      </c>
      <c r="O90" s="11">
        <v>10.15</v>
      </c>
      <c r="P90" s="11">
        <v>10.34</v>
      </c>
      <c r="Q90" s="14">
        <v>4</v>
      </c>
      <c r="R90" s="14">
        <v>10.52</v>
      </c>
      <c r="S90" s="222">
        <v>1</v>
      </c>
      <c r="T90" s="11">
        <v>0</v>
      </c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3"/>
      <c r="AR90" s="43" t="s">
        <v>260</v>
      </c>
    </row>
    <row r="91" spans="1:44">
      <c r="C91" s="222"/>
      <c r="D91" s="222"/>
      <c r="E91" s="222"/>
      <c r="G91" s="222" t="s">
        <v>100</v>
      </c>
      <c r="H91" s="222" t="s">
        <v>246</v>
      </c>
      <c r="I91" s="218" t="s">
        <v>101</v>
      </c>
      <c r="J91" s="11">
        <v>100</v>
      </c>
      <c r="K91" s="11">
        <v>500</v>
      </c>
      <c r="M91" s="13">
        <v>2</v>
      </c>
      <c r="N91" s="11">
        <v>3</v>
      </c>
      <c r="O91" s="11">
        <v>10.45</v>
      </c>
      <c r="P91" s="11">
        <v>10.58</v>
      </c>
      <c r="Q91" s="14">
        <v>3</v>
      </c>
      <c r="R91" s="14">
        <v>11.14</v>
      </c>
      <c r="S91" s="222">
        <v>1</v>
      </c>
      <c r="T91" s="11">
        <v>1</v>
      </c>
      <c r="U91" s="11">
        <v>1</v>
      </c>
      <c r="V91" s="11">
        <v>1</v>
      </c>
      <c r="W91" s="11">
        <v>1</v>
      </c>
      <c r="X91" s="11">
        <v>1</v>
      </c>
      <c r="Y91" s="11">
        <v>1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  <c r="AF91" s="11">
        <v>1</v>
      </c>
      <c r="AG91" s="11">
        <v>1</v>
      </c>
      <c r="AH91" s="11">
        <v>1</v>
      </c>
      <c r="AI91" s="11">
        <v>0</v>
      </c>
      <c r="AJ91" s="11"/>
      <c r="AK91" s="11"/>
      <c r="AL91" s="11"/>
      <c r="AM91" s="13"/>
    </row>
    <row r="92" spans="1:44">
      <c r="C92" s="222"/>
      <c r="D92" s="222"/>
      <c r="E92" s="222"/>
      <c r="G92" s="222" t="s">
        <v>100</v>
      </c>
      <c r="H92" s="222" t="s">
        <v>246</v>
      </c>
      <c r="I92" s="218" t="s">
        <v>101</v>
      </c>
      <c r="J92" s="11">
        <v>100</v>
      </c>
      <c r="K92" s="11">
        <v>500</v>
      </c>
      <c r="M92" s="13">
        <v>3</v>
      </c>
      <c r="N92" s="11">
        <v>3</v>
      </c>
      <c r="O92" s="11">
        <v>11</v>
      </c>
      <c r="P92" s="11">
        <v>11.12</v>
      </c>
      <c r="Q92" s="14">
        <v>3</v>
      </c>
      <c r="R92" s="14">
        <v>11.28</v>
      </c>
      <c r="S92" s="222">
        <v>1</v>
      </c>
      <c r="T92" s="11">
        <v>1</v>
      </c>
      <c r="U92" s="11">
        <v>1</v>
      </c>
      <c r="V92" s="11">
        <v>1</v>
      </c>
      <c r="W92" s="11">
        <v>1</v>
      </c>
      <c r="X92" s="11">
        <v>1</v>
      </c>
      <c r="Y92" s="11">
        <v>1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  <c r="AF92" s="11">
        <v>1</v>
      </c>
      <c r="AG92" s="11">
        <v>1</v>
      </c>
      <c r="AH92" s="11">
        <v>0</v>
      </c>
      <c r="AI92" s="11"/>
      <c r="AJ92" s="11"/>
      <c r="AK92" s="11"/>
      <c r="AL92" s="11"/>
      <c r="AM92" s="13"/>
    </row>
    <row r="93" spans="1:44">
      <c r="C93" s="222"/>
      <c r="D93" s="222"/>
      <c r="E93" s="222"/>
      <c r="G93" s="222" t="s">
        <v>100</v>
      </c>
      <c r="H93" s="222" t="s">
        <v>246</v>
      </c>
      <c r="I93" s="218" t="s">
        <v>101</v>
      </c>
      <c r="J93" s="11">
        <v>100</v>
      </c>
      <c r="K93" s="11">
        <v>500</v>
      </c>
      <c r="M93" s="13">
        <v>4</v>
      </c>
      <c r="N93" s="11">
        <v>2</v>
      </c>
      <c r="O93" s="11">
        <v>11.14</v>
      </c>
      <c r="P93" s="11">
        <v>11.23</v>
      </c>
      <c r="Q93" s="14">
        <v>2</v>
      </c>
      <c r="R93" s="14">
        <v>11.39</v>
      </c>
      <c r="S93" s="222">
        <v>2</v>
      </c>
      <c r="T93" s="11">
        <v>2</v>
      </c>
      <c r="U93" s="11">
        <v>2</v>
      </c>
      <c r="V93" s="11">
        <v>2</v>
      </c>
      <c r="W93" s="11">
        <v>2</v>
      </c>
      <c r="X93" s="11">
        <v>2</v>
      </c>
      <c r="Y93" s="11">
        <v>2</v>
      </c>
      <c r="Z93" s="11">
        <v>2</v>
      </c>
      <c r="AA93" s="11">
        <v>2</v>
      </c>
      <c r="AB93" s="11">
        <v>2</v>
      </c>
      <c r="AC93" s="11">
        <v>2</v>
      </c>
      <c r="AD93" s="11">
        <v>2</v>
      </c>
      <c r="AE93" s="11">
        <v>2</v>
      </c>
      <c r="AF93" s="11">
        <v>2</v>
      </c>
      <c r="AG93" s="11">
        <v>1</v>
      </c>
      <c r="AH93" s="11">
        <v>0</v>
      </c>
      <c r="AI93" s="11"/>
      <c r="AJ93" s="11"/>
      <c r="AK93" s="11"/>
      <c r="AL93" s="11"/>
      <c r="AM93" s="13"/>
    </row>
    <row r="94" spans="1:44">
      <c r="C94" s="222"/>
      <c r="D94" s="222"/>
      <c r="E94" s="222"/>
      <c r="G94" s="222" t="s">
        <v>100</v>
      </c>
      <c r="H94" s="222" t="s">
        <v>246</v>
      </c>
      <c r="I94" s="218" t="s">
        <v>101</v>
      </c>
      <c r="J94" s="11">
        <v>100</v>
      </c>
      <c r="K94" s="11">
        <v>500</v>
      </c>
      <c r="M94" s="13">
        <v>5</v>
      </c>
      <c r="N94" s="11">
        <v>3</v>
      </c>
      <c r="O94" s="11">
        <v>11.32</v>
      </c>
      <c r="P94" s="11">
        <v>11.45</v>
      </c>
      <c r="Q94" s="14">
        <v>3</v>
      </c>
      <c r="R94" s="14">
        <v>12.02</v>
      </c>
      <c r="S94" s="222">
        <v>2</v>
      </c>
      <c r="T94" s="11">
        <v>2</v>
      </c>
      <c r="U94" s="11">
        <v>2</v>
      </c>
      <c r="V94" s="11">
        <v>2</v>
      </c>
      <c r="W94" s="11">
        <v>2</v>
      </c>
      <c r="X94" s="11">
        <v>2</v>
      </c>
      <c r="Y94" s="11">
        <v>1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  <c r="AF94" s="11">
        <v>1</v>
      </c>
      <c r="AG94" s="11">
        <v>1</v>
      </c>
      <c r="AH94" s="11">
        <v>0</v>
      </c>
      <c r="AI94" s="11"/>
      <c r="AJ94" s="11"/>
      <c r="AK94" s="11"/>
      <c r="AL94" s="11"/>
      <c r="AM94" s="13"/>
    </row>
    <row r="95" spans="1:44">
      <c r="C95" s="222"/>
      <c r="D95" s="222"/>
      <c r="E95" s="222"/>
      <c r="G95" s="222" t="s">
        <v>100</v>
      </c>
      <c r="H95" s="222" t="s">
        <v>246</v>
      </c>
      <c r="I95" s="218" t="s">
        <v>101</v>
      </c>
      <c r="J95" s="11">
        <v>100</v>
      </c>
      <c r="K95" s="11">
        <v>500</v>
      </c>
      <c r="M95" s="13">
        <v>6</v>
      </c>
      <c r="N95" s="11">
        <v>3</v>
      </c>
      <c r="O95" s="11">
        <v>11.46</v>
      </c>
      <c r="P95" s="11">
        <v>11.59</v>
      </c>
      <c r="Q95" s="14">
        <v>3</v>
      </c>
      <c r="R95" s="14">
        <v>12.15</v>
      </c>
      <c r="S95" s="222">
        <v>1</v>
      </c>
      <c r="T95" s="11">
        <v>1</v>
      </c>
      <c r="U95" s="11">
        <v>1</v>
      </c>
      <c r="V95" s="11">
        <v>1</v>
      </c>
      <c r="W95" s="11">
        <v>1</v>
      </c>
      <c r="X95" s="11">
        <v>1</v>
      </c>
      <c r="Y95" s="11">
        <v>1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  <c r="AF95" s="11">
        <v>1</v>
      </c>
      <c r="AG95" s="11">
        <v>1</v>
      </c>
      <c r="AH95" s="11">
        <v>1</v>
      </c>
      <c r="AI95" s="11">
        <v>1</v>
      </c>
      <c r="AJ95" s="11">
        <v>1</v>
      </c>
      <c r="AK95" s="11">
        <v>0</v>
      </c>
      <c r="AL95" s="11"/>
      <c r="AM95" s="13"/>
    </row>
    <row r="96" spans="1:44">
      <c r="C96" s="222"/>
      <c r="D96" s="222"/>
      <c r="E96" s="222"/>
      <c r="G96" s="222" t="s">
        <v>100</v>
      </c>
      <c r="H96" s="222" t="s">
        <v>246</v>
      </c>
      <c r="I96" s="218" t="s">
        <v>101</v>
      </c>
      <c r="J96" s="11">
        <v>100</v>
      </c>
      <c r="K96" s="11">
        <v>500</v>
      </c>
      <c r="M96" s="13">
        <v>7</v>
      </c>
      <c r="N96" s="11">
        <v>4</v>
      </c>
      <c r="O96" s="11">
        <v>12.09</v>
      </c>
      <c r="P96" s="11">
        <v>12.2</v>
      </c>
      <c r="Q96" s="14">
        <v>4</v>
      </c>
      <c r="R96" s="14">
        <v>12.37</v>
      </c>
      <c r="S96" s="222">
        <v>3</v>
      </c>
      <c r="T96" s="11">
        <v>3</v>
      </c>
      <c r="U96" s="11">
        <v>3</v>
      </c>
      <c r="V96" s="11">
        <v>3</v>
      </c>
      <c r="W96" s="11">
        <v>3</v>
      </c>
      <c r="X96" s="11">
        <v>3</v>
      </c>
      <c r="Y96" s="11">
        <v>3</v>
      </c>
      <c r="Z96" s="11">
        <v>3</v>
      </c>
      <c r="AA96" s="11">
        <v>3</v>
      </c>
      <c r="AB96" s="11">
        <v>3</v>
      </c>
      <c r="AC96" s="11">
        <v>1</v>
      </c>
      <c r="AD96" s="11">
        <v>1</v>
      </c>
      <c r="AE96" s="11">
        <v>1</v>
      </c>
      <c r="AF96" s="11">
        <v>0</v>
      </c>
      <c r="AG96" s="11"/>
      <c r="AH96" s="11"/>
      <c r="AI96" s="11"/>
      <c r="AJ96" s="11"/>
      <c r="AK96" s="11"/>
      <c r="AL96" s="11"/>
      <c r="AM96" s="13"/>
    </row>
    <row r="97" spans="1:44">
      <c r="C97" s="222"/>
      <c r="D97" s="222"/>
      <c r="E97" s="222"/>
      <c r="G97" s="222" t="s">
        <v>100</v>
      </c>
      <c r="H97" s="222" t="s">
        <v>246</v>
      </c>
      <c r="I97" s="218" t="s">
        <v>101</v>
      </c>
      <c r="J97" s="11">
        <v>100</v>
      </c>
      <c r="K97" s="11">
        <v>500</v>
      </c>
      <c r="M97" s="13" t="s">
        <v>102</v>
      </c>
      <c r="N97" s="11">
        <v>4</v>
      </c>
      <c r="O97" s="11" t="s">
        <v>61</v>
      </c>
      <c r="P97" s="11" t="s">
        <v>61</v>
      </c>
      <c r="Q97" s="14">
        <v>4</v>
      </c>
      <c r="R97" s="14" t="s">
        <v>61</v>
      </c>
      <c r="S97" s="222">
        <v>1</v>
      </c>
      <c r="T97" s="11">
        <v>1</v>
      </c>
      <c r="U97" s="11">
        <v>1</v>
      </c>
      <c r="V97" s="11">
        <v>1</v>
      </c>
      <c r="W97" s="11">
        <v>1</v>
      </c>
      <c r="X97" s="11">
        <v>1</v>
      </c>
      <c r="Y97" s="11">
        <v>1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  <c r="AF97" s="11">
        <v>1</v>
      </c>
      <c r="AG97" s="11">
        <v>1</v>
      </c>
      <c r="AH97" s="11">
        <v>1</v>
      </c>
      <c r="AI97" s="11">
        <v>1</v>
      </c>
      <c r="AJ97" s="11">
        <v>1</v>
      </c>
      <c r="AK97" s="11">
        <v>1</v>
      </c>
      <c r="AL97" s="11">
        <v>1</v>
      </c>
      <c r="AM97" s="13">
        <v>0</v>
      </c>
    </row>
    <row r="98" spans="1:44">
      <c r="C98" s="222"/>
      <c r="D98" s="222"/>
      <c r="E98" s="222"/>
      <c r="G98" s="222" t="s">
        <v>100</v>
      </c>
      <c r="H98" s="222" t="s">
        <v>246</v>
      </c>
      <c r="I98" s="218" t="s">
        <v>101</v>
      </c>
      <c r="J98" s="11">
        <v>100</v>
      </c>
      <c r="K98" s="11">
        <v>500</v>
      </c>
      <c r="M98" s="13" t="s">
        <v>103</v>
      </c>
      <c r="N98" s="11">
        <v>5</v>
      </c>
      <c r="O98" s="11" t="s">
        <v>61</v>
      </c>
      <c r="P98" s="11" t="s">
        <v>61</v>
      </c>
      <c r="Q98" s="14">
        <v>5</v>
      </c>
      <c r="R98" s="14">
        <v>10.51</v>
      </c>
      <c r="S98" s="222">
        <v>5</v>
      </c>
      <c r="T98" s="11">
        <v>5</v>
      </c>
      <c r="U98" s="11">
        <v>5</v>
      </c>
      <c r="V98" s="11">
        <v>5</v>
      </c>
      <c r="W98" s="11">
        <v>5</v>
      </c>
      <c r="X98" s="11">
        <v>5</v>
      </c>
      <c r="Y98" s="11">
        <v>5</v>
      </c>
      <c r="Z98" s="11">
        <v>5</v>
      </c>
      <c r="AA98" s="11">
        <v>5</v>
      </c>
      <c r="AB98" s="11">
        <v>5</v>
      </c>
      <c r="AC98" s="11">
        <v>5</v>
      </c>
      <c r="AD98" s="11">
        <v>5</v>
      </c>
      <c r="AE98" s="11">
        <v>5</v>
      </c>
      <c r="AF98" s="11">
        <v>5</v>
      </c>
      <c r="AG98" s="11">
        <v>3</v>
      </c>
      <c r="AH98" s="11">
        <v>1</v>
      </c>
      <c r="AI98" s="11">
        <v>1</v>
      </c>
      <c r="AJ98" s="11">
        <v>1</v>
      </c>
      <c r="AK98" s="11">
        <v>1</v>
      </c>
      <c r="AL98" s="11">
        <v>0</v>
      </c>
      <c r="AM98" s="13"/>
    </row>
    <row r="99" spans="1:44">
      <c r="C99" s="222"/>
      <c r="D99" s="222"/>
      <c r="E99" s="222"/>
      <c r="G99" s="222" t="s">
        <v>100</v>
      </c>
      <c r="H99" s="222" t="s">
        <v>246</v>
      </c>
      <c r="I99" s="218" t="s">
        <v>101</v>
      </c>
      <c r="J99" s="11">
        <v>100</v>
      </c>
      <c r="K99" s="11">
        <v>500</v>
      </c>
      <c r="M99" s="13" t="s">
        <v>104</v>
      </c>
      <c r="N99" s="11">
        <v>4</v>
      </c>
      <c r="O99" s="11" t="s">
        <v>61</v>
      </c>
      <c r="P99" s="11" t="s">
        <v>61</v>
      </c>
      <c r="Q99" s="14">
        <v>4</v>
      </c>
      <c r="R99" s="14">
        <v>11.1</v>
      </c>
      <c r="S99" s="222">
        <v>0</v>
      </c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3"/>
    </row>
    <row r="100" spans="1:44">
      <c r="C100" s="222"/>
      <c r="D100" s="222"/>
      <c r="E100" s="222"/>
      <c r="G100" s="222" t="s">
        <v>100</v>
      </c>
      <c r="H100" s="222" t="s">
        <v>246</v>
      </c>
      <c r="I100" s="218" t="s">
        <v>101</v>
      </c>
      <c r="J100" s="11">
        <v>100</v>
      </c>
      <c r="K100" s="11">
        <v>500</v>
      </c>
      <c r="M100" s="13" t="s">
        <v>105</v>
      </c>
      <c r="N100" s="11">
        <v>4</v>
      </c>
      <c r="O100" s="11" t="s">
        <v>61</v>
      </c>
      <c r="P100" s="11" t="s">
        <v>61</v>
      </c>
      <c r="Q100" s="14">
        <v>4</v>
      </c>
      <c r="R100" s="14">
        <v>11.4</v>
      </c>
      <c r="S100" s="222">
        <v>0</v>
      </c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3"/>
    </row>
    <row r="101" spans="1:44">
      <c r="C101" s="222"/>
      <c r="D101" s="222"/>
      <c r="E101" s="222"/>
      <c r="G101" s="222" t="s">
        <v>100</v>
      </c>
      <c r="H101" s="222" t="s">
        <v>246</v>
      </c>
      <c r="I101" s="218" t="s">
        <v>101</v>
      </c>
      <c r="J101" s="11">
        <v>100</v>
      </c>
      <c r="K101" s="11">
        <v>500</v>
      </c>
      <c r="M101" s="13" t="s">
        <v>106</v>
      </c>
      <c r="N101" s="11">
        <v>4</v>
      </c>
      <c r="O101" s="11" t="s">
        <v>61</v>
      </c>
      <c r="P101" s="11" t="s">
        <v>61</v>
      </c>
      <c r="Q101" s="14">
        <v>4</v>
      </c>
      <c r="R101" s="14">
        <v>12.01</v>
      </c>
      <c r="S101" s="222">
        <v>0</v>
      </c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3"/>
    </row>
    <row r="102" spans="1:44">
      <c r="C102" s="222"/>
      <c r="D102" s="222"/>
      <c r="E102" s="222"/>
      <c r="G102" s="222" t="s">
        <v>100</v>
      </c>
      <c r="H102" s="222" t="s">
        <v>246</v>
      </c>
      <c r="I102" s="218" t="s">
        <v>101</v>
      </c>
      <c r="J102" s="11">
        <v>100</v>
      </c>
      <c r="K102" s="11">
        <v>500</v>
      </c>
      <c r="M102" s="13" t="s">
        <v>107</v>
      </c>
      <c r="N102" s="11">
        <v>5</v>
      </c>
      <c r="O102" s="11" t="s">
        <v>61</v>
      </c>
      <c r="P102" s="11" t="s">
        <v>61</v>
      </c>
      <c r="Q102" s="14">
        <v>5</v>
      </c>
      <c r="R102" s="14">
        <v>12.2</v>
      </c>
      <c r="S102" s="222">
        <v>2</v>
      </c>
      <c r="T102" s="11">
        <v>2</v>
      </c>
      <c r="U102" s="11">
        <v>2</v>
      </c>
      <c r="V102" s="11">
        <v>2</v>
      </c>
      <c r="W102" s="11">
        <v>2</v>
      </c>
      <c r="X102" s="11">
        <v>2</v>
      </c>
      <c r="Y102" s="11">
        <v>2</v>
      </c>
      <c r="Z102" s="11">
        <v>2</v>
      </c>
      <c r="AA102" s="11">
        <v>2</v>
      </c>
      <c r="AB102" s="11">
        <v>2</v>
      </c>
      <c r="AC102" s="11">
        <v>2</v>
      </c>
      <c r="AD102" s="11">
        <v>2</v>
      </c>
      <c r="AE102" s="11">
        <v>2</v>
      </c>
      <c r="AF102" s="11">
        <v>0</v>
      </c>
      <c r="AG102" s="11"/>
      <c r="AH102" s="11"/>
      <c r="AI102" s="11"/>
      <c r="AJ102" s="11"/>
      <c r="AK102" s="11"/>
      <c r="AL102" s="11"/>
      <c r="AM102" s="13"/>
    </row>
    <row r="103" spans="1:44" s="311" customFormat="1" ht="15.75" thickBot="1">
      <c r="A103" s="321"/>
      <c r="B103" s="321"/>
      <c r="C103" s="306"/>
      <c r="D103" s="306"/>
      <c r="E103" s="306"/>
      <c r="F103" s="321"/>
      <c r="G103" s="305" t="s">
        <v>100</v>
      </c>
      <c r="H103" s="306" t="s">
        <v>246</v>
      </c>
      <c r="I103" s="307" t="s">
        <v>101</v>
      </c>
      <c r="J103" s="308">
        <v>100</v>
      </c>
      <c r="K103" s="308">
        <v>500</v>
      </c>
      <c r="L103" s="319"/>
      <c r="M103" s="305" t="s">
        <v>108</v>
      </c>
      <c r="N103" s="308">
        <v>3</v>
      </c>
      <c r="O103" s="308" t="s">
        <v>61</v>
      </c>
      <c r="P103" s="308" t="s">
        <v>61</v>
      </c>
      <c r="Q103" s="309">
        <v>3</v>
      </c>
      <c r="R103" s="309">
        <v>12.34</v>
      </c>
      <c r="S103" s="306">
        <v>0</v>
      </c>
      <c r="T103" s="308"/>
      <c r="U103" s="308"/>
      <c r="V103" s="308"/>
      <c r="W103" s="308"/>
      <c r="X103" s="308"/>
      <c r="Y103" s="308"/>
      <c r="Z103" s="308"/>
      <c r="AA103" s="308"/>
      <c r="AB103" s="308"/>
      <c r="AC103" s="308"/>
      <c r="AD103" s="308"/>
      <c r="AE103" s="308"/>
      <c r="AF103" s="308"/>
      <c r="AG103" s="308"/>
      <c r="AH103" s="308"/>
      <c r="AI103" s="308"/>
      <c r="AJ103" s="308"/>
      <c r="AK103" s="308"/>
      <c r="AL103" s="308"/>
      <c r="AM103" s="305"/>
      <c r="AN103" s="308"/>
      <c r="AO103" s="319"/>
      <c r="AR103" s="303"/>
    </row>
    <row r="104" spans="1:44">
      <c r="A104" s="43">
        <v>8</v>
      </c>
      <c r="B104" s="44">
        <v>45932</v>
      </c>
      <c r="C104" s="222" t="s">
        <v>306</v>
      </c>
      <c r="D104" s="222" t="s">
        <v>309</v>
      </c>
      <c r="E104" s="222" t="s">
        <v>841</v>
      </c>
      <c r="F104" s="31" t="s">
        <v>294</v>
      </c>
      <c r="G104" s="222" t="s">
        <v>109</v>
      </c>
      <c r="H104" s="222" t="s">
        <v>274</v>
      </c>
      <c r="I104" s="218" t="s">
        <v>110</v>
      </c>
      <c r="J104" s="11">
        <v>100</v>
      </c>
      <c r="K104" s="11">
        <v>500</v>
      </c>
      <c r="L104" s="13">
        <v>60</v>
      </c>
      <c r="M104" s="235">
        <v>1</v>
      </c>
      <c r="N104" s="260">
        <v>6</v>
      </c>
      <c r="O104" s="260">
        <v>10.050000000000001</v>
      </c>
      <c r="P104" s="260">
        <v>10.3</v>
      </c>
      <c r="Q104" s="265">
        <v>6</v>
      </c>
      <c r="R104" s="265">
        <v>10.45</v>
      </c>
      <c r="S104" s="434">
        <v>4</v>
      </c>
      <c r="T104" s="261">
        <v>4</v>
      </c>
      <c r="U104" s="261">
        <v>4</v>
      </c>
      <c r="V104" s="261">
        <v>4</v>
      </c>
      <c r="W104" s="261">
        <v>4</v>
      </c>
      <c r="X104" s="261">
        <v>4</v>
      </c>
      <c r="Y104" s="261">
        <v>4</v>
      </c>
      <c r="Z104" s="261">
        <v>4</v>
      </c>
      <c r="AA104" s="261">
        <v>4</v>
      </c>
      <c r="AB104" s="261">
        <v>4</v>
      </c>
      <c r="AC104" s="261">
        <v>4</v>
      </c>
      <c r="AD104" s="261">
        <v>1</v>
      </c>
      <c r="AE104" s="261">
        <v>1</v>
      </c>
      <c r="AF104" s="261"/>
      <c r="AG104" s="261"/>
      <c r="AH104" s="261"/>
      <c r="AI104" s="261"/>
      <c r="AJ104" s="261"/>
      <c r="AK104" s="261"/>
      <c r="AL104" s="264"/>
      <c r="AM104" s="261"/>
      <c r="AN104" s="261"/>
      <c r="AO104" s="435"/>
      <c r="AP104" s="261"/>
      <c r="AR104" s="43" t="s">
        <v>247</v>
      </c>
    </row>
    <row r="105" spans="1:44">
      <c r="C105" s="222"/>
      <c r="D105" s="222" t="s">
        <v>310</v>
      </c>
      <c r="E105" s="222" t="s">
        <v>839</v>
      </c>
      <c r="G105" s="222" t="s">
        <v>109</v>
      </c>
      <c r="H105" s="222" t="s">
        <v>274</v>
      </c>
      <c r="I105" s="218" t="s">
        <v>110</v>
      </c>
      <c r="J105" s="11">
        <v>100</v>
      </c>
      <c r="K105" s="11">
        <v>500</v>
      </c>
      <c r="M105" s="236">
        <v>2</v>
      </c>
      <c r="N105" s="260">
        <v>4</v>
      </c>
      <c r="O105" s="260">
        <v>10.31</v>
      </c>
      <c r="P105" s="260">
        <v>10.47</v>
      </c>
      <c r="Q105" s="265">
        <v>4</v>
      </c>
      <c r="R105" s="265">
        <v>11.03</v>
      </c>
      <c r="S105" s="434">
        <v>2</v>
      </c>
      <c r="T105" s="261">
        <v>2</v>
      </c>
      <c r="U105" s="261">
        <v>2</v>
      </c>
      <c r="V105" s="261">
        <v>2</v>
      </c>
      <c r="W105" s="261"/>
      <c r="X105" s="261"/>
      <c r="Y105" s="261"/>
      <c r="Z105" s="261"/>
      <c r="AA105" s="261"/>
      <c r="AB105" s="261"/>
      <c r="AC105" s="261"/>
      <c r="AD105" s="261"/>
      <c r="AE105" s="261"/>
      <c r="AF105" s="261"/>
      <c r="AG105" s="261"/>
      <c r="AH105" s="261"/>
      <c r="AI105" s="261"/>
      <c r="AJ105" s="261"/>
      <c r="AK105" s="261"/>
      <c r="AL105" s="436"/>
      <c r="AM105" s="261"/>
      <c r="AN105" s="261"/>
      <c r="AO105" s="435"/>
      <c r="AP105" s="261"/>
    </row>
    <row r="106" spans="1:44">
      <c r="C106" s="222"/>
      <c r="D106" s="222"/>
      <c r="E106" s="222" t="s">
        <v>842</v>
      </c>
      <c r="G106" s="222" t="s">
        <v>109</v>
      </c>
      <c r="H106" s="222" t="s">
        <v>274</v>
      </c>
      <c r="I106" s="218" t="s">
        <v>110</v>
      </c>
      <c r="J106" s="11">
        <v>100</v>
      </c>
      <c r="K106" s="11">
        <v>500</v>
      </c>
      <c r="M106" s="236">
        <v>3</v>
      </c>
      <c r="N106" s="260">
        <v>6</v>
      </c>
      <c r="O106" s="260">
        <v>10.48</v>
      </c>
      <c r="P106" s="260">
        <v>11.13</v>
      </c>
      <c r="Q106" s="265">
        <v>6</v>
      </c>
      <c r="R106" s="265">
        <v>11.29</v>
      </c>
      <c r="S106" s="434">
        <v>3</v>
      </c>
      <c r="T106" s="261">
        <v>3</v>
      </c>
      <c r="U106" s="261">
        <v>3</v>
      </c>
      <c r="V106" s="261">
        <v>3</v>
      </c>
      <c r="W106" s="261">
        <v>3</v>
      </c>
      <c r="X106" s="261">
        <v>3</v>
      </c>
      <c r="Y106" s="261">
        <v>3</v>
      </c>
      <c r="Z106" s="261">
        <v>3</v>
      </c>
      <c r="AA106" s="261">
        <v>3</v>
      </c>
      <c r="AB106" s="261">
        <v>3</v>
      </c>
      <c r="AC106" s="261">
        <v>3</v>
      </c>
      <c r="AD106" s="261">
        <v>2</v>
      </c>
      <c r="AE106" s="261">
        <v>2</v>
      </c>
      <c r="AF106" s="261">
        <v>2</v>
      </c>
      <c r="AG106" s="261">
        <v>1</v>
      </c>
      <c r="AH106" s="261">
        <v>1</v>
      </c>
      <c r="AI106" s="261">
        <v>1</v>
      </c>
      <c r="AJ106" s="261">
        <v>1</v>
      </c>
      <c r="AK106" s="261"/>
      <c r="AL106" s="436"/>
      <c r="AM106" s="261"/>
      <c r="AN106" s="261"/>
      <c r="AO106" s="435"/>
      <c r="AP106" s="261"/>
    </row>
    <row r="107" spans="1:44">
      <c r="C107" s="222"/>
      <c r="D107" s="222"/>
      <c r="E107" s="222" t="s">
        <v>839</v>
      </c>
      <c r="G107" s="222" t="s">
        <v>109</v>
      </c>
      <c r="H107" s="222" t="s">
        <v>274</v>
      </c>
      <c r="I107" s="218" t="s">
        <v>110</v>
      </c>
      <c r="J107" s="11">
        <v>100</v>
      </c>
      <c r="K107" s="11">
        <v>500</v>
      </c>
      <c r="M107" s="236">
        <v>4</v>
      </c>
      <c r="N107" s="260">
        <v>5</v>
      </c>
      <c r="O107" s="260">
        <v>11.15</v>
      </c>
      <c r="P107" s="260">
        <v>11.38</v>
      </c>
      <c r="Q107" s="265">
        <v>5</v>
      </c>
      <c r="R107" s="265">
        <v>11.53</v>
      </c>
      <c r="S107" s="434">
        <v>4</v>
      </c>
      <c r="T107" s="261">
        <v>4</v>
      </c>
      <c r="U107" s="261">
        <v>4</v>
      </c>
      <c r="V107" s="261">
        <v>4</v>
      </c>
      <c r="W107" s="261">
        <v>4</v>
      </c>
      <c r="X107" s="261">
        <v>4</v>
      </c>
      <c r="Y107" s="261">
        <v>2</v>
      </c>
      <c r="Z107" s="261">
        <v>2</v>
      </c>
      <c r="AA107" s="261">
        <v>2</v>
      </c>
      <c r="AB107" s="261">
        <v>2</v>
      </c>
      <c r="AC107" s="261"/>
      <c r="AD107" s="261"/>
      <c r="AE107" s="261"/>
      <c r="AF107" s="261"/>
      <c r="AG107" s="261"/>
      <c r="AH107" s="261"/>
      <c r="AI107" s="261"/>
      <c r="AJ107" s="261"/>
      <c r="AK107" s="261"/>
      <c r="AL107" s="436"/>
      <c r="AM107" s="261"/>
      <c r="AN107" s="261"/>
      <c r="AO107" s="435"/>
      <c r="AP107" s="261"/>
    </row>
    <row r="108" spans="1:44">
      <c r="C108" s="222"/>
      <c r="D108" s="222"/>
      <c r="E108" s="222"/>
      <c r="G108" s="13" t="s">
        <v>109</v>
      </c>
      <c r="H108" s="18" t="s">
        <v>274</v>
      </c>
      <c r="I108" s="267" t="s">
        <v>110</v>
      </c>
      <c r="J108" s="19">
        <v>100</v>
      </c>
      <c r="K108" s="11">
        <v>500</v>
      </c>
      <c r="M108" s="237">
        <v>5</v>
      </c>
      <c r="N108" s="262">
        <v>6</v>
      </c>
      <c r="O108" s="262">
        <v>11.39</v>
      </c>
      <c r="P108" s="262">
        <v>12.18</v>
      </c>
      <c r="Q108" s="437">
        <v>6</v>
      </c>
      <c r="R108" s="437">
        <v>12.33</v>
      </c>
      <c r="S108" s="438">
        <v>6</v>
      </c>
      <c r="T108" s="263">
        <v>4</v>
      </c>
      <c r="U108" s="263">
        <v>4</v>
      </c>
      <c r="V108" s="263">
        <v>4</v>
      </c>
      <c r="W108" s="261">
        <v>4</v>
      </c>
      <c r="X108" s="261">
        <v>4</v>
      </c>
      <c r="Y108" s="263">
        <v>4</v>
      </c>
      <c r="Z108" s="263">
        <v>3</v>
      </c>
      <c r="AA108" s="263">
        <v>3</v>
      </c>
      <c r="AB108" s="263">
        <v>3</v>
      </c>
      <c r="AC108" s="263">
        <v>3</v>
      </c>
      <c r="AD108" s="263" t="s">
        <v>207</v>
      </c>
      <c r="AE108" s="263">
        <v>2</v>
      </c>
      <c r="AF108" s="263">
        <v>2</v>
      </c>
      <c r="AG108" s="263">
        <v>2</v>
      </c>
      <c r="AH108" s="263">
        <v>2</v>
      </c>
      <c r="AI108" s="263">
        <v>2</v>
      </c>
      <c r="AJ108" s="263">
        <v>1</v>
      </c>
      <c r="AK108" s="263">
        <v>1</v>
      </c>
      <c r="AL108" s="439">
        <v>1</v>
      </c>
      <c r="AM108" s="263">
        <v>1</v>
      </c>
      <c r="AN108" s="263">
        <v>1</v>
      </c>
      <c r="AO108" s="440">
        <v>1</v>
      </c>
      <c r="AP108" s="263">
        <v>0</v>
      </c>
      <c r="AQ108" s="256" t="s">
        <v>311</v>
      </c>
    </row>
    <row r="109" spans="1:44" s="180" customFormat="1">
      <c r="A109" s="31"/>
      <c r="B109" s="31"/>
      <c r="C109" s="222"/>
      <c r="D109" s="222"/>
      <c r="E109" s="222"/>
      <c r="F109" s="31"/>
      <c r="G109" s="221" t="s">
        <v>109</v>
      </c>
      <c r="H109" s="222" t="s">
        <v>274</v>
      </c>
      <c r="I109" s="217" t="s">
        <v>110</v>
      </c>
      <c r="J109" s="160">
        <v>100</v>
      </c>
      <c r="K109" s="160">
        <v>500</v>
      </c>
      <c r="L109" s="34">
        <v>76</v>
      </c>
      <c r="M109" s="34">
        <v>1</v>
      </c>
      <c r="N109" s="160">
        <v>4</v>
      </c>
      <c r="O109" s="160">
        <v>10.01</v>
      </c>
      <c r="P109" s="160">
        <v>10.19</v>
      </c>
      <c r="Q109" s="35">
        <v>4</v>
      </c>
      <c r="R109" s="35">
        <v>10.39</v>
      </c>
      <c r="S109" s="221">
        <v>1</v>
      </c>
      <c r="T109" s="160">
        <v>1</v>
      </c>
      <c r="U109" s="160">
        <v>1</v>
      </c>
      <c r="V109" s="160">
        <v>1</v>
      </c>
      <c r="W109" s="160">
        <v>1</v>
      </c>
      <c r="X109" s="160">
        <v>1</v>
      </c>
      <c r="Y109" s="160">
        <v>1</v>
      </c>
      <c r="Z109" s="160">
        <v>1</v>
      </c>
      <c r="AA109" s="160">
        <v>1</v>
      </c>
      <c r="AB109" s="160">
        <v>1</v>
      </c>
      <c r="AC109" s="160">
        <v>1</v>
      </c>
      <c r="AD109" s="160">
        <v>1</v>
      </c>
      <c r="AE109" s="160">
        <v>1</v>
      </c>
      <c r="AF109" s="160">
        <v>1</v>
      </c>
      <c r="AG109" s="160">
        <v>1</v>
      </c>
      <c r="AH109" s="160">
        <v>1</v>
      </c>
      <c r="AI109" s="160">
        <v>0</v>
      </c>
      <c r="AJ109" s="160"/>
      <c r="AK109" s="160"/>
      <c r="AL109" s="160"/>
      <c r="AM109" s="179"/>
      <c r="AN109" s="160"/>
      <c r="AO109" s="179"/>
      <c r="AR109" s="227" t="s">
        <v>260</v>
      </c>
    </row>
    <row r="110" spans="1:44">
      <c r="C110" s="222"/>
      <c r="D110" s="222"/>
      <c r="E110" s="222"/>
      <c r="G110" s="222" t="s">
        <v>109</v>
      </c>
      <c r="H110" s="222" t="s">
        <v>274</v>
      </c>
      <c r="I110" s="218" t="s">
        <v>110</v>
      </c>
      <c r="J110" s="11">
        <v>100</v>
      </c>
      <c r="K110" s="11">
        <v>500</v>
      </c>
      <c r="M110" s="13">
        <v>2</v>
      </c>
      <c r="N110" s="11">
        <v>4</v>
      </c>
      <c r="O110" s="11">
        <v>10.24</v>
      </c>
      <c r="P110" s="11">
        <v>10.35</v>
      </c>
      <c r="Q110" s="14">
        <v>4</v>
      </c>
      <c r="R110" s="14">
        <v>10.53</v>
      </c>
      <c r="S110" s="222">
        <v>2</v>
      </c>
      <c r="T110" s="11">
        <v>2</v>
      </c>
      <c r="U110" s="11">
        <v>2</v>
      </c>
      <c r="V110" s="11">
        <v>2</v>
      </c>
      <c r="W110" s="11">
        <v>2</v>
      </c>
      <c r="X110" s="11">
        <v>2</v>
      </c>
      <c r="Y110" s="11">
        <v>2</v>
      </c>
      <c r="Z110" s="11">
        <v>2</v>
      </c>
      <c r="AA110" s="11">
        <v>2</v>
      </c>
      <c r="AB110" s="11">
        <v>2</v>
      </c>
      <c r="AC110" s="11">
        <v>2</v>
      </c>
      <c r="AD110" s="11">
        <v>2</v>
      </c>
      <c r="AE110" s="11">
        <v>2</v>
      </c>
      <c r="AF110" s="11">
        <v>2</v>
      </c>
      <c r="AG110" s="11">
        <v>2</v>
      </c>
      <c r="AH110" s="11">
        <v>1</v>
      </c>
      <c r="AI110" s="11">
        <v>1</v>
      </c>
      <c r="AJ110" s="11">
        <v>1</v>
      </c>
      <c r="AK110" s="11">
        <v>1</v>
      </c>
      <c r="AL110" s="11">
        <v>0</v>
      </c>
    </row>
    <row r="111" spans="1:44">
      <c r="C111" s="222"/>
      <c r="D111" s="222"/>
      <c r="E111" s="222"/>
      <c r="G111" s="222" t="s">
        <v>109</v>
      </c>
      <c r="H111" s="222" t="s">
        <v>274</v>
      </c>
      <c r="I111" s="218" t="s">
        <v>110</v>
      </c>
      <c r="J111" s="11">
        <v>100</v>
      </c>
      <c r="K111" s="11">
        <v>500</v>
      </c>
      <c r="M111" s="13">
        <v>3</v>
      </c>
      <c r="N111" s="11">
        <v>4</v>
      </c>
      <c r="O111" s="11">
        <v>10.41</v>
      </c>
      <c r="P111" s="11">
        <v>10.57</v>
      </c>
      <c r="Q111" s="14">
        <v>4</v>
      </c>
      <c r="R111" s="14">
        <v>11.14</v>
      </c>
      <c r="S111" s="222">
        <v>4</v>
      </c>
      <c r="T111" s="11">
        <v>4</v>
      </c>
      <c r="U111" s="11">
        <v>4</v>
      </c>
      <c r="V111" s="11">
        <v>4</v>
      </c>
      <c r="W111" s="11">
        <v>4</v>
      </c>
      <c r="X111" s="11">
        <v>4</v>
      </c>
      <c r="Y111" s="11">
        <v>4</v>
      </c>
      <c r="Z111" s="11">
        <v>4</v>
      </c>
      <c r="AA111" s="11">
        <v>4</v>
      </c>
      <c r="AB111" s="11">
        <v>4</v>
      </c>
      <c r="AC111" s="11">
        <v>4</v>
      </c>
      <c r="AD111" s="11">
        <v>4</v>
      </c>
      <c r="AE111" s="11">
        <v>4</v>
      </c>
      <c r="AF111" s="11">
        <v>3</v>
      </c>
      <c r="AG111" s="11">
        <v>3</v>
      </c>
      <c r="AH111" s="11">
        <v>3</v>
      </c>
      <c r="AI111" s="11">
        <v>2</v>
      </c>
      <c r="AJ111" s="11">
        <v>2</v>
      </c>
      <c r="AK111" s="11">
        <v>2</v>
      </c>
      <c r="AL111" s="11">
        <v>0</v>
      </c>
    </row>
    <row r="112" spans="1:44">
      <c r="C112" s="222"/>
      <c r="D112" s="222"/>
      <c r="E112" s="222"/>
      <c r="G112" s="222" t="s">
        <v>109</v>
      </c>
      <c r="H112" s="222" t="s">
        <v>274</v>
      </c>
      <c r="I112" s="218" t="s">
        <v>110</v>
      </c>
      <c r="J112" s="11">
        <v>100</v>
      </c>
      <c r="K112" s="11">
        <v>500</v>
      </c>
      <c r="M112" s="13">
        <v>4</v>
      </c>
      <c r="N112" s="11">
        <v>1</v>
      </c>
      <c r="O112" s="11">
        <v>11</v>
      </c>
      <c r="P112" s="11">
        <v>11.16</v>
      </c>
      <c r="Q112" s="14">
        <v>1</v>
      </c>
      <c r="R112" s="14">
        <v>11.3</v>
      </c>
      <c r="S112" s="222">
        <v>1</v>
      </c>
      <c r="T112" s="11">
        <v>1</v>
      </c>
      <c r="U112" s="11">
        <v>1</v>
      </c>
      <c r="V112" s="11">
        <v>1</v>
      </c>
      <c r="W112" s="11">
        <v>1</v>
      </c>
      <c r="X112" s="11">
        <v>1</v>
      </c>
      <c r="Y112" s="11">
        <v>1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  <c r="AF112" s="11">
        <v>1</v>
      </c>
      <c r="AG112" s="11">
        <v>1</v>
      </c>
      <c r="AH112" s="11">
        <v>1</v>
      </c>
      <c r="AI112" s="11">
        <v>1</v>
      </c>
      <c r="AJ112" s="11">
        <v>1</v>
      </c>
      <c r="AK112" s="11">
        <v>0</v>
      </c>
      <c r="AL112" s="11"/>
    </row>
    <row r="113" spans="1:44">
      <c r="C113" s="222"/>
      <c r="D113" s="222"/>
      <c r="E113" s="222"/>
      <c r="G113" s="222" t="s">
        <v>109</v>
      </c>
      <c r="H113" s="222" t="s">
        <v>274</v>
      </c>
      <c r="I113" s="218" t="s">
        <v>110</v>
      </c>
      <c r="J113" s="11">
        <v>100</v>
      </c>
      <c r="K113" s="11">
        <v>500</v>
      </c>
      <c r="M113" s="13">
        <v>5</v>
      </c>
      <c r="N113" s="11">
        <v>4</v>
      </c>
      <c r="O113" s="11">
        <v>11.17</v>
      </c>
      <c r="P113" s="11">
        <v>11.33</v>
      </c>
      <c r="Q113" s="14">
        <v>4</v>
      </c>
      <c r="R113" s="14">
        <v>11.49</v>
      </c>
      <c r="S113" s="222">
        <v>3</v>
      </c>
      <c r="T113" s="11">
        <v>3</v>
      </c>
      <c r="U113" s="11">
        <v>3</v>
      </c>
      <c r="V113" s="11">
        <v>3</v>
      </c>
      <c r="W113" s="11">
        <v>3</v>
      </c>
      <c r="X113" s="11">
        <v>1</v>
      </c>
      <c r="Y113" s="11">
        <v>1</v>
      </c>
      <c r="Z113" s="11">
        <v>1</v>
      </c>
      <c r="AA113" s="11">
        <v>1</v>
      </c>
      <c r="AB113" s="11">
        <v>0</v>
      </c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 spans="1:44">
      <c r="C114" s="222"/>
      <c r="D114" s="222"/>
      <c r="E114" s="222"/>
      <c r="G114" s="222" t="s">
        <v>109</v>
      </c>
      <c r="H114" s="222" t="s">
        <v>274</v>
      </c>
      <c r="I114" s="218" t="s">
        <v>110</v>
      </c>
      <c r="J114" s="11">
        <v>100</v>
      </c>
      <c r="K114" s="11">
        <v>500</v>
      </c>
      <c r="M114" s="13">
        <v>6</v>
      </c>
      <c r="N114" s="11">
        <v>2</v>
      </c>
      <c r="O114" s="11">
        <v>11.36</v>
      </c>
      <c r="P114" s="11">
        <v>11.48</v>
      </c>
      <c r="Q114" s="14">
        <v>2</v>
      </c>
      <c r="R114" s="14">
        <v>12.08</v>
      </c>
      <c r="S114" s="222">
        <v>2</v>
      </c>
      <c r="T114" s="11">
        <v>0</v>
      </c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 spans="1:44" s="311" customFormat="1" ht="15.75" thickBot="1">
      <c r="A115" s="321"/>
      <c r="B115" s="321"/>
      <c r="C115" s="306"/>
      <c r="D115" s="306"/>
      <c r="E115" s="306"/>
      <c r="F115" s="321"/>
      <c r="G115" s="305" t="s">
        <v>109</v>
      </c>
      <c r="H115" s="306" t="s">
        <v>274</v>
      </c>
      <c r="I115" s="307" t="s">
        <v>110</v>
      </c>
      <c r="J115" s="308">
        <v>100</v>
      </c>
      <c r="K115" s="308">
        <v>500</v>
      </c>
      <c r="L115" s="319"/>
      <c r="M115" s="305">
        <v>7</v>
      </c>
      <c r="N115" s="308">
        <v>4</v>
      </c>
      <c r="O115" s="308">
        <v>11.5</v>
      </c>
      <c r="P115" s="308">
        <v>12.04</v>
      </c>
      <c r="Q115" s="309">
        <v>4</v>
      </c>
      <c r="R115" s="309">
        <v>12.2</v>
      </c>
      <c r="S115" s="306">
        <v>3</v>
      </c>
      <c r="T115" s="308">
        <v>3</v>
      </c>
      <c r="U115" s="308">
        <v>3</v>
      </c>
      <c r="V115" s="308">
        <v>3</v>
      </c>
      <c r="W115" s="308">
        <v>3</v>
      </c>
      <c r="X115" s="308">
        <v>3</v>
      </c>
      <c r="Y115" s="308">
        <v>3</v>
      </c>
      <c r="Z115" s="308">
        <v>3</v>
      </c>
      <c r="AA115" s="308">
        <v>1</v>
      </c>
      <c r="AB115" s="308">
        <v>1</v>
      </c>
      <c r="AC115" s="308">
        <v>1</v>
      </c>
      <c r="AD115" s="308">
        <v>1</v>
      </c>
      <c r="AE115" s="308">
        <v>1</v>
      </c>
      <c r="AF115" s="308">
        <v>0</v>
      </c>
      <c r="AG115" s="308"/>
      <c r="AH115" s="308"/>
      <c r="AI115" s="308"/>
      <c r="AJ115" s="308"/>
      <c r="AK115" s="308"/>
      <c r="AL115" s="308"/>
      <c r="AM115" s="319"/>
      <c r="AN115" s="309"/>
      <c r="AR115" s="303"/>
    </row>
    <row r="116" spans="1:44">
      <c r="A116" s="43">
        <v>9</v>
      </c>
      <c r="B116" s="44">
        <v>45933</v>
      </c>
      <c r="C116" s="222" t="s">
        <v>306</v>
      </c>
      <c r="D116" s="222" t="s">
        <v>312</v>
      </c>
      <c r="E116" s="222" t="s">
        <v>843</v>
      </c>
      <c r="F116" s="31" t="s">
        <v>294</v>
      </c>
      <c r="G116" s="260" t="s">
        <v>111</v>
      </c>
      <c r="H116" s="222" t="s">
        <v>276</v>
      </c>
      <c r="I116" s="218" t="s">
        <v>112</v>
      </c>
      <c r="J116" s="11">
        <v>100</v>
      </c>
      <c r="K116" s="11">
        <v>500</v>
      </c>
      <c r="L116" s="13">
        <v>60</v>
      </c>
      <c r="M116" s="235">
        <v>1</v>
      </c>
      <c r="N116" s="260">
        <v>5</v>
      </c>
      <c r="O116" s="260">
        <v>10.029999999999999</v>
      </c>
      <c r="P116" s="260">
        <v>10.23</v>
      </c>
      <c r="Q116" s="265">
        <v>5</v>
      </c>
      <c r="R116" s="265">
        <v>10.4</v>
      </c>
      <c r="S116" s="441">
        <v>5</v>
      </c>
      <c r="T116" s="261"/>
      <c r="U116" s="261"/>
      <c r="V116" s="261"/>
      <c r="W116" s="261"/>
      <c r="X116" s="261"/>
      <c r="Y116" s="261"/>
      <c r="Z116" s="261"/>
      <c r="AA116" s="261"/>
      <c r="AB116" s="261"/>
      <c r="AC116" s="261"/>
      <c r="AD116" s="261"/>
      <c r="AE116" s="261"/>
      <c r="AF116" s="261"/>
      <c r="AG116" s="261"/>
      <c r="AH116" s="261"/>
      <c r="AI116" s="261"/>
      <c r="AJ116" s="261"/>
      <c r="AK116" s="261"/>
      <c r="AL116" s="261"/>
      <c r="AM116" s="442"/>
      <c r="AN116" s="443"/>
      <c r="AO116" s="442"/>
      <c r="AP116" s="443"/>
      <c r="AQ116" s="264"/>
      <c r="AR116" s="295" t="s">
        <v>247</v>
      </c>
    </row>
    <row r="117" spans="1:44">
      <c r="C117" s="222"/>
      <c r="D117" s="222" t="s">
        <v>313</v>
      </c>
      <c r="E117" s="222" t="s">
        <v>844</v>
      </c>
      <c r="G117" s="222" t="s">
        <v>111</v>
      </c>
      <c r="H117" s="222" t="s">
        <v>276</v>
      </c>
      <c r="I117" s="218" t="s">
        <v>112</v>
      </c>
      <c r="J117" s="11">
        <v>100</v>
      </c>
      <c r="K117" s="11">
        <v>500</v>
      </c>
      <c r="M117" s="236">
        <v>2</v>
      </c>
      <c r="N117" s="260">
        <v>5</v>
      </c>
      <c r="O117" s="260">
        <v>10.3</v>
      </c>
      <c r="P117" s="260">
        <v>10.41</v>
      </c>
      <c r="Q117" s="265">
        <v>5</v>
      </c>
      <c r="R117" s="265">
        <v>10.58</v>
      </c>
      <c r="S117" s="434">
        <v>1</v>
      </c>
      <c r="T117" s="261">
        <v>1</v>
      </c>
      <c r="U117" s="261">
        <v>1</v>
      </c>
      <c r="V117" s="261">
        <v>1</v>
      </c>
      <c r="W117" s="261">
        <v>1</v>
      </c>
      <c r="X117" s="261">
        <v>1</v>
      </c>
      <c r="Y117" s="261">
        <v>1</v>
      </c>
      <c r="Z117" s="261">
        <v>1</v>
      </c>
      <c r="AA117" s="261">
        <v>1</v>
      </c>
      <c r="AB117" s="261"/>
      <c r="AC117" s="261"/>
      <c r="AD117" s="261"/>
      <c r="AE117" s="261"/>
      <c r="AF117" s="261"/>
      <c r="AG117" s="260"/>
      <c r="AH117" s="260"/>
      <c r="AI117" s="260"/>
      <c r="AJ117" s="260"/>
      <c r="AK117" s="260"/>
      <c r="AL117" s="260"/>
      <c r="AM117" s="236"/>
      <c r="AN117" s="260"/>
      <c r="AO117" s="236"/>
      <c r="AP117" s="260"/>
      <c r="AQ117" s="265"/>
      <c r="AR117" s="296"/>
    </row>
    <row r="118" spans="1:44">
      <c r="C118" s="222"/>
      <c r="D118" s="222"/>
      <c r="E118" s="222" t="s">
        <v>845</v>
      </c>
      <c r="G118" s="222" t="s">
        <v>111</v>
      </c>
      <c r="H118" s="222" t="s">
        <v>276</v>
      </c>
      <c r="I118" s="22" t="s">
        <v>112</v>
      </c>
      <c r="J118" s="11">
        <v>100</v>
      </c>
      <c r="K118" s="11">
        <v>500</v>
      </c>
      <c r="M118" s="236">
        <v>3</v>
      </c>
      <c r="N118" s="260">
        <v>2</v>
      </c>
      <c r="O118" s="260">
        <v>10.48</v>
      </c>
      <c r="P118" s="260">
        <v>11.08</v>
      </c>
      <c r="Q118" s="265">
        <v>2</v>
      </c>
      <c r="R118" s="265">
        <v>11.25</v>
      </c>
      <c r="S118" s="434">
        <v>5</v>
      </c>
      <c r="T118" s="261">
        <v>3</v>
      </c>
      <c r="U118" s="261">
        <v>3</v>
      </c>
      <c r="V118" s="261">
        <v>2</v>
      </c>
      <c r="W118" s="261">
        <v>2</v>
      </c>
      <c r="X118" s="261">
        <v>2</v>
      </c>
      <c r="Y118" s="261">
        <v>2</v>
      </c>
      <c r="Z118" s="261">
        <v>2</v>
      </c>
      <c r="AA118" s="261">
        <v>2</v>
      </c>
      <c r="AB118" s="261">
        <v>1</v>
      </c>
      <c r="AC118" s="261">
        <v>1</v>
      </c>
      <c r="AD118" s="261">
        <v>1</v>
      </c>
      <c r="AE118" s="261">
        <v>1</v>
      </c>
      <c r="AF118" s="261"/>
      <c r="AG118" s="260"/>
      <c r="AH118" s="260"/>
      <c r="AI118" s="260"/>
      <c r="AJ118" s="260"/>
      <c r="AK118" s="260"/>
      <c r="AL118" s="260"/>
      <c r="AM118" s="236"/>
      <c r="AN118" s="260"/>
      <c r="AO118" s="236"/>
      <c r="AP118" s="260"/>
      <c r="AQ118" s="265"/>
      <c r="AR118" s="296"/>
    </row>
    <row r="119" spans="1:44">
      <c r="C119" s="222"/>
      <c r="D119" s="222"/>
      <c r="E119" s="222" t="s">
        <v>844</v>
      </c>
      <c r="G119" s="222" t="s">
        <v>111</v>
      </c>
      <c r="H119" s="222" t="s">
        <v>276</v>
      </c>
      <c r="I119" s="218" t="s">
        <v>112</v>
      </c>
      <c r="J119" s="11">
        <v>100</v>
      </c>
      <c r="K119" s="11">
        <v>500</v>
      </c>
      <c r="M119" s="236">
        <v>4</v>
      </c>
      <c r="N119" s="260">
        <v>5</v>
      </c>
      <c r="O119" s="260">
        <v>11.1</v>
      </c>
      <c r="P119" s="260">
        <v>11.34</v>
      </c>
      <c r="Q119" s="265">
        <v>5</v>
      </c>
      <c r="R119" s="265">
        <v>11.5</v>
      </c>
      <c r="S119" s="434">
        <v>5</v>
      </c>
      <c r="T119" s="261">
        <v>4</v>
      </c>
      <c r="U119" s="261">
        <v>4</v>
      </c>
      <c r="V119" s="261">
        <v>4</v>
      </c>
      <c r="W119" s="261">
        <v>4</v>
      </c>
      <c r="X119" s="261">
        <v>4</v>
      </c>
      <c r="Y119" s="261">
        <v>4</v>
      </c>
      <c r="Z119" s="261">
        <v>4</v>
      </c>
      <c r="AA119" s="261">
        <v>4</v>
      </c>
      <c r="AB119" s="261">
        <v>4</v>
      </c>
      <c r="AC119" s="261">
        <v>4</v>
      </c>
      <c r="AD119" s="261"/>
      <c r="AE119" s="261"/>
      <c r="AF119" s="261"/>
      <c r="AG119" s="260"/>
      <c r="AH119" s="260"/>
      <c r="AI119" s="260"/>
      <c r="AJ119" s="260"/>
      <c r="AK119" s="260"/>
      <c r="AL119" s="260"/>
      <c r="AM119" s="236"/>
      <c r="AN119" s="260"/>
      <c r="AO119" s="236"/>
      <c r="AP119" s="260"/>
      <c r="AQ119" s="265"/>
      <c r="AR119" s="296"/>
    </row>
    <row r="120" spans="1:44">
      <c r="C120" s="222"/>
      <c r="D120" s="222"/>
      <c r="E120" s="222"/>
      <c r="G120" s="13" t="s">
        <v>111</v>
      </c>
      <c r="H120" s="18" t="s">
        <v>276</v>
      </c>
      <c r="I120" s="267" t="s">
        <v>112</v>
      </c>
      <c r="J120" s="11">
        <v>100</v>
      </c>
      <c r="K120" s="11">
        <v>500</v>
      </c>
      <c r="M120" s="236">
        <v>5</v>
      </c>
      <c r="N120" s="260">
        <v>5</v>
      </c>
      <c r="O120" s="260">
        <v>11.36</v>
      </c>
      <c r="P120" s="260">
        <v>12.01</v>
      </c>
      <c r="Q120" s="265">
        <v>5</v>
      </c>
      <c r="R120" s="265">
        <v>12.16</v>
      </c>
      <c r="S120" s="434">
        <v>5</v>
      </c>
      <c r="T120" s="261">
        <v>4</v>
      </c>
      <c r="U120" s="261">
        <v>3</v>
      </c>
      <c r="V120" s="261">
        <v>3</v>
      </c>
      <c r="W120" s="261">
        <v>3</v>
      </c>
      <c r="X120" s="261">
        <v>3</v>
      </c>
      <c r="Y120" s="261">
        <v>3</v>
      </c>
      <c r="Z120" s="261">
        <v>3</v>
      </c>
      <c r="AA120" s="261">
        <v>3</v>
      </c>
      <c r="AB120" s="261">
        <v>3</v>
      </c>
      <c r="AC120" s="261" t="s">
        <v>207</v>
      </c>
      <c r="AD120" s="261" t="s">
        <v>207</v>
      </c>
      <c r="AE120" s="261" t="s">
        <v>207</v>
      </c>
      <c r="AF120" s="261" t="s">
        <v>207</v>
      </c>
      <c r="AG120" s="260" t="s">
        <v>207</v>
      </c>
      <c r="AH120" s="260" t="s">
        <v>207</v>
      </c>
      <c r="AI120" s="260" t="s">
        <v>207</v>
      </c>
      <c r="AJ120" s="260" t="s">
        <v>207</v>
      </c>
      <c r="AK120" s="260" t="s">
        <v>207</v>
      </c>
      <c r="AL120" s="260" t="s">
        <v>207</v>
      </c>
      <c r="AM120" s="236" t="s">
        <v>207</v>
      </c>
      <c r="AN120" s="260" t="s">
        <v>207</v>
      </c>
      <c r="AO120" s="236" t="s">
        <v>207</v>
      </c>
      <c r="AP120" s="260"/>
      <c r="AQ120" s="265" t="s">
        <v>207</v>
      </c>
      <c r="AR120" s="296" t="s">
        <v>207</v>
      </c>
    </row>
    <row r="121" spans="1:44" s="180" customFormat="1">
      <c r="A121" s="42"/>
      <c r="B121" s="31"/>
      <c r="C121" s="222"/>
      <c r="D121" s="222"/>
      <c r="E121" s="222"/>
      <c r="F121" s="31"/>
      <c r="G121" s="221" t="s">
        <v>111</v>
      </c>
      <c r="H121" s="222" t="s">
        <v>276</v>
      </c>
      <c r="I121" s="217" t="s">
        <v>112</v>
      </c>
      <c r="J121" s="160">
        <v>100</v>
      </c>
      <c r="K121" s="160">
        <v>500</v>
      </c>
      <c r="L121" s="34">
        <v>76</v>
      </c>
      <c r="M121" s="34">
        <v>1</v>
      </c>
      <c r="N121" s="160">
        <v>3</v>
      </c>
      <c r="O121" s="160">
        <v>10.09</v>
      </c>
      <c r="P121" s="160">
        <v>10.25</v>
      </c>
      <c r="Q121" s="35">
        <v>3</v>
      </c>
      <c r="R121" s="35">
        <v>10.45</v>
      </c>
      <c r="S121" s="221">
        <v>1</v>
      </c>
      <c r="T121" s="160">
        <v>1</v>
      </c>
      <c r="U121" s="160">
        <v>1</v>
      </c>
      <c r="V121" s="160">
        <v>1</v>
      </c>
      <c r="W121" s="160">
        <v>1</v>
      </c>
      <c r="X121" s="160">
        <v>1</v>
      </c>
      <c r="Y121" s="160">
        <v>1</v>
      </c>
      <c r="Z121" s="160">
        <v>1</v>
      </c>
      <c r="AA121" s="160">
        <v>1</v>
      </c>
      <c r="AB121" s="160">
        <v>1</v>
      </c>
      <c r="AC121" s="160">
        <v>1</v>
      </c>
      <c r="AD121" s="160">
        <v>1</v>
      </c>
      <c r="AE121" s="160">
        <v>1</v>
      </c>
      <c r="AF121" s="160">
        <v>1</v>
      </c>
      <c r="AG121" s="160">
        <v>1</v>
      </c>
      <c r="AH121" s="160">
        <v>0</v>
      </c>
      <c r="AI121" s="160"/>
      <c r="AJ121" s="160"/>
      <c r="AK121" s="160"/>
      <c r="AL121" s="160"/>
      <c r="AM121" s="34"/>
      <c r="AN121" s="35"/>
      <c r="AR121" s="227" t="s">
        <v>260</v>
      </c>
    </row>
    <row r="122" spans="1:44">
      <c r="C122" s="222"/>
      <c r="D122" s="222"/>
      <c r="E122" s="222"/>
      <c r="G122" s="222" t="s">
        <v>111</v>
      </c>
      <c r="H122" s="222" t="s">
        <v>276</v>
      </c>
      <c r="I122" s="218" t="s">
        <v>112</v>
      </c>
      <c r="J122" s="11">
        <v>100</v>
      </c>
      <c r="K122" s="11">
        <v>500</v>
      </c>
      <c r="M122" s="13">
        <v>2</v>
      </c>
      <c r="N122" s="11">
        <v>4</v>
      </c>
      <c r="O122" s="11">
        <v>10.27</v>
      </c>
      <c r="P122" s="11">
        <v>10.41</v>
      </c>
      <c r="Q122" s="14">
        <v>4</v>
      </c>
      <c r="R122" s="14">
        <v>10.57</v>
      </c>
      <c r="S122" s="222">
        <v>1</v>
      </c>
      <c r="T122" s="11">
        <v>1</v>
      </c>
      <c r="U122" s="11">
        <v>1</v>
      </c>
      <c r="V122" s="11">
        <v>1</v>
      </c>
      <c r="W122" s="11">
        <v>1</v>
      </c>
      <c r="X122" s="11">
        <v>1</v>
      </c>
      <c r="Y122" s="11">
        <v>1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  <c r="AF122" s="11">
        <v>1</v>
      </c>
      <c r="AG122" s="11">
        <v>1</v>
      </c>
      <c r="AH122" s="11">
        <v>1</v>
      </c>
      <c r="AI122" s="11">
        <v>1</v>
      </c>
      <c r="AJ122" s="11">
        <v>0</v>
      </c>
      <c r="AK122" s="11"/>
      <c r="AL122" s="11"/>
      <c r="AM122" s="13"/>
    </row>
    <row r="123" spans="1:44">
      <c r="C123" s="222"/>
      <c r="D123" s="222"/>
      <c r="E123" s="222"/>
      <c r="G123" s="222" t="s">
        <v>111</v>
      </c>
      <c r="H123" s="222" t="s">
        <v>276</v>
      </c>
      <c r="I123" s="218" t="s">
        <v>112</v>
      </c>
      <c r="J123" s="11">
        <v>100</v>
      </c>
      <c r="K123" s="11">
        <v>500</v>
      </c>
      <c r="M123" s="13">
        <v>3</v>
      </c>
      <c r="N123" s="11">
        <v>2</v>
      </c>
      <c r="O123" s="11">
        <v>10.43</v>
      </c>
      <c r="P123" s="11">
        <v>10.53</v>
      </c>
      <c r="Q123" s="14">
        <v>2</v>
      </c>
      <c r="R123" s="14">
        <v>11.11</v>
      </c>
      <c r="S123" s="222">
        <v>1</v>
      </c>
      <c r="T123" s="11">
        <v>1</v>
      </c>
      <c r="U123" s="11">
        <v>1</v>
      </c>
      <c r="V123" s="11">
        <v>1</v>
      </c>
      <c r="W123" s="11">
        <v>1</v>
      </c>
      <c r="X123" s="11">
        <v>1</v>
      </c>
      <c r="Y123" s="11">
        <v>1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  <c r="AF123" s="11">
        <v>1</v>
      </c>
      <c r="AG123" s="11">
        <v>1</v>
      </c>
      <c r="AH123" s="11">
        <v>1</v>
      </c>
      <c r="AI123" s="11">
        <v>1</v>
      </c>
      <c r="AJ123" s="11">
        <v>1</v>
      </c>
      <c r="AK123" s="11">
        <v>0</v>
      </c>
      <c r="AL123" s="11"/>
      <c r="AM123" s="13"/>
    </row>
    <row r="124" spans="1:44">
      <c r="C124" s="222"/>
      <c r="D124" s="222"/>
      <c r="E124" s="222"/>
      <c r="G124" s="222" t="s">
        <v>111</v>
      </c>
      <c r="H124" s="222" t="s">
        <v>276</v>
      </c>
      <c r="I124" s="218" t="s">
        <v>112</v>
      </c>
      <c r="J124" s="11">
        <v>100</v>
      </c>
      <c r="K124" s="11">
        <v>500</v>
      </c>
      <c r="M124" s="46">
        <v>4</v>
      </c>
      <c r="N124" s="47">
        <v>3</v>
      </c>
      <c r="O124" s="47">
        <v>11.43</v>
      </c>
      <c r="P124" s="47">
        <v>11.03</v>
      </c>
      <c r="Q124" s="48">
        <v>3</v>
      </c>
      <c r="R124" s="48">
        <v>11.19</v>
      </c>
      <c r="S124" s="26">
        <v>3</v>
      </c>
      <c r="T124" s="47">
        <v>3</v>
      </c>
      <c r="U124" s="47">
        <v>3</v>
      </c>
      <c r="V124" s="47">
        <v>3</v>
      </c>
      <c r="W124" s="11">
        <v>3</v>
      </c>
      <c r="X124" s="11">
        <v>3</v>
      </c>
      <c r="Y124" s="47">
        <v>3</v>
      </c>
      <c r="Z124" s="47">
        <v>3</v>
      </c>
      <c r="AA124" s="47">
        <v>3</v>
      </c>
      <c r="AB124" s="47">
        <v>3</v>
      </c>
      <c r="AC124" s="47">
        <v>3</v>
      </c>
      <c r="AD124" s="47">
        <v>3</v>
      </c>
      <c r="AE124" s="47">
        <v>3</v>
      </c>
      <c r="AF124" s="47">
        <v>3</v>
      </c>
      <c r="AG124" s="47">
        <v>2</v>
      </c>
      <c r="AH124" s="47">
        <v>2</v>
      </c>
      <c r="AI124" s="47">
        <v>2</v>
      </c>
      <c r="AJ124" s="47">
        <v>2</v>
      </c>
      <c r="AK124" s="47">
        <v>2</v>
      </c>
      <c r="AL124" s="47">
        <v>2</v>
      </c>
      <c r="AM124" s="46">
        <v>2</v>
      </c>
      <c r="AN124" s="48">
        <v>2</v>
      </c>
      <c r="AO124" s="47">
        <v>2</v>
      </c>
      <c r="AP124" s="47">
        <v>0</v>
      </c>
      <c r="AQ124" s="256" t="s">
        <v>314</v>
      </c>
    </row>
    <row r="125" spans="1:44">
      <c r="C125" s="222"/>
      <c r="D125" s="222"/>
      <c r="E125" s="222"/>
      <c r="G125" s="222" t="s">
        <v>111</v>
      </c>
      <c r="H125" s="222" t="s">
        <v>276</v>
      </c>
      <c r="I125" s="218" t="s">
        <v>112</v>
      </c>
      <c r="J125" s="11">
        <v>100</v>
      </c>
      <c r="K125" s="11">
        <v>500</v>
      </c>
      <c r="M125" s="13">
        <v>5</v>
      </c>
      <c r="N125" s="11">
        <v>3</v>
      </c>
      <c r="O125" s="11">
        <v>11.13</v>
      </c>
      <c r="P125" s="11">
        <v>11.3</v>
      </c>
      <c r="Q125" s="14">
        <v>3</v>
      </c>
      <c r="R125" s="14">
        <v>11.46</v>
      </c>
      <c r="S125" s="222">
        <v>1</v>
      </c>
      <c r="T125" s="11">
        <v>1</v>
      </c>
      <c r="U125" s="11">
        <v>1</v>
      </c>
      <c r="V125" s="11">
        <v>1</v>
      </c>
      <c r="W125" s="11">
        <v>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3"/>
      <c r="AO125" s="11"/>
      <c r="AP125" s="11"/>
    </row>
    <row r="126" spans="1:44">
      <c r="C126" s="222"/>
      <c r="D126" s="222"/>
      <c r="E126" s="222"/>
      <c r="G126" s="222" t="s">
        <v>111</v>
      </c>
      <c r="H126" s="222" t="s">
        <v>276</v>
      </c>
      <c r="I126" s="218" t="s">
        <v>112</v>
      </c>
      <c r="J126" s="11">
        <v>100</v>
      </c>
      <c r="K126" s="11">
        <v>500</v>
      </c>
      <c r="M126" s="13">
        <v>6</v>
      </c>
      <c r="N126" s="11">
        <v>3</v>
      </c>
      <c r="O126" s="11">
        <v>11.4</v>
      </c>
      <c r="P126" s="11">
        <v>11.57</v>
      </c>
      <c r="Q126" s="14">
        <v>3</v>
      </c>
      <c r="R126" s="14">
        <v>12.11</v>
      </c>
      <c r="S126" s="222">
        <v>2</v>
      </c>
      <c r="T126" s="11">
        <v>2</v>
      </c>
      <c r="U126" s="11">
        <v>2</v>
      </c>
      <c r="V126" s="11">
        <v>2</v>
      </c>
      <c r="W126" s="11">
        <v>2</v>
      </c>
      <c r="X126" s="11">
        <v>2</v>
      </c>
      <c r="Y126" s="11">
        <v>2</v>
      </c>
      <c r="Z126" s="11">
        <v>2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  <c r="AF126" s="11">
        <v>1</v>
      </c>
      <c r="AG126" s="11">
        <v>0</v>
      </c>
      <c r="AH126" s="11"/>
      <c r="AI126" s="11"/>
      <c r="AJ126" s="11"/>
      <c r="AK126" s="11"/>
      <c r="AL126" s="11"/>
      <c r="AM126" s="13"/>
      <c r="AO126" s="11"/>
      <c r="AP126" s="11"/>
    </row>
    <row r="127" spans="1:44">
      <c r="C127" s="222"/>
      <c r="D127" s="222"/>
      <c r="E127" s="222"/>
      <c r="G127" s="222" t="s">
        <v>111</v>
      </c>
      <c r="H127" s="222" t="s">
        <v>276</v>
      </c>
      <c r="I127" s="218" t="s">
        <v>112</v>
      </c>
      <c r="J127" s="11">
        <v>100</v>
      </c>
      <c r="K127" s="11">
        <v>500</v>
      </c>
      <c r="M127" s="186" t="s">
        <v>102</v>
      </c>
      <c r="N127" s="187">
        <v>5</v>
      </c>
      <c r="O127" s="187" t="s">
        <v>61</v>
      </c>
      <c r="P127" s="187" t="s">
        <v>61</v>
      </c>
      <c r="Q127" s="185">
        <v>5</v>
      </c>
      <c r="R127" s="185">
        <v>10.41</v>
      </c>
      <c r="S127" s="184">
        <v>0</v>
      </c>
      <c r="T127" s="187"/>
      <c r="U127" s="187"/>
      <c r="V127" s="187"/>
      <c r="W127" s="187"/>
      <c r="X127" s="187"/>
      <c r="Y127" s="187"/>
      <c r="Z127" s="187"/>
      <c r="AA127" s="187"/>
      <c r="AB127" s="187"/>
      <c r="AC127" s="187"/>
      <c r="AD127" s="187"/>
      <c r="AE127" s="187"/>
      <c r="AF127" s="187"/>
      <c r="AG127" s="187"/>
      <c r="AH127" s="187"/>
      <c r="AI127" s="187"/>
      <c r="AJ127" s="187"/>
      <c r="AK127" s="187"/>
      <c r="AL127" s="187"/>
      <c r="AM127" s="186"/>
      <c r="AN127" s="185"/>
      <c r="AO127" s="11"/>
      <c r="AP127" s="11"/>
    </row>
    <row r="128" spans="1:44">
      <c r="A128" s="43"/>
      <c r="B128" s="44"/>
      <c r="C128" s="222"/>
      <c r="D128" s="222"/>
      <c r="E128" s="222"/>
      <c r="G128" s="222" t="s">
        <v>111</v>
      </c>
      <c r="H128" s="222" t="s">
        <v>276</v>
      </c>
      <c r="I128" s="218" t="s">
        <v>112</v>
      </c>
      <c r="J128" s="11">
        <v>100</v>
      </c>
      <c r="K128" s="11">
        <v>500</v>
      </c>
      <c r="M128" s="186" t="s">
        <v>103</v>
      </c>
      <c r="N128" s="187">
        <v>5</v>
      </c>
      <c r="O128" s="187" t="s">
        <v>61</v>
      </c>
      <c r="P128" s="187" t="s">
        <v>61</v>
      </c>
      <c r="Q128" s="185">
        <v>5</v>
      </c>
      <c r="R128" s="185">
        <v>11.03</v>
      </c>
      <c r="S128" s="184">
        <v>1</v>
      </c>
      <c r="T128" s="187">
        <v>1</v>
      </c>
      <c r="U128" s="187">
        <v>1</v>
      </c>
      <c r="V128" s="187">
        <v>1</v>
      </c>
      <c r="W128" s="187">
        <v>1</v>
      </c>
      <c r="X128" s="187">
        <v>1</v>
      </c>
      <c r="Y128" s="187">
        <v>1</v>
      </c>
      <c r="Z128" s="187">
        <v>1</v>
      </c>
      <c r="AA128" s="187">
        <v>1</v>
      </c>
      <c r="AB128" s="187">
        <v>1</v>
      </c>
      <c r="AC128" s="187">
        <v>1</v>
      </c>
      <c r="AD128" s="187">
        <v>1</v>
      </c>
      <c r="AE128" s="187">
        <v>1</v>
      </c>
      <c r="AF128" s="187">
        <v>0</v>
      </c>
      <c r="AG128" s="187"/>
      <c r="AH128" s="187"/>
      <c r="AI128" s="187"/>
      <c r="AJ128" s="187"/>
      <c r="AK128" s="187"/>
      <c r="AL128" s="187"/>
      <c r="AM128" s="186"/>
      <c r="AN128" s="185"/>
      <c r="AO128" s="11"/>
      <c r="AP128" s="11"/>
    </row>
    <row r="129" spans="1:44">
      <c r="C129" s="222"/>
      <c r="D129" s="222"/>
      <c r="E129" s="222"/>
      <c r="G129" s="222" t="s">
        <v>111</v>
      </c>
      <c r="H129" s="222" t="s">
        <v>276</v>
      </c>
      <c r="I129" s="218" t="s">
        <v>112</v>
      </c>
      <c r="J129" s="11">
        <v>100</v>
      </c>
      <c r="K129" s="11">
        <v>500</v>
      </c>
      <c r="M129" s="186" t="s">
        <v>104</v>
      </c>
      <c r="N129" s="187">
        <v>5</v>
      </c>
      <c r="O129" s="187" t="s">
        <v>61</v>
      </c>
      <c r="P129" s="187" t="s">
        <v>61</v>
      </c>
      <c r="Q129" s="185">
        <v>5</v>
      </c>
      <c r="R129" s="185">
        <v>11.48</v>
      </c>
      <c r="S129" s="184">
        <v>3</v>
      </c>
      <c r="T129" s="187">
        <v>3</v>
      </c>
      <c r="U129" s="187">
        <v>3</v>
      </c>
      <c r="V129" s="187">
        <v>3</v>
      </c>
      <c r="W129" s="187">
        <v>3</v>
      </c>
      <c r="X129" s="187">
        <v>3</v>
      </c>
      <c r="Y129" s="187">
        <v>3</v>
      </c>
      <c r="Z129" s="187">
        <v>3</v>
      </c>
      <c r="AA129" s="187">
        <v>3</v>
      </c>
      <c r="AB129" s="187">
        <v>3</v>
      </c>
      <c r="AC129" s="187">
        <v>3</v>
      </c>
      <c r="AD129" s="187">
        <v>3</v>
      </c>
      <c r="AE129" s="187">
        <v>2</v>
      </c>
      <c r="AF129" s="187">
        <v>1</v>
      </c>
      <c r="AG129" s="187">
        <v>1</v>
      </c>
      <c r="AH129" s="187">
        <v>1</v>
      </c>
      <c r="AI129" s="187">
        <v>1</v>
      </c>
      <c r="AJ129" s="187">
        <v>1</v>
      </c>
      <c r="AK129" s="187">
        <v>0</v>
      </c>
      <c r="AL129" s="187"/>
      <c r="AM129" s="186"/>
      <c r="AN129" s="185"/>
      <c r="AO129" s="11"/>
      <c r="AP129" s="11"/>
    </row>
    <row r="130" spans="1:44" s="311" customFormat="1" ht="15.75" thickBot="1">
      <c r="A130" s="321"/>
      <c r="B130" s="321"/>
      <c r="C130" s="306"/>
      <c r="D130" s="306"/>
      <c r="E130" s="306"/>
      <c r="F130" s="321"/>
      <c r="G130" s="306" t="s">
        <v>111</v>
      </c>
      <c r="H130" s="306" t="s">
        <v>276</v>
      </c>
      <c r="I130" s="325" t="s">
        <v>112</v>
      </c>
      <c r="J130" s="308">
        <v>100</v>
      </c>
      <c r="K130" s="308">
        <v>500</v>
      </c>
      <c r="L130" s="319"/>
      <c r="M130" s="327" t="s">
        <v>105</v>
      </c>
      <c r="N130" s="328">
        <v>5</v>
      </c>
      <c r="O130" s="328" t="s">
        <v>61</v>
      </c>
      <c r="P130" s="328" t="s">
        <v>61</v>
      </c>
      <c r="Q130" s="329">
        <v>5</v>
      </c>
      <c r="R130" s="329">
        <v>12.07</v>
      </c>
      <c r="S130" s="330">
        <v>4</v>
      </c>
      <c r="T130" s="328">
        <v>4</v>
      </c>
      <c r="U130" s="328">
        <v>4</v>
      </c>
      <c r="V130" s="328">
        <v>4</v>
      </c>
      <c r="W130" s="331">
        <v>4</v>
      </c>
      <c r="X130" s="331">
        <v>4</v>
      </c>
      <c r="Y130" s="328">
        <v>4</v>
      </c>
      <c r="Z130" s="328">
        <v>4</v>
      </c>
      <c r="AA130" s="328">
        <v>4</v>
      </c>
      <c r="AB130" s="328">
        <v>4</v>
      </c>
      <c r="AC130" s="328">
        <v>2</v>
      </c>
      <c r="AD130" s="328">
        <v>2</v>
      </c>
      <c r="AE130" s="328">
        <v>2</v>
      </c>
      <c r="AF130" s="328">
        <v>2</v>
      </c>
      <c r="AG130" s="328">
        <v>2</v>
      </c>
      <c r="AH130" s="328">
        <v>1</v>
      </c>
      <c r="AI130" s="328">
        <v>1</v>
      </c>
      <c r="AJ130" s="328">
        <v>1</v>
      </c>
      <c r="AK130" s="328">
        <v>1</v>
      </c>
      <c r="AL130" s="328">
        <v>1</v>
      </c>
      <c r="AM130" s="327">
        <v>1</v>
      </c>
      <c r="AN130" s="329">
        <v>1</v>
      </c>
      <c r="AO130" s="332">
        <v>1</v>
      </c>
      <c r="AP130" s="332">
        <v>1</v>
      </c>
      <c r="AQ130" s="333" t="s">
        <v>315</v>
      </c>
      <c r="AR130" s="303"/>
    </row>
    <row r="131" spans="1:44">
      <c r="A131" s="244">
        <v>10</v>
      </c>
      <c r="B131" s="44">
        <v>45937</v>
      </c>
      <c r="C131" s="14" t="s">
        <v>306</v>
      </c>
      <c r="D131" s="222" t="s">
        <v>316</v>
      </c>
      <c r="E131" s="222" t="s">
        <v>868</v>
      </c>
      <c r="F131" s="31" t="s">
        <v>245</v>
      </c>
      <c r="G131" s="260" t="s">
        <v>124</v>
      </c>
      <c r="H131" s="222" t="s">
        <v>246</v>
      </c>
      <c r="I131" s="231" t="s">
        <v>125</v>
      </c>
      <c r="J131" s="34">
        <v>100</v>
      </c>
      <c r="K131" s="11">
        <v>500</v>
      </c>
      <c r="L131" s="13">
        <v>60</v>
      </c>
      <c r="M131" s="236">
        <v>1</v>
      </c>
      <c r="N131" s="260">
        <v>3</v>
      </c>
      <c r="O131" s="260">
        <v>10.09</v>
      </c>
      <c r="P131" s="260">
        <v>10.23</v>
      </c>
      <c r="Q131" s="265">
        <v>3</v>
      </c>
      <c r="R131" s="265">
        <v>10.38</v>
      </c>
      <c r="S131" s="434">
        <v>3</v>
      </c>
      <c r="T131" s="261">
        <v>1</v>
      </c>
      <c r="U131" s="261">
        <v>1</v>
      </c>
      <c r="V131" s="261">
        <v>1</v>
      </c>
      <c r="W131" s="261">
        <v>1</v>
      </c>
      <c r="X131" s="261">
        <v>1</v>
      </c>
      <c r="Y131" s="261">
        <v>1</v>
      </c>
      <c r="Z131" s="261"/>
      <c r="AA131" s="261"/>
      <c r="AB131" s="261"/>
      <c r="AC131" s="261"/>
      <c r="AD131" s="261"/>
      <c r="AE131" s="261"/>
      <c r="AF131" s="261"/>
      <c r="AG131" s="260"/>
      <c r="AH131" s="260"/>
      <c r="AI131" s="260"/>
      <c r="AJ131" s="260"/>
      <c r="AK131" s="260"/>
      <c r="AL131" s="260"/>
      <c r="AM131" s="235"/>
      <c r="AN131" s="444"/>
      <c r="AO131" s="260"/>
      <c r="AP131" s="260"/>
      <c r="AQ131" s="260"/>
      <c r="AR131" s="43" t="s">
        <v>247</v>
      </c>
    </row>
    <row r="132" spans="1:44">
      <c r="C132" s="222"/>
      <c r="D132" s="222" t="s">
        <v>317</v>
      </c>
      <c r="E132" s="222" t="s">
        <v>869</v>
      </c>
      <c r="G132" s="222" t="s">
        <v>124</v>
      </c>
      <c r="H132" s="222" t="s">
        <v>246</v>
      </c>
      <c r="I132" s="231" t="s">
        <v>125</v>
      </c>
      <c r="J132" s="13">
        <v>100</v>
      </c>
      <c r="K132" s="11">
        <v>500</v>
      </c>
      <c r="M132" s="13">
        <v>2</v>
      </c>
      <c r="N132" s="11">
        <v>4</v>
      </c>
      <c r="O132" s="21">
        <v>10.3</v>
      </c>
      <c r="P132" s="11">
        <v>10.44</v>
      </c>
      <c r="Q132" s="14">
        <v>4</v>
      </c>
      <c r="R132" s="14">
        <v>10.59</v>
      </c>
      <c r="S132" s="39">
        <v>3</v>
      </c>
      <c r="T132" s="40">
        <v>3</v>
      </c>
      <c r="U132" s="40">
        <v>3</v>
      </c>
      <c r="V132" s="40">
        <v>3</v>
      </c>
      <c r="W132" s="40">
        <v>2</v>
      </c>
      <c r="X132" s="40">
        <v>2</v>
      </c>
      <c r="Y132" s="40">
        <v>2</v>
      </c>
      <c r="Z132" s="40">
        <v>2</v>
      </c>
      <c r="AA132" s="40">
        <v>2</v>
      </c>
      <c r="AB132" s="40">
        <v>2</v>
      </c>
      <c r="AC132" s="40">
        <v>2</v>
      </c>
      <c r="AD132" s="40">
        <v>2</v>
      </c>
      <c r="AE132" s="40">
        <v>2</v>
      </c>
      <c r="AF132" s="40">
        <v>1</v>
      </c>
      <c r="AG132" s="40">
        <v>1</v>
      </c>
      <c r="AH132" s="40">
        <v>1</v>
      </c>
      <c r="AI132" s="40">
        <v>1</v>
      </c>
      <c r="AJ132" s="40">
        <v>1</v>
      </c>
      <c r="AK132" s="40"/>
      <c r="AL132" s="40"/>
      <c r="AM132" s="13"/>
      <c r="AO132" s="11"/>
      <c r="AP132" s="11"/>
      <c r="AQ132" s="11"/>
    </row>
    <row r="133" spans="1:44">
      <c r="C133" s="222"/>
      <c r="D133" s="222"/>
      <c r="E133" s="222" t="s">
        <v>870</v>
      </c>
      <c r="G133" s="222" t="s">
        <v>124</v>
      </c>
      <c r="H133" s="222" t="s">
        <v>246</v>
      </c>
      <c r="I133" s="231" t="s">
        <v>125</v>
      </c>
      <c r="J133" s="13">
        <v>100</v>
      </c>
      <c r="K133" s="11">
        <v>500</v>
      </c>
      <c r="M133" s="13">
        <v>3</v>
      </c>
      <c r="N133" s="11">
        <v>4</v>
      </c>
      <c r="O133" s="11">
        <v>10.45</v>
      </c>
      <c r="P133" s="11">
        <v>11.03</v>
      </c>
      <c r="Q133" s="14">
        <v>4</v>
      </c>
      <c r="R133" s="14">
        <v>11.19</v>
      </c>
      <c r="S133" s="39">
        <v>4</v>
      </c>
      <c r="T133" s="40">
        <v>4</v>
      </c>
      <c r="U133" s="40">
        <v>4</v>
      </c>
      <c r="V133" s="40">
        <v>4</v>
      </c>
      <c r="W133" s="40">
        <v>3</v>
      </c>
      <c r="X133" s="40">
        <v>3</v>
      </c>
      <c r="Y133" s="40">
        <v>3</v>
      </c>
      <c r="Z133" s="40">
        <v>3</v>
      </c>
      <c r="AA133" s="40">
        <v>3</v>
      </c>
      <c r="AB133" s="40">
        <v>3</v>
      </c>
      <c r="AC133" s="40">
        <v>3</v>
      </c>
      <c r="AD133" s="40">
        <v>3</v>
      </c>
      <c r="AE133" s="40">
        <v>3</v>
      </c>
      <c r="AF133" s="40">
        <v>3</v>
      </c>
      <c r="AG133" s="40">
        <v>2</v>
      </c>
      <c r="AH133" s="40"/>
      <c r="AI133" s="40"/>
      <c r="AJ133" s="40"/>
      <c r="AK133" s="40"/>
      <c r="AL133" s="40"/>
      <c r="AM133" s="13"/>
      <c r="AO133" s="11"/>
      <c r="AP133" s="11"/>
      <c r="AQ133" s="11"/>
    </row>
    <row r="134" spans="1:44">
      <c r="C134" s="222"/>
      <c r="D134" s="222"/>
      <c r="E134" s="222" t="s">
        <v>871</v>
      </c>
      <c r="G134" s="222" t="s">
        <v>124</v>
      </c>
      <c r="H134" s="222" t="s">
        <v>246</v>
      </c>
      <c r="I134" s="231" t="s">
        <v>125</v>
      </c>
      <c r="J134" s="13">
        <v>100</v>
      </c>
      <c r="K134" s="11">
        <v>500</v>
      </c>
      <c r="M134" s="13">
        <v>4</v>
      </c>
      <c r="N134" s="11">
        <v>4</v>
      </c>
      <c r="O134" s="11">
        <v>11.11</v>
      </c>
      <c r="P134" s="11">
        <v>11.24</v>
      </c>
      <c r="Q134" s="14">
        <v>4</v>
      </c>
      <c r="R134" s="14">
        <v>11.38</v>
      </c>
      <c r="S134" s="39">
        <v>4</v>
      </c>
      <c r="T134" s="40">
        <v>1</v>
      </c>
      <c r="U134" s="40">
        <v>1</v>
      </c>
      <c r="V134" s="40">
        <v>1</v>
      </c>
      <c r="W134" s="40">
        <v>1</v>
      </c>
      <c r="X134" s="40">
        <v>1</v>
      </c>
      <c r="Y134" s="40">
        <v>1</v>
      </c>
      <c r="Z134" s="40">
        <v>1</v>
      </c>
      <c r="AA134" s="40">
        <v>1</v>
      </c>
      <c r="AB134" s="40">
        <v>1</v>
      </c>
      <c r="AC134" s="40">
        <v>1</v>
      </c>
      <c r="AD134" s="40">
        <v>1</v>
      </c>
      <c r="AE134" s="40">
        <v>1</v>
      </c>
      <c r="AF134" s="40">
        <v>1</v>
      </c>
      <c r="AG134" s="40">
        <v>1</v>
      </c>
      <c r="AH134" s="40">
        <v>1</v>
      </c>
      <c r="AI134" s="40">
        <v>1</v>
      </c>
      <c r="AJ134" s="40">
        <v>1</v>
      </c>
      <c r="AK134" s="40">
        <v>1</v>
      </c>
      <c r="AL134" s="40"/>
      <c r="AM134" s="13"/>
      <c r="AO134" s="11"/>
      <c r="AP134" s="11"/>
      <c r="AQ134" s="11"/>
    </row>
    <row r="135" spans="1:44">
      <c r="C135" s="222"/>
      <c r="D135" s="222"/>
      <c r="E135" s="222"/>
      <c r="G135" s="222" t="s">
        <v>124</v>
      </c>
      <c r="H135" s="222" t="s">
        <v>246</v>
      </c>
      <c r="I135" s="231" t="s">
        <v>125</v>
      </c>
      <c r="J135" s="13">
        <v>100</v>
      </c>
      <c r="K135" s="11">
        <v>500</v>
      </c>
      <c r="M135" s="13">
        <v>5</v>
      </c>
      <c r="N135" s="11">
        <v>4</v>
      </c>
      <c r="O135" s="11">
        <v>11.25</v>
      </c>
      <c r="P135" s="11">
        <v>11.38</v>
      </c>
      <c r="Q135" s="14">
        <v>4</v>
      </c>
      <c r="R135" s="14">
        <v>11.54</v>
      </c>
      <c r="S135" s="39">
        <v>4</v>
      </c>
      <c r="T135" s="40">
        <v>4</v>
      </c>
      <c r="U135" s="40">
        <v>4</v>
      </c>
      <c r="V135" s="40">
        <v>3</v>
      </c>
      <c r="W135" s="40">
        <v>1</v>
      </c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13"/>
      <c r="AO135" s="11"/>
      <c r="AP135" s="11"/>
      <c r="AQ135" s="11"/>
    </row>
    <row r="136" spans="1:44">
      <c r="C136" s="222"/>
      <c r="D136" s="222"/>
      <c r="E136" s="222"/>
      <c r="G136" s="222" t="s">
        <v>124</v>
      </c>
      <c r="H136" s="222" t="s">
        <v>246</v>
      </c>
      <c r="I136" s="231" t="s">
        <v>125</v>
      </c>
      <c r="J136" s="13">
        <v>100</v>
      </c>
      <c r="K136" s="11">
        <v>500</v>
      </c>
      <c r="M136" s="13">
        <v>6</v>
      </c>
      <c r="N136" s="11">
        <v>4</v>
      </c>
      <c r="O136" s="11">
        <v>11.56</v>
      </c>
      <c r="P136" s="11">
        <v>12.13</v>
      </c>
      <c r="Q136" s="14">
        <v>4</v>
      </c>
      <c r="R136" s="14">
        <v>12.27</v>
      </c>
      <c r="S136" s="39">
        <v>4</v>
      </c>
      <c r="T136" s="40">
        <v>4</v>
      </c>
      <c r="U136" s="40">
        <v>4</v>
      </c>
      <c r="V136" s="40">
        <v>2</v>
      </c>
      <c r="W136" s="40">
        <v>2</v>
      </c>
      <c r="X136" s="40">
        <v>2</v>
      </c>
      <c r="Y136" s="40">
        <v>2</v>
      </c>
      <c r="Z136" s="40">
        <v>2</v>
      </c>
      <c r="AA136" s="40">
        <v>2</v>
      </c>
      <c r="AB136" s="40">
        <v>2</v>
      </c>
      <c r="AC136" s="40">
        <v>2</v>
      </c>
      <c r="AD136" s="40">
        <v>2</v>
      </c>
      <c r="AE136" s="40">
        <v>2</v>
      </c>
      <c r="AF136" s="40">
        <v>1</v>
      </c>
      <c r="AG136" s="40"/>
      <c r="AH136" s="40"/>
      <c r="AI136" s="40"/>
      <c r="AJ136" s="40"/>
      <c r="AK136" s="40"/>
      <c r="AL136" s="40"/>
      <c r="AM136" s="13"/>
      <c r="AO136" s="11"/>
      <c r="AP136" s="11"/>
      <c r="AQ136" s="11"/>
    </row>
    <row r="137" spans="1:44">
      <c r="C137" s="13"/>
      <c r="D137" s="222"/>
      <c r="E137" s="11"/>
      <c r="F137" s="22"/>
      <c r="G137" s="18" t="s">
        <v>124</v>
      </c>
      <c r="H137" s="14" t="s">
        <v>246</v>
      </c>
      <c r="I137" s="231" t="s">
        <v>125</v>
      </c>
      <c r="J137" s="19">
        <v>100</v>
      </c>
      <c r="K137" s="20">
        <v>500</v>
      </c>
      <c r="L137" s="22"/>
      <c r="M137" s="222">
        <v>7</v>
      </c>
      <c r="N137" s="14">
        <v>4</v>
      </c>
      <c r="O137" s="38">
        <v>12.2</v>
      </c>
      <c r="P137" s="14">
        <v>12.35</v>
      </c>
      <c r="Q137" s="14">
        <v>4</v>
      </c>
      <c r="R137" s="38">
        <v>12.5</v>
      </c>
      <c r="S137" s="39">
        <v>4</v>
      </c>
      <c r="T137" s="40">
        <v>4</v>
      </c>
      <c r="U137" s="40">
        <v>4</v>
      </c>
      <c r="V137" s="40">
        <v>2</v>
      </c>
      <c r="W137" s="40">
        <v>2</v>
      </c>
      <c r="X137" s="40">
        <v>2</v>
      </c>
      <c r="Y137" s="40">
        <v>2</v>
      </c>
      <c r="Z137" s="40">
        <v>2</v>
      </c>
      <c r="AA137" s="40">
        <v>2</v>
      </c>
      <c r="AB137" s="40">
        <v>2</v>
      </c>
      <c r="AC137" s="40">
        <v>2</v>
      </c>
      <c r="AD137" s="40">
        <v>1</v>
      </c>
      <c r="AE137" s="40"/>
      <c r="AF137" s="40"/>
      <c r="AG137" s="40"/>
      <c r="AH137" s="40"/>
      <c r="AI137" s="40"/>
      <c r="AJ137" s="40"/>
      <c r="AK137" s="40"/>
      <c r="AL137" s="40"/>
      <c r="AM137" s="13"/>
      <c r="AO137" s="11"/>
      <c r="AP137" s="11"/>
      <c r="AQ137" s="11"/>
    </row>
    <row r="138" spans="1:44" s="180" customFormat="1">
      <c r="A138" s="31"/>
      <c r="B138" s="31"/>
      <c r="C138" s="222"/>
      <c r="D138" s="222"/>
      <c r="E138" s="13"/>
      <c r="F138" s="41"/>
      <c r="G138" s="222" t="s">
        <v>124</v>
      </c>
      <c r="H138" s="221" t="s">
        <v>246</v>
      </c>
      <c r="I138" s="266" t="s">
        <v>125</v>
      </c>
      <c r="J138" s="13">
        <v>100</v>
      </c>
      <c r="K138" s="11">
        <v>500</v>
      </c>
      <c r="L138" s="34">
        <v>70</v>
      </c>
      <c r="M138" s="221">
        <v>1</v>
      </c>
      <c r="N138" s="35">
        <v>3</v>
      </c>
      <c r="O138" s="35">
        <v>10.16</v>
      </c>
      <c r="P138" s="35">
        <v>10.25</v>
      </c>
      <c r="Q138" s="160">
        <v>3</v>
      </c>
      <c r="R138" s="34">
        <v>10.43</v>
      </c>
      <c r="S138" s="35">
        <v>1</v>
      </c>
      <c r="T138" s="160">
        <v>1</v>
      </c>
      <c r="U138" s="160">
        <v>1</v>
      </c>
      <c r="V138" s="160">
        <v>1</v>
      </c>
      <c r="W138" s="160">
        <v>0</v>
      </c>
      <c r="X138" s="160"/>
      <c r="Y138" s="160"/>
      <c r="Z138" s="160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34"/>
      <c r="AN138" s="35"/>
      <c r="AR138" s="227" t="s">
        <v>260</v>
      </c>
    </row>
    <row r="139" spans="1:44">
      <c r="C139" s="222"/>
      <c r="D139" s="222"/>
      <c r="E139" s="222"/>
      <c r="G139" s="222" t="s">
        <v>124</v>
      </c>
      <c r="H139" s="222" t="s">
        <v>246</v>
      </c>
      <c r="I139" s="231" t="s">
        <v>125</v>
      </c>
      <c r="J139" s="13">
        <v>100</v>
      </c>
      <c r="K139" s="11">
        <v>500</v>
      </c>
      <c r="M139" s="46">
        <v>2</v>
      </c>
      <c r="N139" s="47">
        <v>4</v>
      </c>
      <c r="O139" s="47">
        <v>10.29</v>
      </c>
      <c r="P139" s="47">
        <v>11.44</v>
      </c>
      <c r="Q139" s="47">
        <v>4</v>
      </c>
      <c r="R139" s="46">
        <v>11.01</v>
      </c>
      <c r="S139" s="48">
        <v>2</v>
      </c>
      <c r="T139" s="47">
        <v>2</v>
      </c>
      <c r="U139" s="47">
        <v>2</v>
      </c>
      <c r="V139" s="47">
        <v>2</v>
      </c>
      <c r="W139" s="47">
        <v>2</v>
      </c>
      <c r="X139" s="47">
        <v>2</v>
      </c>
      <c r="Y139" s="47">
        <v>2</v>
      </c>
      <c r="Z139" s="47">
        <v>1</v>
      </c>
      <c r="AA139" s="47">
        <v>1</v>
      </c>
      <c r="AB139" s="47">
        <v>1</v>
      </c>
      <c r="AC139" s="47">
        <v>1</v>
      </c>
      <c r="AD139" s="47">
        <v>1</v>
      </c>
      <c r="AE139" s="47">
        <v>1</v>
      </c>
      <c r="AF139" s="47">
        <v>1</v>
      </c>
      <c r="AG139" s="47">
        <v>1</v>
      </c>
      <c r="AH139" s="47">
        <v>1</v>
      </c>
      <c r="AI139" s="47">
        <v>1</v>
      </c>
      <c r="AJ139" s="47">
        <v>1</v>
      </c>
      <c r="AK139" s="47">
        <v>1</v>
      </c>
      <c r="AL139" s="47">
        <v>1</v>
      </c>
      <c r="AM139" s="46">
        <v>1</v>
      </c>
      <c r="AN139" s="48">
        <v>1</v>
      </c>
      <c r="AO139" s="47">
        <v>1</v>
      </c>
      <c r="AP139" s="47">
        <v>0</v>
      </c>
      <c r="AQ139" s="256" t="s">
        <v>318</v>
      </c>
    </row>
    <row r="140" spans="1:44">
      <c r="C140" s="222"/>
      <c r="D140" s="222"/>
      <c r="E140" s="222"/>
      <c r="G140" s="222" t="s">
        <v>124</v>
      </c>
      <c r="H140" s="222" t="s">
        <v>246</v>
      </c>
      <c r="I140" s="231" t="s">
        <v>125</v>
      </c>
      <c r="J140" s="13">
        <v>100</v>
      </c>
      <c r="K140" s="11">
        <v>500</v>
      </c>
      <c r="M140" s="13">
        <v>3</v>
      </c>
      <c r="N140" s="11">
        <v>4</v>
      </c>
      <c r="O140" s="11">
        <v>10.55</v>
      </c>
      <c r="P140" s="11">
        <v>11.07</v>
      </c>
      <c r="Q140" s="11">
        <v>4</v>
      </c>
      <c r="R140" s="13">
        <v>11.23</v>
      </c>
      <c r="S140" s="14">
        <v>2</v>
      </c>
      <c r="T140" s="11">
        <v>2</v>
      </c>
      <c r="U140" s="11">
        <v>2</v>
      </c>
      <c r="V140" s="11">
        <v>2</v>
      </c>
      <c r="W140" s="11">
        <v>0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3"/>
      <c r="AO140" s="11"/>
      <c r="AP140" s="11"/>
    </row>
    <row r="141" spans="1:44">
      <c r="C141" s="222"/>
      <c r="D141" s="222"/>
      <c r="E141" s="222"/>
      <c r="G141" s="222" t="s">
        <v>124</v>
      </c>
      <c r="H141" s="222" t="s">
        <v>246</v>
      </c>
      <c r="I141" s="231" t="s">
        <v>125</v>
      </c>
      <c r="J141" s="13">
        <v>100</v>
      </c>
      <c r="K141" s="11">
        <v>500</v>
      </c>
      <c r="M141" s="13">
        <v>4</v>
      </c>
      <c r="N141" s="11">
        <v>5</v>
      </c>
      <c r="O141" s="11">
        <v>11.12</v>
      </c>
      <c r="P141" s="11">
        <v>11.33</v>
      </c>
      <c r="Q141" s="11">
        <v>5</v>
      </c>
      <c r="R141" s="13">
        <v>11.48</v>
      </c>
      <c r="S141" s="14">
        <v>5</v>
      </c>
      <c r="T141" s="11">
        <v>0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3"/>
      <c r="AO141" s="11"/>
      <c r="AP141" s="11"/>
    </row>
    <row r="142" spans="1:44">
      <c r="C142" s="222"/>
      <c r="D142" s="222"/>
      <c r="E142" s="222"/>
      <c r="G142" s="222" t="s">
        <v>124</v>
      </c>
      <c r="H142" s="222" t="s">
        <v>246</v>
      </c>
      <c r="I142" s="231" t="s">
        <v>125</v>
      </c>
      <c r="J142" s="13">
        <v>100</v>
      </c>
      <c r="K142" s="11">
        <v>500</v>
      </c>
      <c r="M142" s="46">
        <v>5</v>
      </c>
      <c r="N142" s="47">
        <v>4</v>
      </c>
      <c r="O142" s="47">
        <v>11.48</v>
      </c>
      <c r="P142" s="47">
        <v>12.06</v>
      </c>
      <c r="Q142" s="47">
        <v>4</v>
      </c>
      <c r="R142" s="46">
        <v>12.22</v>
      </c>
      <c r="S142" s="48">
        <v>3</v>
      </c>
      <c r="T142" s="47">
        <v>3</v>
      </c>
      <c r="U142" s="47">
        <v>3</v>
      </c>
      <c r="V142" s="47">
        <v>3</v>
      </c>
      <c r="W142" s="47">
        <v>3</v>
      </c>
      <c r="X142" s="47">
        <v>3</v>
      </c>
      <c r="Y142" s="47">
        <v>3</v>
      </c>
      <c r="Z142" s="47">
        <v>3</v>
      </c>
      <c r="AA142" s="47">
        <v>3</v>
      </c>
      <c r="AB142" s="47">
        <v>3</v>
      </c>
      <c r="AC142" s="47">
        <v>3</v>
      </c>
      <c r="AD142" s="47">
        <v>3</v>
      </c>
      <c r="AE142" s="47">
        <v>3</v>
      </c>
      <c r="AF142" s="47">
        <v>3</v>
      </c>
      <c r="AG142" s="47">
        <v>1</v>
      </c>
      <c r="AH142" s="47">
        <v>1</v>
      </c>
      <c r="AI142" s="47">
        <v>1</v>
      </c>
      <c r="AJ142" s="47">
        <v>1</v>
      </c>
      <c r="AK142" s="47">
        <v>1</v>
      </c>
      <c r="AL142" s="47">
        <v>1</v>
      </c>
      <c r="AM142" s="46">
        <v>1</v>
      </c>
      <c r="AN142" s="48">
        <v>1</v>
      </c>
      <c r="AO142" s="47">
        <v>1</v>
      </c>
      <c r="AP142" s="47">
        <v>0</v>
      </c>
      <c r="AQ142" s="256" t="s">
        <v>319</v>
      </c>
    </row>
    <row r="143" spans="1:44">
      <c r="C143" s="222"/>
      <c r="D143" s="222"/>
      <c r="E143" s="222"/>
      <c r="G143" s="222" t="s">
        <v>124</v>
      </c>
      <c r="H143" s="222" t="s">
        <v>246</v>
      </c>
      <c r="I143" s="231" t="s">
        <v>125</v>
      </c>
      <c r="J143" s="13">
        <v>100</v>
      </c>
      <c r="K143" s="11">
        <v>500</v>
      </c>
      <c r="M143" s="13">
        <v>6</v>
      </c>
      <c r="N143" s="11">
        <v>2</v>
      </c>
      <c r="O143" s="11">
        <v>12.09</v>
      </c>
      <c r="P143" s="11">
        <v>12.32</v>
      </c>
      <c r="Q143" s="11">
        <v>2</v>
      </c>
      <c r="R143" s="13">
        <v>12.48</v>
      </c>
      <c r="S143" s="14">
        <v>2</v>
      </c>
      <c r="T143" s="11">
        <v>2</v>
      </c>
      <c r="U143" s="11">
        <v>2</v>
      </c>
      <c r="V143" s="11">
        <v>2</v>
      </c>
      <c r="W143" s="11">
        <v>2</v>
      </c>
      <c r="X143" s="11">
        <v>2</v>
      </c>
      <c r="Y143" s="11">
        <v>2</v>
      </c>
      <c r="Z143" s="11">
        <v>2</v>
      </c>
      <c r="AA143" s="11">
        <v>1</v>
      </c>
      <c r="AB143" s="11">
        <v>1</v>
      </c>
      <c r="AC143" s="11">
        <v>1</v>
      </c>
      <c r="AD143" s="11">
        <v>0</v>
      </c>
      <c r="AE143" s="11"/>
      <c r="AF143" s="11"/>
      <c r="AG143" s="11"/>
      <c r="AH143" s="11"/>
      <c r="AI143" s="11"/>
      <c r="AJ143" s="11"/>
      <c r="AK143" s="11"/>
      <c r="AL143" s="11"/>
      <c r="AM143" s="13"/>
    </row>
    <row r="144" spans="1:44">
      <c r="C144" s="222"/>
      <c r="D144" s="222"/>
      <c r="E144" s="222"/>
      <c r="G144" s="222" t="s">
        <v>124</v>
      </c>
      <c r="H144" s="222" t="s">
        <v>246</v>
      </c>
      <c r="I144" s="231" t="s">
        <v>125</v>
      </c>
      <c r="J144" s="13">
        <v>100</v>
      </c>
      <c r="K144" s="11">
        <v>500</v>
      </c>
      <c r="M144" s="13" t="s">
        <v>102</v>
      </c>
      <c r="N144" s="11">
        <v>5</v>
      </c>
      <c r="O144" s="11" t="s">
        <v>61</v>
      </c>
      <c r="P144" s="11" t="s">
        <v>61</v>
      </c>
      <c r="Q144" s="11">
        <v>5</v>
      </c>
      <c r="R144" s="13">
        <v>10.47</v>
      </c>
      <c r="S144" s="14">
        <v>1</v>
      </c>
      <c r="T144" s="11">
        <v>1</v>
      </c>
      <c r="U144" s="11">
        <v>1</v>
      </c>
      <c r="V144" s="11">
        <v>1</v>
      </c>
      <c r="W144" s="11">
        <v>1</v>
      </c>
      <c r="X144" s="11">
        <v>1</v>
      </c>
      <c r="Y144" s="11">
        <v>1</v>
      </c>
      <c r="Z144" s="11">
        <v>1</v>
      </c>
      <c r="AA144" s="11">
        <v>0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3"/>
    </row>
    <row r="145" spans="1:44">
      <c r="C145" s="222"/>
      <c r="D145" s="222"/>
      <c r="E145" s="222"/>
      <c r="G145" s="222" t="s">
        <v>124</v>
      </c>
      <c r="H145" s="222" t="s">
        <v>246</v>
      </c>
      <c r="I145" s="231" t="s">
        <v>125</v>
      </c>
      <c r="J145" s="13">
        <v>100</v>
      </c>
      <c r="K145" s="11">
        <v>500</v>
      </c>
      <c r="M145" s="13" t="s">
        <v>103</v>
      </c>
      <c r="N145" s="11">
        <v>4</v>
      </c>
      <c r="O145" s="11" t="s">
        <v>61</v>
      </c>
      <c r="P145" s="11" t="s">
        <v>61</v>
      </c>
      <c r="Q145" s="11">
        <v>4</v>
      </c>
      <c r="R145" s="13">
        <v>11.02</v>
      </c>
      <c r="S145" s="14">
        <v>1</v>
      </c>
      <c r="T145" s="11">
        <v>1</v>
      </c>
      <c r="U145" s="11">
        <v>1</v>
      </c>
      <c r="V145" s="11">
        <v>1</v>
      </c>
      <c r="W145" s="11">
        <v>1</v>
      </c>
      <c r="X145" s="11">
        <v>1</v>
      </c>
      <c r="Y145" s="11">
        <v>1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  <c r="AF145" s="11">
        <v>0</v>
      </c>
      <c r="AG145" s="11"/>
      <c r="AH145" s="11"/>
      <c r="AI145" s="11"/>
      <c r="AJ145" s="11"/>
      <c r="AK145" s="11"/>
      <c r="AL145" s="11"/>
      <c r="AM145" s="13"/>
    </row>
    <row r="146" spans="1:44">
      <c r="C146" s="222"/>
      <c r="D146" s="222"/>
      <c r="E146" s="222"/>
      <c r="G146" s="222" t="s">
        <v>124</v>
      </c>
      <c r="H146" s="222" t="s">
        <v>246</v>
      </c>
      <c r="I146" s="231" t="s">
        <v>125</v>
      </c>
      <c r="J146" s="13">
        <v>100</v>
      </c>
      <c r="K146" s="11">
        <v>500</v>
      </c>
      <c r="M146" s="13" t="s">
        <v>104</v>
      </c>
      <c r="N146" s="11">
        <v>4</v>
      </c>
      <c r="O146" s="11" t="s">
        <v>61</v>
      </c>
      <c r="P146" s="11" t="s">
        <v>61</v>
      </c>
      <c r="Q146" s="11">
        <v>4</v>
      </c>
      <c r="R146" s="13">
        <v>11.21</v>
      </c>
      <c r="S146" s="14">
        <v>1</v>
      </c>
      <c r="T146" s="11">
        <v>1</v>
      </c>
      <c r="U146" s="11">
        <v>1</v>
      </c>
      <c r="V146" s="11">
        <v>1</v>
      </c>
      <c r="W146" s="11">
        <v>1</v>
      </c>
      <c r="X146" s="11">
        <v>1</v>
      </c>
      <c r="Y146" s="11">
        <v>1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0</v>
      </c>
      <c r="AF146" s="11"/>
      <c r="AG146" s="11"/>
      <c r="AH146" s="11"/>
      <c r="AI146" s="11"/>
      <c r="AJ146" s="11"/>
      <c r="AK146" s="11"/>
      <c r="AL146" s="11"/>
      <c r="AM146" s="13"/>
    </row>
    <row r="147" spans="1:44">
      <c r="C147" s="222"/>
      <c r="D147" s="222"/>
      <c r="E147" s="222"/>
      <c r="G147" s="222" t="s">
        <v>124</v>
      </c>
      <c r="H147" s="222" t="s">
        <v>246</v>
      </c>
      <c r="I147" s="231" t="s">
        <v>125</v>
      </c>
      <c r="J147" s="13">
        <v>100</v>
      </c>
      <c r="K147" s="11">
        <v>500</v>
      </c>
      <c r="M147" s="13" t="s">
        <v>105</v>
      </c>
      <c r="N147" s="11">
        <v>3</v>
      </c>
      <c r="O147" s="11" t="s">
        <v>61</v>
      </c>
      <c r="P147" s="11" t="s">
        <v>61</v>
      </c>
      <c r="Q147" s="11">
        <v>3</v>
      </c>
      <c r="R147" s="13">
        <v>11.41</v>
      </c>
      <c r="S147" s="14">
        <v>1</v>
      </c>
      <c r="T147" s="11">
        <v>1</v>
      </c>
      <c r="U147" s="11">
        <v>1</v>
      </c>
      <c r="V147" s="11">
        <v>1</v>
      </c>
      <c r="W147" s="11">
        <v>1</v>
      </c>
      <c r="X147" s="11">
        <v>1</v>
      </c>
      <c r="Y147" s="11">
        <v>1</v>
      </c>
      <c r="Z147" s="11">
        <v>1</v>
      </c>
      <c r="AA147" s="11">
        <v>0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3"/>
    </row>
    <row r="148" spans="1:44">
      <c r="C148" s="222"/>
      <c r="D148" s="222"/>
      <c r="E148" s="222"/>
      <c r="G148" s="222" t="s">
        <v>124</v>
      </c>
      <c r="H148" s="222" t="s">
        <v>246</v>
      </c>
      <c r="I148" s="231" t="s">
        <v>125</v>
      </c>
      <c r="J148" s="13">
        <v>100</v>
      </c>
      <c r="K148" s="11">
        <v>500</v>
      </c>
      <c r="M148" s="13" t="s">
        <v>106</v>
      </c>
      <c r="N148" s="11">
        <v>4</v>
      </c>
      <c r="O148" s="11" t="s">
        <v>61</v>
      </c>
      <c r="P148" s="11" t="s">
        <v>61</v>
      </c>
      <c r="Q148" s="11">
        <v>4</v>
      </c>
      <c r="R148" s="13">
        <v>12.25</v>
      </c>
      <c r="S148" s="14">
        <v>2</v>
      </c>
      <c r="T148" s="11">
        <v>2</v>
      </c>
      <c r="U148" s="11">
        <v>2</v>
      </c>
      <c r="V148" s="11">
        <v>2</v>
      </c>
      <c r="W148" s="11">
        <v>2</v>
      </c>
      <c r="X148" s="11">
        <v>2</v>
      </c>
      <c r="Y148" s="11">
        <v>2</v>
      </c>
      <c r="Z148" s="11">
        <v>2</v>
      </c>
      <c r="AA148" s="11">
        <v>2</v>
      </c>
      <c r="AB148" s="11">
        <v>2</v>
      </c>
      <c r="AC148" s="11">
        <v>2</v>
      </c>
      <c r="AD148" s="11">
        <v>2</v>
      </c>
      <c r="AE148" s="11">
        <v>2</v>
      </c>
      <c r="AF148" s="11">
        <v>2</v>
      </c>
      <c r="AG148" s="11">
        <v>2</v>
      </c>
      <c r="AH148" s="11">
        <v>2</v>
      </c>
      <c r="AI148" s="11">
        <v>2</v>
      </c>
      <c r="AJ148" s="11">
        <v>0</v>
      </c>
      <c r="AK148" s="11"/>
      <c r="AL148" s="11"/>
      <c r="AM148" s="13"/>
    </row>
    <row r="149" spans="1:44">
      <c r="C149" s="222"/>
      <c r="D149" s="222"/>
      <c r="E149" s="222"/>
      <c r="G149" s="222" t="s">
        <v>124</v>
      </c>
      <c r="H149" s="222" t="s">
        <v>246</v>
      </c>
      <c r="I149" s="231" t="s">
        <v>125</v>
      </c>
      <c r="J149" s="13">
        <v>100</v>
      </c>
      <c r="K149" s="11">
        <v>500</v>
      </c>
      <c r="M149" s="13" t="s">
        <v>107</v>
      </c>
      <c r="N149" s="11">
        <v>4</v>
      </c>
      <c r="O149" s="11" t="s">
        <v>61</v>
      </c>
      <c r="P149" s="11" t="s">
        <v>61</v>
      </c>
      <c r="Q149" s="11">
        <v>4</v>
      </c>
      <c r="R149" s="13">
        <v>12.25</v>
      </c>
      <c r="S149" s="14">
        <v>4</v>
      </c>
      <c r="T149" s="11">
        <v>3</v>
      </c>
      <c r="U149" s="11">
        <v>3</v>
      </c>
      <c r="V149" s="11">
        <v>3</v>
      </c>
      <c r="W149" s="11">
        <v>3</v>
      </c>
      <c r="X149" s="11">
        <v>3</v>
      </c>
      <c r="Y149" s="11">
        <v>3</v>
      </c>
      <c r="Z149" s="11">
        <v>3</v>
      </c>
      <c r="AA149" s="11">
        <v>3</v>
      </c>
      <c r="AB149" s="11">
        <v>3</v>
      </c>
      <c r="AC149" s="11">
        <v>1</v>
      </c>
      <c r="AD149" s="11">
        <v>0</v>
      </c>
      <c r="AE149" s="11"/>
      <c r="AF149" s="11"/>
      <c r="AG149" s="11"/>
      <c r="AH149" s="11"/>
      <c r="AI149" s="11"/>
      <c r="AJ149" s="11"/>
      <c r="AK149" s="11"/>
      <c r="AL149" s="11"/>
      <c r="AM149" s="13"/>
    </row>
    <row r="150" spans="1:44" s="311" customFormat="1" ht="15.75" thickBot="1">
      <c r="B150" s="321"/>
      <c r="C150" s="306"/>
      <c r="D150" s="306"/>
      <c r="E150" s="305"/>
      <c r="F150" s="319"/>
      <c r="G150" s="306" t="s">
        <v>124</v>
      </c>
      <c r="H150" s="309" t="s">
        <v>246</v>
      </c>
      <c r="I150" s="322" t="s">
        <v>125</v>
      </c>
      <c r="J150" s="305">
        <v>100</v>
      </c>
      <c r="K150" s="308">
        <v>500</v>
      </c>
      <c r="L150" s="319"/>
      <c r="M150" s="305" t="s">
        <v>108</v>
      </c>
      <c r="N150" s="308">
        <v>5</v>
      </c>
      <c r="O150" s="308" t="s">
        <v>61</v>
      </c>
      <c r="P150" s="308" t="s">
        <v>61</v>
      </c>
      <c r="Q150" s="308">
        <v>5</v>
      </c>
      <c r="R150" s="305">
        <v>12.47</v>
      </c>
      <c r="S150" s="309">
        <v>5</v>
      </c>
      <c r="T150" s="308">
        <v>2</v>
      </c>
      <c r="U150" s="308">
        <v>2</v>
      </c>
      <c r="V150" s="308">
        <v>2</v>
      </c>
      <c r="W150" s="308">
        <v>2</v>
      </c>
      <c r="X150" s="308">
        <v>2</v>
      </c>
      <c r="Y150" s="308">
        <v>2</v>
      </c>
      <c r="Z150" s="308">
        <v>2</v>
      </c>
      <c r="AA150" s="308">
        <v>2</v>
      </c>
      <c r="AB150" s="308">
        <v>2</v>
      </c>
      <c r="AC150" s="308">
        <v>2</v>
      </c>
      <c r="AD150" s="308">
        <v>2</v>
      </c>
      <c r="AE150" s="308">
        <v>1</v>
      </c>
      <c r="AF150" s="308">
        <v>0</v>
      </c>
      <c r="AG150" s="308"/>
      <c r="AH150" s="308"/>
      <c r="AI150" s="308"/>
      <c r="AJ150" s="308"/>
      <c r="AK150" s="308"/>
      <c r="AL150" s="308"/>
      <c r="AM150" s="305"/>
      <c r="AN150" s="309"/>
      <c r="AR150" s="303"/>
    </row>
    <row r="151" spans="1:44">
      <c r="A151" s="43">
        <v>11</v>
      </c>
      <c r="B151" s="44">
        <v>45940</v>
      </c>
      <c r="C151" s="222" t="s">
        <v>306</v>
      </c>
      <c r="D151" s="222" t="s">
        <v>320</v>
      </c>
      <c r="E151" s="222" t="s">
        <v>872</v>
      </c>
      <c r="F151" s="31" t="s">
        <v>245</v>
      </c>
      <c r="G151" s="222" t="s">
        <v>128</v>
      </c>
      <c r="H151" s="13" t="s">
        <v>274</v>
      </c>
      <c r="I151" s="279" t="s">
        <v>129</v>
      </c>
      <c r="J151" s="13">
        <v>100</v>
      </c>
      <c r="K151" s="11">
        <v>500</v>
      </c>
      <c r="L151" s="222">
        <v>65</v>
      </c>
      <c r="M151" s="14">
        <v>1</v>
      </c>
      <c r="N151" s="222">
        <v>5</v>
      </c>
      <c r="O151" s="11">
        <v>9.58</v>
      </c>
      <c r="P151" s="14">
        <v>10.19</v>
      </c>
      <c r="Q151" s="13">
        <v>5</v>
      </c>
      <c r="R151" s="13">
        <v>10.34</v>
      </c>
      <c r="S151" s="240">
        <v>3</v>
      </c>
      <c r="T151" s="40">
        <v>1</v>
      </c>
      <c r="U151" s="40">
        <v>1</v>
      </c>
      <c r="V151" s="40">
        <v>1</v>
      </c>
      <c r="W151" s="40">
        <v>1</v>
      </c>
      <c r="X151" s="40">
        <v>1</v>
      </c>
      <c r="Y151" s="40">
        <v>1</v>
      </c>
      <c r="Z151" s="40">
        <v>1</v>
      </c>
      <c r="AA151" s="40">
        <v>1</v>
      </c>
      <c r="AB151" s="40">
        <v>1</v>
      </c>
      <c r="AC151" s="40">
        <v>1</v>
      </c>
      <c r="AD151" s="40">
        <v>1</v>
      </c>
      <c r="AE151" s="40">
        <v>1</v>
      </c>
      <c r="AF151" s="40">
        <v>1</v>
      </c>
      <c r="AG151" s="40"/>
      <c r="AH151" s="11"/>
      <c r="AI151" s="11"/>
      <c r="AJ151" s="11"/>
      <c r="AK151" s="11"/>
      <c r="AL151" s="11"/>
      <c r="AM151" s="13"/>
      <c r="AO151" s="11"/>
      <c r="AP151" s="11"/>
      <c r="AQ151" s="11"/>
      <c r="AR151" s="43" t="s">
        <v>247</v>
      </c>
    </row>
    <row r="152" spans="1:44">
      <c r="C152" s="222"/>
      <c r="D152" s="222" t="s">
        <v>321</v>
      </c>
      <c r="E152" s="222" t="s">
        <v>856</v>
      </c>
      <c r="G152" s="11" t="s">
        <v>128</v>
      </c>
      <c r="H152" s="222" t="s">
        <v>274</v>
      </c>
      <c r="I152" s="218" t="s">
        <v>129</v>
      </c>
      <c r="J152" s="11">
        <v>100</v>
      </c>
      <c r="K152" s="11">
        <v>500</v>
      </c>
      <c r="L152" s="31"/>
      <c r="M152" s="14">
        <v>2</v>
      </c>
      <c r="N152" s="222">
        <v>4</v>
      </c>
      <c r="O152" s="11">
        <v>10.46</v>
      </c>
      <c r="P152" s="14">
        <v>10.58</v>
      </c>
      <c r="Q152" s="13">
        <v>4</v>
      </c>
      <c r="R152" s="13">
        <v>11.33</v>
      </c>
      <c r="S152" s="240">
        <v>1</v>
      </c>
      <c r="T152" s="40">
        <v>1</v>
      </c>
      <c r="U152" s="40">
        <v>1</v>
      </c>
      <c r="V152" s="40">
        <v>1</v>
      </c>
      <c r="W152" s="40">
        <v>1</v>
      </c>
      <c r="X152" s="40">
        <v>1</v>
      </c>
      <c r="Y152" s="40">
        <v>1</v>
      </c>
      <c r="Z152" s="40">
        <v>1</v>
      </c>
      <c r="AA152" s="40">
        <v>1</v>
      </c>
      <c r="AB152" s="40">
        <v>1</v>
      </c>
      <c r="AC152" s="40">
        <v>1</v>
      </c>
      <c r="AD152" s="40">
        <v>1</v>
      </c>
      <c r="AE152" s="40">
        <v>1</v>
      </c>
      <c r="AF152" s="40">
        <v>1</v>
      </c>
      <c r="AG152" s="40">
        <v>1</v>
      </c>
      <c r="AH152" s="11"/>
      <c r="AI152" s="11"/>
      <c r="AJ152" s="11"/>
      <c r="AK152" s="11"/>
      <c r="AL152" s="11"/>
      <c r="AM152" s="13"/>
      <c r="AO152" s="11"/>
      <c r="AP152" s="11"/>
      <c r="AQ152" s="11"/>
      <c r="AR152" s="297"/>
    </row>
    <row r="153" spans="1:44">
      <c r="C153" s="222"/>
      <c r="D153" s="222"/>
      <c r="E153" s="222" t="s">
        <v>873</v>
      </c>
      <c r="G153" s="222" t="s">
        <v>128</v>
      </c>
      <c r="H153" s="222" t="s">
        <v>274</v>
      </c>
      <c r="I153" s="218" t="s">
        <v>129</v>
      </c>
      <c r="J153" s="11">
        <v>100</v>
      </c>
      <c r="K153" s="11">
        <v>500</v>
      </c>
      <c r="L153" s="31"/>
      <c r="M153" s="14">
        <v>3</v>
      </c>
      <c r="N153" s="222">
        <v>4</v>
      </c>
      <c r="O153" s="21">
        <v>11</v>
      </c>
      <c r="P153" s="38">
        <v>11.2</v>
      </c>
      <c r="Q153" s="13">
        <v>4</v>
      </c>
      <c r="R153" s="13">
        <v>11.35</v>
      </c>
      <c r="S153" s="240">
        <v>3</v>
      </c>
      <c r="T153" s="40">
        <v>3</v>
      </c>
      <c r="U153" s="40">
        <v>3</v>
      </c>
      <c r="V153" s="40">
        <v>3</v>
      </c>
      <c r="W153" s="40">
        <v>3</v>
      </c>
      <c r="X153" s="40">
        <v>3</v>
      </c>
      <c r="Y153" s="40">
        <v>3</v>
      </c>
      <c r="Z153" s="40">
        <v>3</v>
      </c>
      <c r="AA153" s="40">
        <v>3</v>
      </c>
      <c r="AB153" s="40">
        <v>3</v>
      </c>
      <c r="AC153" s="40">
        <v>3</v>
      </c>
      <c r="AD153" s="40">
        <v>3</v>
      </c>
      <c r="AE153" s="40">
        <v>3</v>
      </c>
      <c r="AF153" s="40">
        <v>2</v>
      </c>
      <c r="AG153" s="40"/>
      <c r="AH153" s="11"/>
      <c r="AI153" s="11"/>
      <c r="AJ153" s="11"/>
      <c r="AK153" s="11"/>
      <c r="AL153" s="11"/>
      <c r="AM153" s="13"/>
      <c r="AO153" s="11"/>
      <c r="AP153" s="11"/>
      <c r="AQ153" s="11"/>
      <c r="AR153" s="297"/>
    </row>
    <row r="154" spans="1:44">
      <c r="C154" s="222"/>
      <c r="D154" s="222"/>
      <c r="E154" s="222" t="s">
        <v>844</v>
      </c>
      <c r="G154" s="222" t="s">
        <v>128</v>
      </c>
      <c r="H154" s="222" t="s">
        <v>274</v>
      </c>
      <c r="I154" s="218" t="s">
        <v>129</v>
      </c>
      <c r="J154" s="28">
        <v>100</v>
      </c>
      <c r="K154" s="28">
        <v>500</v>
      </c>
      <c r="L154" s="32"/>
      <c r="M154" s="14">
        <v>4</v>
      </c>
      <c r="N154" s="222">
        <v>4</v>
      </c>
      <c r="O154" s="21">
        <v>11.22</v>
      </c>
      <c r="P154" s="14">
        <v>11.39</v>
      </c>
      <c r="Q154" s="13">
        <v>4</v>
      </c>
      <c r="R154" s="19">
        <v>11.57</v>
      </c>
      <c r="S154" s="241">
        <v>2</v>
      </c>
      <c r="T154" s="40">
        <v>2</v>
      </c>
      <c r="U154" s="40">
        <v>2</v>
      </c>
      <c r="V154" s="40">
        <v>2</v>
      </c>
      <c r="W154" s="40">
        <v>2</v>
      </c>
      <c r="X154" s="40">
        <v>2</v>
      </c>
      <c r="Y154" s="40">
        <v>2</v>
      </c>
      <c r="Z154" s="40">
        <v>2</v>
      </c>
      <c r="AA154" s="40">
        <v>2</v>
      </c>
      <c r="AB154" s="40">
        <v>2</v>
      </c>
      <c r="AC154" s="40">
        <v>2</v>
      </c>
      <c r="AD154" s="40">
        <v>2</v>
      </c>
      <c r="AE154" s="40">
        <v>2</v>
      </c>
      <c r="AF154" s="40">
        <v>2</v>
      </c>
      <c r="AG154" s="40">
        <v>1</v>
      </c>
      <c r="AH154" s="11"/>
      <c r="AI154" s="11"/>
      <c r="AJ154" s="11"/>
      <c r="AK154" s="11"/>
      <c r="AL154" s="11"/>
      <c r="AM154" s="19"/>
      <c r="AN154" s="20"/>
      <c r="AO154" s="11"/>
      <c r="AP154" s="11"/>
      <c r="AQ154" s="11"/>
      <c r="AR154" s="298"/>
    </row>
    <row r="155" spans="1:44" s="180" customFormat="1">
      <c r="A155" s="31"/>
      <c r="B155" s="31"/>
      <c r="C155" s="222"/>
      <c r="D155" s="222"/>
      <c r="E155" s="13"/>
      <c r="F155" s="41"/>
      <c r="G155" s="221" t="s">
        <v>128</v>
      </c>
      <c r="H155" s="221" t="s">
        <v>274</v>
      </c>
      <c r="I155" s="217" t="s">
        <v>129</v>
      </c>
      <c r="J155" s="11">
        <v>100</v>
      </c>
      <c r="K155" s="11">
        <v>500</v>
      </c>
      <c r="L155" s="13">
        <v>70</v>
      </c>
      <c r="M155" s="221">
        <v>1</v>
      </c>
      <c r="N155" s="35">
        <v>4</v>
      </c>
      <c r="O155" s="35">
        <v>10.14</v>
      </c>
      <c r="P155" s="35">
        <v>10.3</v>
      </c>
      <c r="Q155" s="35">
        <v>4</v>
      </c>
      <c r="R155" s="14">
        <v>10.46</v>
      </c>
      <c r="S155" s="222">
        <v>1</v>
      </c>
      <c r="T155" s="160">
        <v>1</v>
      </c>
      <c r="U155" s="160">
        <v>1</v>
      </c>
      <c r="V155" s="160">
        <v>1</v>
      </c>
      <c r="W155" s="160">
        <v>1</v>
      </c>
      <c r="X155" s="160">
        <v>1</v>
      </c>
      <c r="Y155" s="160">
        <v>1</v>
      </c>
      <c r="Z155" s="160">
        <v>1</v>
      </c>
      <c r="AA155" s="160">
        <v>1</v>
      </c>
      <c r="AB155" s="160">
        <v>1</v>
      </c>
      <c r="AC155" s="160">
        <v>1</v>
      </c>
      <c r="AD155" s="160">
        <v>1</v>
      </c>
      <c r="AE155" s="160">
        <v>1</v>
      </c>
      <c r="AF155" s="160">
        <v>0</v>
      </c>
      <c r="AG155" s="160"/>
      <c r="AH155" s="160"/>
      <c r="AI155" s="160"/>
      <c r="AJ155" s="160"/>
      <c r="AK155" s="160"/>
      <c r="AL155" s="160"/>
      <c r="AM155" s="13"/>
      <c r="AN155" s="14"/>
      <c r="AR155" s="43" t="s">
        <v>260</v>
      </c>
    </row>
    <row r="156" spans="1:44">
      <c r="C156" s="222"/>
      <c r="D156" s="222"/>
      <c r="E156" s="222"/>
      <c r="G156" s="222" t="s">
        <v>128</v>
      </c>
      <c r="H156" s="222" t="s">
        <v>274</v>
      </c>
      <c r="I156" s="218" t="s">
        <v>129</v>
      </c>
      <c r="J156" s="11">
        <v>100</v>
      </c>
      <c r="K156" s="11">
        <v>500</v>
      </c>
      <c r="M156" s="222">
        <v>2</v>
      </c>
      <c r="N156" s="14">
        <v>3</v>
      </c>
      <c r="O156" s="14">
        <v>10.33</v>
      </c>
      <c r="P156" s="14">
        <v>10.47</v>
      </c>
      <c r="Q156" s="14">
        <v>3</v>
      </c>
      <c r="R156" s="14">
        <v>11.02</v>
      </c>
      <c r="S156" s="222">
        <v>0</v>
      </c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3"/>
    </row>
    <row r="157" spans="1:44">
      <c r="C157" s="222"/>
      <c r="D157" s="222"/>
      <c r="E157" s="222"/>
      <c r="G157" s="222" t="s">
        <v>128</v>
      </c>
      <c r="H157" s="222" t="s">
        <v>274</v>
      </c>
      <c r="I157" s="218" t="s">
        <v>129</v>
      </c>
      <c r="J157" s="11">
        <v>100</v>
      </c>
      <c r="K157" s="11">
        <v>500</v>
      </c>
      <c r="M157" s="222">
        <v>3</v>
      </c>
      <c r="N157" s="14">
        <v>1</v>
      </c>
      <c r="O157" s="14">
        <v>10.56</v>
      </c>
      <c r="P157" s="14">
        <v>11.07</v>
      </c>
      <c r="Q157" s="14">
        <v>1</v>
      </c>
      <c r="R157" s="14">
        <v>11.24</v>
      </c>
      <c r="S157" s="222">
        <v>1</v>
      </c>
      <c r="T157" s="11">
        <v>1</v>
      </c>
      <c r="U157" s="11">
        <v>1</v>
      </c>
      <c r="V157" s="11">
        <v>1</v>
      </c>
      <c r="W157" s="11">
        <v>1</v>
      </c>
      <c r="X157" s="11">
        <v>1</v>
      </c>
      <c r="Y157" s="11">
        <v>1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  <c r="AF157" s="11">
        <v>0</v>
      </c>
      <c r="AG157" s="11"/>
      <c r="AH157" s="11"/>
      <c r="AI157" s="11"/>
      <c r="AJ157" s="11"/>
      <c r="AK157" s="11"/>
      <c r="AL157" s="11"/>
      <c r="AM157" s="13"/>
    </row>
    <row r="158" spans="1:44">
      <c r="C158" s="222"/>
      <c r="D158" s="222"/>
      <c r="E158" s="222"/>
      <c r="G158" s="222" t="s">
        <v>128</v>
      </c>
      <c r="H158" s="222" t="s">
        <v>274</v>
      </c>
      <c r="I158" s="218" t="s">
        <v>129</v>
      </c>
      <c r="J158" s="11">
        <v>100</v>
      </c>
      <c r="K158" s="11">
        <v>500</v>
      </c>
      <c r="M158" s="26">
        <v>4</v>
      </c>
      <c r="N158" s="48">
        <v>4</v>
      </c>
      <c r="O158" s="48">
        <v>11.19</v>
      </c>
      <c r="P158" s="48">
        <v>11.36</v>
      </c>
      <c r="Q158" s="48">
        <v>4</v>
      </c>
      <c r="R158" s="48">
        <v>11.52</v>
      </c>
      <c r="S158" s="26">
        <v>2</v>
      </c>
      <c r="T158" s="47">
        <v>2</v>
      </c>
      <c r="U158" s="47">
        <v>2</v>
      </c>
      <c r="V158" s="47">
        <v>2</v>
      </c>
      <c r="W158" s="47">
        <v>2</v>
      </c>
      <c r="X158" s="47">
        <v>2</v>
      </c>
      <c r="Y158" s="47">
        <v>2</v>
      </c>
      <c r="Z158" s="47">
        <v>2</v>
      </c>
      <c r="AA158" s="47">
        <v>2</v>
      </c>
      <c r="AB158" s="47">
        <v>2</v>
      </c>
      <c r="AC158" s="47">
        <v>2</v>
      </c>
      <c r="AD158" s="47">
        <v>2</v>
      </c>
      <c r="AE158" s="47">
        <v>2</v>
      </c>
      <c r="AF158" s="47">
        <v>1</v>
      </c>
      <c r="AG158" s="47">
        <v>1</v>
      </c>
      <c r="AH158" s="47">
        <v>1</v>
      </c>
      <c r="AI158" s="47">
        <v>1</v>
      </c>
      <c r="AJ158" s="47">
        <v>1</v>
      </c>
      <c r="AK158" s="47">
        <v>1</v>
      </c>
      <c r="AL158" s="47">
        <v>1</v>
      </c>
      <c r="AM158" s="46">
        <v>1</v>
      </c>
      <c r="AN158" s="48">
        <v>1</v>
      </c>
      <c r="AO158" s="47">
        <v>1</v>
      </c>
      <c r="AP158" s="47">
        <v>1</v>
      </c>
      <c r="AQ158" s="257" t="s">
        <v>322</v>
      </c>
    </row>
    <row r="159" spans="1:44">
      <c r="C159" s="222"/>
      <c r="D159" s="222"/>
      <c r="E159" s="222"/>
      <c r="G159" s="222" t="s">
        <v>128</v>
      </c>
      <c r="H159" s="222" t="s">
        <v>274</v>
      </c>
      <c r="I159" s="218" t="s">
        <v>129</v>
      </c>
      <c r="J159" s="11">
        <v>100</v>
      </c>
      <c r="K159" s="11">
        <v>500</v>
      </c>
      <c r="M159" s="222" t="s">
        <v>102</v>
      </c>
      <c r="N159" s="14">
        <v>4</v>
      </c>
      <c r="O159" s="14" t="s">
        <v>61</v>
      </c>
      <c r="P159" s="14" t="s">
        <v>61</v>
      </c>
      <c r="Q159" s="14">
        <v>4</v>
      </c>
      <c r="R159" s="14">
        <v>10.37</v>
      </c>
      <c r="S159" s="222">
        <v>1</v>
      </c>
      <c r="T159" s="11">
        <v>1</v>
      </c>
      <c r="U159" s="11">
        <v>1</v>
      </c>
      <c r="V159" s="11">
        <v>1</v>
      </c>
      <c r="W159" s="11">
        <v>1</v>
      </c>
      <c r="X159" s="11">
        <v>1</v>
      </c>
      <c r="Y159" s="11">
        <v>1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  <c r="AF159" s="11">
        <v>1</v>
      </c>
      <c r="AG159" s="11">
        <v>1</v>
      </c>
      <c r="AH159" s="11">
        <v>1</v>
      </c>
      <c r="AI159" s="11">
        <v>1</v>
      </c>
      <c r="AJ159" s="11">
        <v>1</v>
      </c>
      <c r="AK159" s="11">
        <v>1</v>
      </c>
      <c r="AL159" s="11">
        <v>0</v>
      </c>
      <c r="AM159" s="13"/>
    </row>
    <row r="160" spans="1:44">
      <c r="C160" s="222"/>
      <c r="D160" s="222"/>
      <c r="E160" s="222"/>
      <c r="G160" s="222" t="s">
        <v>128</v>
      </c>
      <c r="H160" s="222" t="s">
        <v>274</v>
      </c>
      <c r="I160" s="218" t="s">
        <v>129</v>
      </c>
      <c r="J160" s="11">
        <v>100</v>
      </c>
      <c r="K160" s="11">
        <v>500</v>
      </c>
      <c r="M160" s="222" t="s">
        <v>103</v>
      </c>
      <c r="N160" s="14">
        <v>6</v>
      </c>
      <c r="O160" s="14" t="s">
        <v>61</v>
      </c>
      <c r="P160" s="14" t="s">
        <v>61</v>
      </c>
      <c r="Q160" s="14">
        <v>6</v>
      </c>
      <c r="R160" s="14">
        <v>10.57</v>
      </c>
      <c r="S160" s="222">
        <v>1</v>
      </c>
      <c r="T160" s="11">
        <v>1</v>
      </c>
      <c r="U160" s="11">
        <v>1</v>
      </c>
      <c r="V160" s="11">
        <v>1</v>
      </c>
      <c r="W160" s="11">
        <v>1</v>
      </c>
      <c r="X160" s="11">
        <v>1</v>
      </c>
      <c r="Y160" s="11">
        <v>1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  <c r="AF160" s="11">
        <v>1</v>
      </c>
      <c r="AG160" s="11">
        <v>1</v>
      </c>
      <c r="AH160" s="11">
        <v>1</v>
      </c>
      <c r="AI160" s="11">
        <v>1</v>
      </c>
      <c r="AJ160" s="11">
        <v>1</v>
      </c>
      <c r="AK160" s="11">
        <v>1</v>
      </c>
      <c r="AL160" s="11">
        <v>0</v>
      </c>
      <c r="AM160" s="13"/>
    </row>
    <row r="161" spans="1:44">
      <c r="C161" s="222"/>
      <c r="D161" s="222"/>
      <c r="E161" s="222"/>
      <c r="G161" s="222" t="s">
        <v>128</v>
      </c>
      <c r="H161" s="222" t="s">
        <v>274</v>
      </c>
      <c r="I161" s="218" t="s">
        <v>129</v>
      </c>
      <c r="J161" s="11">
        <v>100</v>
      </c>
      <c r="K161" s="11">
        <v>500</v>
      </c>
      <c r="M161" s="222" t="s">
        <v>104</v>
      </c>
      <c r="N161" s="14">
        <v>4</v>
      </c>
      <c r="O161" s="14" t="s">
        <v>61</v>
      </c>
      <c r="P161" s="14" t="s">
        <v>61</v>
      </c>
      <c r="Q161" s="14">
        <v>4</v>
      </c>
      <c r="R161" s="14">
        <v>11.08</v>
      </c>
      <c r="S161" s="222">
        <v>1</v>
      </c>
      <c r="T161" s="11">
        <v>1</v>
      </c>
      <c r="U161" s="11">
        <v>1</v>
      </c>
      <c r="V161" s="11">
        <v>1</v>
      </c>
      <c r="W161" s="11">
        <v>1</v>
      </c>
      <c r="X161" s="11">
        <v>1</v>
      </c>
      <c r="Y161" s="11">
        <v>1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  <c r="AF161" s="11">
        <v>1</v>
      </c>
      <c r="AG161" s="11">
        <v>0</v>
      </c>
      <c r="AH161" s="11"/>
      <c r="AI161" s="11"/>
      <c r="AJ161" s="11"/>
      <c r="AK161" s="11"/>
      <c r="AL161" s="11"/>
      <c r="AM161" s="13"/>
    </row>
    <row r="162" spans="1:44">
      <c r="C162" s="222"/>
      <c r="D162" s="222"/>
      <c r="E162" s="222"/>
      <c r="G162" s="222" t="s">
        <v>128</v>
      </c>
      <c r="H162" s="222" t="s">
        <v>274</v>
      </c>
      <c r="I162" s="218" t="s">
        <v>129</v>
      </c>
      <c r="J162" s="11">
        <v>100</v>
      </c>
      <c r="K162" s="11">
        <v>500</v>
      </c>
      <c r="M162" s="222" t="s">
        <v>105</v>
      </c>
      <c r="N162" s="14">
        <v>5</v>
      </c>
      <c r="O162" s="14" t="s">
        <v>61</v>
      </c>
      <c r="P162" s="14" t="s">
        <v>61</v>
      </c>
      <c r="Q162" s="14">
        <v>5</v>
      </c>
      <c r="R162" s="14">
        <v>11.26</v>
      </c>
      <c r="S162" s="222">
        <v>1</v>
      </c>
      <c r="T162" s="11">
        <v>1</v>
      </c>
      <c r="U162" s="11">
        <v>1</v>
      </c>
      <c r="V162" s="11">
        <v>1</v>
      </c>
      <c r="W162" s="11">
        <v>1</v>
      </c>
      <c r="X162" s="11">
        <v>1</v>
      </c>
      <c r="Y162" s="11">
        <v>1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  <c r="AF162" s="11">
        <v>1</v>
      </c>
      <c r="AG162" s="11">
        <v>1</v>
      </c>
      <c r="AH162" s="11">
        <v>1</v>
      </c>
      <c r="AI162" s="11">
        <v>0</v>
      </c>
      <c r="AJ162" s="11"/>
      <c r="AK162" s="11"/>
      <c r="AL162" s="11"/>
      <c r="AM162" s="13"/>
    </row>
    <row r="163" spans="1:44">
      <c r="C163" s="222"/>
      <c r="D163" s="222"/>
      <c r="E163" s="222"/>
      <c r="G163" s="222" t="s">
        <v>128</v>
      </c>
      <c r="H163" s="222" t="s">
        <v>274</v>
      </c>
      <c r="I163" s="218" t="s">
        <v>129</v>
      </c>
      <c r="J163" s="11">
        <v>100</v>
      </c>
      <c r="K163" s="11">
        <v>500</v>
      </c>
      <c r="M163" s="222" t="s">
        <v>106</v>
      </c>
      <c r="N163" s="14">
        <v>5</v>
      </c>
      <c r="O163" s="14" t="s">
        <v>61</v>
      </c>
      <c r="P163" s="14" t="s">
        <v>61</v>
      </c>
      <c r="Q163" s="14">
        <v>5</v>
      </c>
      <c r="R163" s="14">
        <v>11.46</v>
      </c>
      <c r="S163" s="222">
        <v>1</v>
      </c>
      <c r="T163" s="11">
        <v>1</v>
      </c>
      <c r="U163" s="11">
        <v>1</v>
      </c>
      <c r="V163" s="11">
        <v>1</v>
      </c>
      <c r="W163" s="11">
        <v>1</v>
      </c>
      <c r="X163" s="11">
        <v>1</v>
      </c>
      <c r="Y163" s="11">
        <v>1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0</v>
      </c>
      <c r="AF163" s="11"/>
      <c r="AG163" s="11"/>
      <c r="AH163" s="11"/>
      <c r="AI163" s="11"/>
      <c r="AJ163" s="11"/>
      <c r="AK163" s="11"/>
      <c r="AL163" s="11"/>
      <c r="AM163" s="13"/>
    </row>
    <row r="164" spans="1:44" s="311" customFormat="1" ht="15.75" thickBot="1">
      <c r="A164" s="321"/>
      <c r="B164" s="321"/>
      <c r="C164" s="306"/>
      <c r="D164" s="306"/>
      <c r="E164" s="306"/>
      <c r="F164" s="321"/>
      <c r="G164" s="306" t="s">
        <v>128</v>
      </c>
      <c r="H164" s="306" t="s">
        <v>274</v>
      </c>
      <c r="I164" s="326" t="s">
        <v>129</v>
      </c>
      <c r="J164" s="305">
        <v>100</v>
      </c>
      <c r="K164" s="309">
        <v>500</v>
      </c>
      <c r="M164" s="306" t="s">
        <v>107</v>
      </c>
      <c r="N164" s="309">
        <v>6</v>
      </c>
      <c r="O164" s="309" t="s">
        <v>61</v>
      </c>
      <c r="P164" s="309" t="s">
        <v>61</v>
      </c>
      <c r="Q164" s="309">
        <v>6</v>
      </c>
      <c r="R164" s="309">
        <v>12.1</v>
      </c>
      <c r="S164" s="306">
        <v>1</v>
      </c>
      <c r="T164" s="308">
        <v>1</v>
      </c>
      <c r="U164" s="308">
        <v>0</v>
      </c>
      <c r="V164" s="308"/>
      <c r="W164" s="308"/>
      <c r="X164" s="308"/>
      <c r="Y164" s="308"/>
      <c r="Z164" s="308"/>
      <c r="AA164" s="308"/>
      <c r="AB164" s="308"/>
      <c r="AC164" s="308"/>
      <c r="AD164" s="308"/>
      <c r="AE164" s="308"/>
      <c r="AF164" s="308"/>
      <c r="AG164" s="308"/>
      <c r="AH164" s="308"/>
      <c r="AI164" s="308"/>
      <c r="AJ164" s="308"/>
      <c r="AK164" s="308"/>
      <c r="AL164" s="308"/>
      <c r="AM164" s="305"/>
      <c r="AN164" s="309"/>
      <c r="AR164" s="303"/>
    </row>
    <row r="165" spans="1:44">
      <c r="A165" s="43">
        <v>12</v>
      </c>
      <c r="B165" s="44">
        <v>45944</v>
      </c>
      <c r="C165" s="11" t="s">
        <v>306</v>
      </c>
      <c r="D165" s="222" t="s">
        <v>323</v>
      </c>
      <c r="E165" s="11" t="s">
        <v>874</v>
      </c>
      <c r="F165" s="22" t="s">
        <v>245</v>
      </c>
      <c r="G165" s="222" t="s">
        <v>131</v>
      </c>
      <c r="H165" s="222" t="s">
        <v>276</v>
      </c>
      <c r="I165" s="279" t="s">
        <v>132</v>
      </c>
      <c r="J165" s="13">
        <v>100</v>
      </c>
      <c r="K165" s="14">
        <v>500</v>
      </c>
      <c r="L165" s="11">
        <v>60</v>
      </c>
      <c r="M165" s="13">
        <v>1</v>
      </c>
      <c r="N165" s="11">
        <v>1</v>
      </c>
      <c r="O165" s="11">
        <v>10.029999999999999</v>
      </c>
      <c r="P165" s="11">
        <v>10.14</v>
      </c>
      <c r="Q165" s="14">
        <v>1</v>
      </c>
      <c r="R165" s="14">
        <v>10.3</v>
      </c>
      <c r="S165" s="222">
        <v>2</v>
      </c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R165" s="43" t="s">
        <v>247</v>
      </c>
    </row>
    <row r="166" spans="1:44">
      <c r="C166" s="222"/>
      <c r="D166" s="222" t="s">
        <v>324</v>
      </c>
      <c r="E166" s="222" t="s">
        <v>875</v>
      </c>
      <c r="G166" s="222" t="s">
        <v>131</v>
      </c>
      <c r="H166" s="222" t="s">
        <v>276</v>
      </c>
      <c r="I166" s="218" t="s">
        <v>132</v>
      </c>
      <c r="J166" s="11">
        <v>100</v>
      </c>
      <c r="K166" s="11">
        <v>500</v>
      </c>
      <c r="M166" s="13">
        <v>2</v>
      </c>
      <c r="N166" s="11">
        <v>4</v>
      </c>
      <c r="O166" s="11">
        <v>10.15</v>
      </c>
      <c r="P166" s="11">
        <v>10.34</v>
      </c>
      <c r="Q166" s="14">
        <v>4</v>
      </c>
      <c r="R166" s="14">
        <v>10.5</v>
      </c>
      <c r="S166" s="222">
        <v>1</v>
      </c>
      <c r="T166" s="11">
        <v>1</v>
      </c>
      <c r="U166" s="11">
        <v>1</v>
      </c>
      <c r="V166" s="11">
        <v>1</v>
      </c>
      <c r="W166" s="11">
        <v>1</v>
      </c>
      <c r="X166" s="11">
        <v>1</v>
      </c>
      <c r="Y166" s="11">
        <v>1</v>
      </c>
      <c r="Z166" s="11">
        <v>1</v>
      </c>
      <c r="AA166" s="11">
        <v>1</v>
      </c>
      <c r="AB166" s="11">
        <v>1</v>
      </c>
      <c r="AC166" s="11">
        <v>1</v>
      </c>
      <c r="AD166" s="11"/>
      <c r="AE166" s="11"/>
      <c r="AF166" s="11"/>
      <c r="AG166" s="11"/>
      <c r="AH166" s="11"/>
    </row>
    <row r="167" spans="1:44">
      <c r="C167" s="222"/>
      <c r="D167" s="222"/>
      <c r="E167" s="222" t="s">
        <v>867</v>
      </c>
      <c r="G167" s="222" t="s">
        <v>131</v>
      </c>
      <c r="H167" s="222" t="s">
        <v>276</v>
      </c>
      <c r="I167" s="218" t="s">
        <v>132</v>
      </c>
      <c r="J167" s="11">
        <v>100</v>
      </c>
      <c r="K167" s="11">
        <v>500</v>
      </c>
      <c r="M167" s="13">
        <v>3</v>
      </c>
      <c r="N167" s="11">
        <v>3</v>
      </c>
      <c r="O167" s="11">
        <v>10.38</v>
      </c>
      <c r="P167" s="11">
        <v>10.49</v>
      </c>
      <c r="Q167" s="14">
        <v>3</v>
      </c>
      <c r="R167" s="14">
        <v>11.04</v>
      </c>
      <c r="S167" s="222">
        <v>2</v>
      </c>
      <c r="T167" s="11">
        <v>2</v>
      </c>
      <c r="U167" s="11">
        <v>2</v>
      </c>
      <c r="V167" s="11">
        <v>2</v>
      </c>
      <c r="W167" s="11">
        <v>2</v>
      </c>
      <c r="X167" s="11">
        <v>2</v>
      </c>
      <c r="Y167" s="11">
        <v>2</v>
      </c>
      <c r="Z167" s="11">
        <v>2</v>
      </c>
      <c r="AA167" s="11">
        <v>2</v>
      </c>
      <c r="AB167" s="11">
        <v>2</v>
      </c>
      <c r="AC167" s="11">
        <v>1</v>
      </c>
      <c r="AD167" s="11"/>
      <c r="AE167" s="11"/>
      <c r="AF167" s="11"/>
      <c r="AG167" s="11"/>
      <c r="AH167" s="11"/>
    </row>
    <row r="168" spans="1:44">
      <c r="C168" s="222"/>
      <c r="D168" s="222"/>
      <c r="E168" s="222" t="s">
        <v>876</v>
      </c>
      <c r="G168" s="222" t="s">
        <v>131</v>
      </c>
      <c r="H168" s="222" t="s">
        <v>276</v>
      </c>
      <c r="I168" s="218" t="s">
        <v>132</v>
      </c>
      <c r="J168" s="11">
        <v>100</v>
      </c>
      <c r="K168" s="11">
        <v>500</v>
      </c>
      <c r="M168" s="13">
        <v>4</v>
      </c>
      <c r="N168" s="11">
        <v>2</v>
      </c>
      <c r="O168" s="11">
        <v>10.52</v>
      </c>
      <c r="P168" s="11">
        <v>10.58</v>
      </c>
      <c r="Q168" s="14">
        <v>2</v>
      </c>
      <c r="R168" s="14">
        <v>11.14</v>
      </c>
      <c r="S168" s="222">
        <v>1</v>
      </c>
      <c r="T168" s="11">
        <v>1</v>
      </c>
      <c r="U168" s="11">
        <v>1</v>
      </c>
      <c r="V168" s="11">
        <v>1</v>
      </c>
      <c r="W168" s="11">
        <v>1</v>
      </c>
      <c r="X168" s="11">
        <v>1</v>
      </c>
      <c r="Y168" s="11">
        <v>1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  <c r="AF168" s="11"/>
      <c r="AG168" s="11"/>
      <c r="AH168" s="11"/>
    </row>
    <row r="169" spans="1:44">
      <c r="C169" s="222"/>
      <c r="D169" s="222"/>
      <c r="E169" s="222"/>
      <c r="G169" s="222" t="s">
        <v>131</v>
      </c>
      <c r="H169" s="222" t="s">
        <v>276</v>
      </c>
      <c r="I169" s="218" t="s">
        <v>132</v>
      </c>
      <c r="J169" s="11">
        <v>100</v>
      </c>
      <c r="K169" s="11">
        <v>500</v>
      </c>
      <c r="M169" s="13">
        <v>5</v>
      </c>
      <c r="N169" s="11">
        <v>4</v>
      </c>
      <c r="O169" s="11">
        <v>11</v>
      </c>
      <c r="P169" s="11">
        <v>11.11</v>
      </c>
      <c r="Q169" s="14">
        <v>4</v>
      </c>
      <c r="R169" s="14">
        <v>11.26</v>
      </c>
      <c r="S169" s="222">
        <v>3</v>
      </c>
      <c r="T169" s="11">
        <v>3</v>
      </c>
      <c r="U169" s="11">
        <v>3</v>
      </c>
      <c r="V169" s="11">
        <v>3</v>
      </c>
      <c r="W169" s="11">
        <v>3</v>
      </c>
      <c r="X169" s="11">
        <v>3</v>
      </c>
      <c r="Y169" s="11">
        <v>3</v>
      </c>
      <c r="Z169" s="11">
        <v>3</v>
      </c>
      <c r="AA169" s="11">
        <v>3</v>
      </c>
      <c r="AB169" s="11">
        <v>3</v>
      </c>
      <c r="AC169" s="11">
        <v>3</v>
      </c>
      <c r="AD169" s="11">
        <v>2</v>
      </c>
      <c r="AE169" s="11">
        <v>1</v>
      </c>
      <c r="AF169" s="11"/>
      <c r="AG169" s="11"/>
      <c r="AH169" s="11"/>
    </row>
    <row r="170" spans="1:44">
      <c r="C170" s="222"/>
      <c r="D170" s="222"/>
      <c r="E170" s="222"/>
      <c r="G170" s="222" t="s">
        <v>131</v>
      </c>
      <c r="H170" s="222" t="s">
        <v>276</v>
      </c>
      <c r="I170" s="218" t="s">
        <v>132</v>
      </c>
      <c r="J170" s="11">
        <v>100</v>
      </c>
      <c r="K170" s="11">
        <v>500</v>
      </c>
      <c r="M170" s="13">
        <v>6</v>
      </c>
      <c r="N170" s="11">
        <v>3</v>
      </c>
      <c r="O170" s="11">
        <v>11.16</v>
      </c>
      <c r="P170" s="11">
        <v>11.32</v>
      </c>
      <c r="Q170" s="14">
        <v>3</v>
      </c>
      <c r="R170" s="14">
        <v>11.44</v>
      </c>
      <c r="S170" s="222">
        <v>3</v>
      </c>
      <c r="T170" s="11">
        <v>3</v>
      </c>
      <c r="U170" s="11">
        <v>3</v>
      </c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 spans="1:44">
      <c r="C171" s="222"/>
      <c r="D171" s="222"/>
      <c r="E171" s="222"/>
      <c r="G171" s="222" t="s">
        <v>131</v>
      </c>
      <c r="H171" s="222" t="s">
        <v>276</v>
      </c>
      <c r="I171" s="218" t="s">
        <v>132</v>
      </c>
      <c r="J171" s="11">
        <v>100</v>
      </c>
      <c r="K171" s="11">
        <v>500</v>
      </c>
      <c r="M171" s="13">
        <v>7</v>
      </c>
      <c r="N171" s="11">
        <v>3</v>
      </c>
      <c r="O171" s="11">
        <v>11.32</v>
      </c>
      <c r="P171" s="11">
        <v>11.46</v>
      </c>
      <c r="Q171" s="14">
        <v>3</v>
      </c>
      <c r="R171" s="14">
        <v>11.59</v>
      </c>
      <c r="S171" s="222">
        <v>3</v>
      </c>
      <c r="T171" s="11">
        <v>3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spans="1:44">
      <c r="C172" s="222"/>
      <c r="D172" s="222"/>
      <c r="E172" s="222"/>
      <c r="G172" s="222" t="s">
        <v>131</v>
      </c>
      <c r="H172" s="222" t="s">
        <v>276</v>
      </c>
      <c r="I172" s="218" t="s">
        <v>132</v>
      </c>
      <c r="J172" s="11">
        <v>100</v>
      </c>
      <c r="K172" s="11">
        <v>500</v>
      </c>
      <c r="M172" s="13">
        <v>8</v>
      </c>
      <c r="N172" s="11">
        <v>3</v>
      </c>
      <c r="O172" s="11">
        <v>11.46</v>
      </c>
      <c r="P172" s="11">
        <v>12.01</v>
      </c>
      <c r="Q172" s="14">
        <v>3</v>
      </c>
      <c r="R172" s="14">
        <v>12.15</v>
      </c>
      <c r="S172" s="222">
        <v>3</v>
      </c>
      <c r="T172" s="11">
        <v>3</v>
      </c>
      <c r="U172" s="11">
        <v>3</v>
      </c>
      <c r="V172" s="11">
        <v>3</v>
      </c>
      <c r="W172" s="11">
        <v>3</v>
      </c>
      <c r="X172" s="11">
        <v>3</v>
      </c>
      <c r="Y172" s="11">
        <v>3</v>
      </c>
      <c r="Z172" s="11">
        <v>3</v>
      </c>
      <c r="AA172" s="11">
        <v>3</v>
      </c>
      <c r="AB172" s="11">
        <v>3</v>
      </c>
      <c r="AC172" s="11">
        <v>3</v>
      </c>
      <c r="AD172" s="11">
        <v>3</v>
      </c>
      <c r="AE172" s="11"/>
      <c r="AF172" s="11"/>
      <c r="AG172" s="11"/>
      <c r="AH172" s="11"/>
    </row>
    <row r="173" spans="1:44" s="23" customFormat="1">
      <c r="A173" s="31"/>
      <c r="B173" s="31"/>
      <c r="C173" s="222"/>
      <c r="D173" s="222"/>
      <c r="E173" s="13"/>
      <c r="F173" s="41"/>
      <c r="G173" s="18" t="s">
        <v>131</v>
      </c>
      <c r="H173" s="18" t="s">
        <v>276</v>
      </c>
      <c r="I173" s="219" t="s">
        <v>132</v>
      </c>
      <c r="J173" s="28">
        <v>100</v>
      </c>
      <c r="K173" s="28">
        <v>500</v>
      </c>
      <c r="L173" s="53"/>
      <c r="M173" s="19">
        <v>9</v>
      </c>
      <c r="N173" s="28">
        <v>3</v>
      </c>
      <c r="O173" s="28">
        <v>12.03</v>
      </c>
      <c r="P173" s="28">
        <v>12.16</v>
      </c>
      <c r="Q173" s="20">
        <v>3</v>
      </c>
      <c r="R173" s="20">
        <v>12.31</v>
      </c>
      <c r="S173" s="18">
        <v>3</v>
      </c>
      <c r="T173" s="28">
        <v>3</v>
      </c>
      <c r="U173" s="28">
        <v>3</v>
      </c>
      <c r="V173" s="28">
        <v>1</v>
      </c>
      <c r="W173" s="28">
        <v>1</v>
      </c>
      <c r="X173" s="28">
        <v>1</v>
      </c>
      <c r="Y173" s="28">
        <v>1</v>
      </c>
      <c r="Z173" s="28">
        <v>1</v>
      </c>
      <c r="AA173" s="28">
        <v>1</v>
      </c>
      <c r="AB173" s="28">
        <v>1</v>
      </c>
      <c r="AC173" s="28">
        <v>1</v>
      </c>
      <c r="AD173" s="28">
        <v>1</v>
      </c>
      <c r="AE173" s="28">
        <v>1</v>
      </c>
      <c r="AF173" s="28">
        <v>1</v>
      </c>
      <c r="AG173" s="28">
        <v>1</v>
      </c>
      <c r="AH173" s="28"/>
      <c r="AM173" s="53"/>
      <c r="AN173" s="20"/>
      <c r="AR173" s="45"/>
    </row>
    <row r="174" spans="1:44">
      <c r="C174" s="222"/>
      <c r="D174" s="222"/>
      <c r="E174" s="222"/>
      <c r="G174" s="222" t="s">
        <v>131</v>
      </c>
      <c r="H174" s="222" t="s">
        <v>276</v>
      </c>
      <c r="I174" s="218" t="s">
        <v>132</v>
      </c>
      <c r="J174" s="11">
        <v>100</v>
      </c>
      <c r="K174" s="11">
        <v>500</v>
      </c>
      <c r="L174" s="13">
        <v>70</v>
      </c>
      <c r="M174" s="13">
        <v>1</v>
      </c>
      <c r="N174" s="11">
        <v>2</v>
      </c>
      <c r="O174" s="11">
        <v>9.56</v>
      </c>
      <c r="P174" s="11">
        <v>10.02</v>
      </c>
      <c r="Q174" s="14">
        <v>2</v>
      </c>
      <c r="R174" s="14">
        <v>10.17</v>
      </c>
      <c r="S174" s="222">
        <v>1</v>
      </c>
      <c r="T174" s="11">
        <v>1</v>
      </c>
      <c r="U174" s="11">
        <v>1</v>
      </c>
      <c r="V174" s="11">
        <v>1</v>
      </c>
      <c r="W174" s="11">
        <v>1</v>
      </c>
      <c r="X174" s="11">
        <v>1</v>
      </c>
      <c r="Y174" s="11">
        <v>1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  <c r="AF174" s="11">
        <v>1</v>
      </c>
      <c r="AG174" s="11">
        <v>0</v>
      </c>
      <c r="AH174" s="11"/>
      <c r="AI174" s="11"/>
      <c r="AJ174" s="11"/>
      <c r="AK174" s="11"/>
      <c r="AL174" s="11"/>
      <c r="AM174" s="13"/>
      <c r="AO174" s="11"/>
      <c r="AP174" s="11"/>
      <c r="AR174" s="43" t="s">
        <v>260</v>
      </c>
    </row>
    <row r="175" spans="1:44">
      <c r="C175" s="222"/>
      <c r="D175" s="222"/>
      <c r="E175" s="222"/>
      <c r="G175" s="222" t="s">
        <v>131</v>
      </c>
      <c r="H175" s="222" t="s">
        <v>276</v>
      </c>
      <c r="I175" s="218" t="s">
        <v>132</v>
      </c>
      <c r="J175" s="11">
        <v>100</v>
      </c>
      <c r="K175" s="11">
        <v>500</v>
      </c>
      <c r="M175" s="13">
        <v>2</v>
      </c>
      <c r="N175" s="11">
        <v>3</v>
      </c>
      <c r="O175" s="11">
        <v>10.07</v>
      </c>
      <c r="P175" s="11">
        <v>10.199999999999999</v>
      </c>
      <c r="Q175" s="14">
        <v>3</v>
      </c>
      <c r="R175" s="14">
        <v>10.36</v>
      </c>
      <c r="S175" s="222">
        <v>2</v>
      </c>
      <c r="T175" s="11">
        <v>2</v>
      </c>
      <c r="U175" s="11">
        <v>2</v>
      </c>
      <c r="V175" s="11">
        <v>2</v>
      </c>
      <c r="W175" s="11">
        <v>2</v>
      </c>
      <c r="X175" s="11">
        <v>2</v>
      </c>
      <c r="Y175" s="11">
        <v>2</v>
      </c>
      <c r="Z175" s="11">
        <v>2</v>
      </c>
      <c r="AA175" s="11">
        <v>2</v>
      </c>
      <c r="AB175" s="11">
        <v>2</v>
      </c>
      <c r="AC175" s="11">
        <v>2</v>
      </c>
      <c r="AD175" s="11">
        <v>2</v>
      </c>
      <c r="AE175" s="11">
        <v>2</v>
      </c>
      <c r="AF175" s="11">
        <v>2</v>
      </c>
      <c r="AG175" s="11">
        <v>2</v>
      </c>
      <c r="AH175" s="11">
        <v>2</v>
      </c>
      <c r="AI175" s="11">
        <v>2</v>
      </c>
      <c r="AJ175" s="11">
        <v>2</v>
      </c>
      <c r="AK175" s="11">
        <v>0</v>
      </c>
      <c r="AL175" s="11"/>
      <c r="AM175" s="13"/>
      <c r="AO175" s="11"/>
      <c r="AP175" s="11"/>
    </row>
    <row r="176" spans="1:44">
      <c r="C176" s="222"/>
      <c r="D176" s="222"/>
      <c r="E176" s="222"/>
      <c r="G176" s="222" t="s">
        <v>131</v>
      </c>
      <c r="H176" s="222" t="s">
        <v>276</v>
      </c>
      <c r="I176" s="218" t="s">
        <v>132</v>
      </c>
      <c r="J176" s="11">
        <v>100</v>
      </c>
      <c r="K176" s="11">
        <v>500</v>
      </c>
      <c r="M176" s="13">
        <v>3</v>
      </c>
      <c r="N176" s="11">
        <v>4</v>
      </c>
      <c r="O176" s="11">
        <v>10.26</v>
      </c>
      <c r="P176" s="11">
        <v>10.37</v>
      </c>
      <c r="Q176" s="14">
        <v>4</v>
      </c>
      <c r="R176" s="14">
        <v>10.54</v>
      </c>
      <c r="S176" s="222">
        <v>1</v>
      </c>
      <c r="T176" s="11">
        <v>1</v>
      </c>
      <c r="U176" s="11">
        <v>1</v>
      </c>
      <c r="V176" s="11">
        <v>1</v>
      </c>
      <c r="W176" s="11">
        <v>1</v>
      </c>
      <c r="X176" s="11">
        <v>1</v>
      </c>
      <c r="Y176" s="11">
        <v>1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  <c r="AF176" s="11">
        <v>1</v>
      </c>
      <c r="AG176" s="11">
        <v>1</v>
      </c>
      <c r="AH176" s="11">
        <v>0</v>
      </c>
      <c r="AI176" s="11"/>
      <c r="AJ176" s="11"/>
      <c r="AK176" s="11"/>
      <c r="AL176" s="11"/>
      <c r="AM176" s="13"/>
      <c r="AO176" s="11"/>
      <c r="AP176" s="11"/>
    </row>
    <row r="177" spans="1:44">
      <c r="C177" s="222"/>
      <c r="D177" s="222"/>
      <c r="E177" s="222"/>
      <c r="G177" s="222" t="s">
        <v>131</v>
      </c>
      <c r="H177" s="222" t="s">
        <v>276</v>
      </c>
      <c r="I177" s="218" t="s">
        <v>132</v>
      </c>
      <c r="J177" s="11">
        <v>100</v>
      </c>
      <c r="K177" s="11">
        <v>500</v>
      </c>
      <c r="M177" s="13">
        <v>4</v>
      </c>
      <c r="N177" s="11">
        <v>2</v>
      </c>
      <c r="O177" s="11">
        <v>10.42</v>
      </c>
      <c r="P177" s="11">
        <v>10.54</v>
      </c>
      <c r="Q177" s="14">
        <v>2</v>
      </c>
      <c r="R177" s="14">
        <v>11.09</v>
      </c>
      <c r="S177" s="222">
        <v>2</v>
      </c>
      <c r="T177" s="11">
        <v>2</v>
      </c>
      <c r="U177" s="11">
        <v>2</v>
      </c>
      <c r="V177" s="11">
        <v>0</v>
      </c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3"/>
      <c r="AO177" s="11"/>
      <c r="AP177" s="11"/>
    </row>
    <row r="178" spans="1:44">
      <c r="C178" s="222"/>
      <c r="D178" s="222"/>
      <c r="E178" s="222"/>
      <c r="G178" s="222" t="s">
        <v>131</v>
      </c>
      <c r="H178" s="222" t="s">
        <v>276</v>
      </c>
      <c r="I178" s="218" t="s">
        <v>132</v>
      </c>
      <c r="J178" s="11">
        <v>100</v>
      </c>
      <c r="K178" s="11">
        <v>500</v>
      </c>
      <c r="M178" s="13">
        <v>5</v>
      </c>
      <c r="N178" s="11">
        <v>3</v>
      </c>
      <c r="O178" s="11">
        <v>10.55</v>
      </c>
      <c r="P178" s="11">
        <v>11.09</v>
      </c>
      <c r="Q178" s="14">
        <v>3</v>
      </c>
      <c r="R178" s="14">
        <v>11.25</v>
      </c>
      <c r="S178" s="222">
        <v>1</v>
      </c>
      <c r="T178" s="11">
        <v>2</v>
      </c>
      <c r="U178" s="11">
        <v>2</v>
      </c>
      <c r="V178" s="11">
        <v>2</v>
      </c>
      <c r="W178" s="11">
        <v>2</v>
      </c>
      <c r="X178" s="11">
        <v>2</v>
      </c>
      <c r="Y178" s="11">
        <v>2</v>
      </c>
      <c r="Z178" s="11">
        <v>2</v>
      </c>
      <c r="AA178" s="11">
        <v>2</v>
      </c>
      <c r="AB178" s="11">
        <v>2</v>
      </c>
      <c r="AC178" s="11">
        <v>2</v>
      </c>
      <c r="AD178" s="11">
        <v>2</v>
      </c>
      <c r="AE178" s="11">
        <v>2</v>
      </c>
      <c r="AF178" s="11">
        <v>2</v>
      </c>
      <c r="AG178" s="11">
        <v>2</v>
      </c>
      <c r="AH178" s="11">
        <v>2</v>
      </c>
      <c r="AI178" s="11">
        <v>1</v>
      </c>
      <c r="AJ178" s="11">
        <v>1</v>
      </c>
      <c r="AK178" s="11">
        <v>1</v>
      </c>
      <c r="AL178" s="11">
        <v>1</v>
      </c>
      <c r="AM178" s="13">
        <v>0</v>
      </c>
      <c r="AQ178" s="231" t="s">
        <v>133</v>
      </c>
    </row>
    <row r="179" spans="1:44">
      <c r="C179" s="222"/>
      <c r="D179" s="222"/>
      <c r="E179" s="222"/>
      <c r="G179" s="222" t="s">
        <v>131</v>
      </c>
      <c r="H179" s="222" t="s">
        <v>276</v>
      </c>
      <c r="I179" s="218" t="s">
        <v>132</v>
      </c>
      <c r="J179" s="11">
        <v>100</v>
      </c>
      <c r="K179" s="11">
        <v>500</v>
      </c>
      <c r="M179" s="46">
        <v>6</v>
      </c>
      <c r="N179" s="47">
        <v>3</v>
      </c>
      <c r="O179" s="47">
        <v>11.14</v>
      </c>
      <c r="P179" s="47">
        <v>11.27</v>
      </c>
      <c r="Q179" s="48">
        <v>3</v>
      </c>
      <c r="R179" s="48">
        <v>11.43</v>
      </c>
      <c r="S179" s="26">
        <v>1</v>
      </c>
      <c r="T179" s="47">
        <v>2</v>
      </c>
      <c r="U179" s="47">
        <v>2</v>
      </c>
      <c r="V179" s="47">
        <v>2</v>
      </c>
      <c r="W179" s="47">
        <v>2</v>
      </c>
      <c r="X179" s="47">
        <v>2</v>
      </c>
      <c r="Y179" s="47">
        <v>2</v>
      </c>
      <c r="Z179" s="47">
        <v>2</v>
      </c>
      <c r="AA179" s="47">
        <v>2</v>
      </c>
      <c r="AB179" s="47">
        <v>2</v>
      </c>
      <c r="AC179" s="47">
        <v>2</v>
      </c>
      <c r="AD179" s="47">
        <v>2</v>
      </c>
      <c r="AE179" s="47">
        <v>2</v>
      </c>
      <c r="AF179" s="47">
        <v>2</v>
      </c>
      <c r="AG179" s="47">
        <v>2</v>
      </c>
      <c r="AH179" s="47">
        <v>2</v>
      </c>
      <c r="AI179" s="47">
        <v>1</v>
      </c>
      <c r="AJ179" s="47">
        <v>1</v>
      </c>
      <c r="AK179" s="47">
        <v>1</v>
      </c>
      <c r="AL179" s="47">
        <v>1</v>
      </c>
      <c r="AM179" s="46">
        <v>1</v>
      </c>
      <c r="AN179" s="48">
        <v>1</v>
      </c>
      <c r="AO179" s="47">
        <v>1</v>
      </c>
      <c r="AP179" s="47"/>
      <c r="AQ179" s="294" t="s">
        <v>325</v>
      </c>
    </row>
    <row r="180" spans="1:44">
      <c r="C180" s="222"/>
      <c r="D180" s="222"/>
      <c r="E180" s="222"/>
      <c r="G180" s="222" t="s">
        <v>131</v>
      </c>
      <c r="H180" s="222" t="s">
        <v>276</v>
      </c>
      <c r="I180" s="218" t="s">
        <v>132</v>
      </c>
      <c r="J180" s="11">
        <v>100</v>
      </c>
      <c r="K180" s="11">
        <v>500</v>
      </c>
      <c r="M180" s="46">
        <v>7</v>
      </c>
      <c r="N180" s="47">
        <v>2</v>
      </c>
      <c r="O180" s="47">
        <v>11.3</v>
      </c>
      <c r="P180" s="47">
        <v>11.39</v>
      </c>
      <c r="Q180" s="48">
        <v>2</v>
      </c>
      <c r="R180" s="48">
        <v>11.55</v>
      </c>
      <c r="S180" s="26">
        <v>1</v>
      </c>
      <c r="T180" s="47">
        <v>1</v>
      </c>
      <c r="U180" s="47">
        <v>1</v>
      </c>
      <c r="V180" s="47">
        <v>1</v>
      </c>
      <c r="W180" s="47">
        <v>1</v>
      </c>
      <c r="X180" s="47">
        <v>1</v>
      </c>
      <c r="Y180" s="47">
        <v>1</v>
      </c>
      <c r="Z180" s="47">
        <v>1</v>
      </c>
      <c r="AA180" s="47">
        <v>1</v>
      </c>
      <c r="AB180" s="47">
        <v>1</v>
      </c>
      <c r="AC180" s="47">
        <v>1</v>
      </c>
      <c r="AD180" s="47">
        <v>1</v>
      </c>
      <c r="AE180" s="47">
        <v>1</v>
      </c>
      <c r="AF180" s="47">
        <v>1</v>
      </c>
      <c r="AG180" s="47">
        <v>1</v>
      </c>
      <c r="AH180" s="47">
        <v>1</v>
      </c>
      <c r="AI180" s="47">
        <v>1</v>
      </c>
      <c r="AJ180" s="47">
        <v>1</v>
      </c>
      <c r="AK180" s="47">
        <v>1</v>
      </c>
      <c r="AL180" s="47">
        <v>1</v>
      </c>
      <c r="AM180" s="46">
        <v>1</v>
      </c>
      <c r="AN180" s="48">
        <v>1</v>
      </c>
      <c r="AO180" s="47">
        <v>1</v>
      </c>
      <c r="AP180" s="47"/>
      <c r="AQ180" s="294" t="s">
        <v>326</v>
      </c>
    </row>
    <row r="181" spans="1:44">
      <c r="C181" s="222"/>
      <c r="D181" s="222"/>
      <c r="E181" s="222"/>
      <c r="G181" s="222" t="s">
        <v>131</v>
      </c>
      <c r="H181" s="222" t="s">
        <v>276</v>
      </c>
      <c r="I181" s="218" t="s">
        <v>132</v>
      </c>
      <c r="J181" s="11">
        <v>100</v>
      </c>
      <c r="K181" s="11">
        <v>500</v>
      </c>
      <c r="M181" s="13">
        <v>8</v>
      </c>
      <c r="N181" s="11">
        <v>3</v>
      </c>
      <c r="O181" s="11">
        <v>11.41</v>
      </c>
      <c r="P181" s="11">
        <v>11.53</v>
      </c>
      <c r="Q181" s="14">
        <v>3</v>
      </c>
      <c r="R181" s="14">
        <v>12.08</v>
      </c>
      <c r="S181" s="222">
        <v>1</v>
      </c>
      <c r="T181" s="11">
        <v>1</v>
      </c>
      <c r="U181" s="11">
        <v>1</v>
      </c>
      <c r="V181" s="11">
        <v>1</v>
      </c>
      <c r="W181" s="11">
        <v>1</v>
      </c>
      <c r="X181" s="11">
        <v>1</v>
      </c>
      <c r="Y181" s="11">
        <v>1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  <c r="AF181" s="11">
        <v>1</v>
      </c>
      <c r="AG181" s="11">
        <v>1</v>
      </c>
      <c r="AH181" s="11">
        <v>0</v>
      </c>
      <c r="AI181" s="11"/>
      <c r="AJ181" s="11"/>
      <c r="AK181" s="11"/>
      <c r="AL181" s="11"/>
      <c r="AM181" s="13"/>
      <c r="AO181" s="11"/>
      <c r="AP181" s="11"/>
    </row>
    <row r="182" spans="1:44" s="311" customFormat="1" ht="15.75" thickBot="1">
      <c r="A182" s="321"/>
      <c r="B182" s="321"/>
      <c r="C182" s="306"/>
      <c r="D182" s="306"/>
      <c r="E182" s="306"/>
      <c r="F182" s="321"/>
      <c r="G182" s="306" t="s">
        <v>131</v>
      </c>
      <c r="H182" s="306" t="s">
        <v>276</v>
      </c>
      <c r="I182" s="325" t="s">
        <v>132</v>
      </c>
      <c r="J182" s="308">
        <v>100</v>
      </c>
      <c r="K182" s="308">
        <v>500</v>
      </c>
      <c r="L182" s="319"/>
      <c r="M182" s="305">
        <v>9</v>
      </c>
      <c r="N182" s="308">
        <v>4</v>
      </c>
      <c r="O182" s="308">
        <v>11.56</v>
      </c>
      <c r="P182" s="308">
        <v>12.09</v>
      </c>
      <c r="Q182" s="309">
        <v>4</v>
      </c>
      <c r="R182" s="309">
        <v>12.25</v>
      </c>
      <c r="S182" s="306">
        <v>1</v>
      </c>
      <c r="T182" s="308">
        <v>1</v>
      </c>
      <c r="U182" s="308">
        <v>1</v>
      </c>
      <c r="V182" s="308">
        <v>1</v>
      </c>
      <c r="W182" s="308">
        <v>1</v>
      </c>
      <c r="X182" s="308">
        <v>1</v>
      </c>
      <c r="Y182" s="308">
        <v>1</v>
      </c>
      <c r="Z182" s="308">
        <v>1</v>
      </c>
      <c r="AA182" s="308">
        <v>1</v>
      </c>
      <c r="AB182" s="308">
        <v>1</v>
      </c>
      <c r="AC182" s="308">
        <v>1</v>
      </c>
      <c r="AD182" s="308">
        <v>1</v>
      </c>
      <c r="AE182" s="308">
        <v>1</v>
      </c>
      <c r="AF182" s="308">
        <v>0</v>
      </c>
      <c r="AG182" s="308"/>
      <c r="AH182" s="308"/>
      <c r="AI182" s="308"/>
      <c r="AJ182" s="308"/>
      <c r="AK182" s="308"/>
      <c r="AL182" s="308"/>
      <c r="AM182" s="305"/>
      <c r="AN182" s="309"/>
      <c r="AO182" s="308"/>
      <c r="AP182" s="308"/>
      <c r="AR182" s="303"/>
    </row>
    <row r="183" spans="1:44">
      <c r="A183" s="225">
        <v>13</v>
      </c>
      <c r="B183" s="105">
        <v>45946</v>
      </c>
      <c r="C183" s="222" t="s">
        <v>306</v>
      </c>
      <c r="D183" s="222" t="s">
        <v>327</v>
      </c>
      <c r="E183" s="222" t="s">
        <v>877</v>
      </c>
      <c r="F183" s="31" t="s">
        <v>245</v>
      </c>
      <c r="G183" s="222" t="s">
        <v>214</v>
      </c>
      <c r="H183" s="31" t="s">
        <v>274</v>
      </c>
      <c r="I183" s="218" t="s">
        <v>136</v>
      </c>
      <c r="J183" s="11">
        <v>100</v>
      </c>
      <c r="K183" s="11">
        <v>500</v>
      </c>
      <c r="L183" s="13">
        <v>70</v>
      </c>
      <c r="M183" s="13">
        <v>1</v>
      </c>
      <c r="N183" s="11">
        <v>2</v>
      </c>
      <c r="O183" s="11">
        <v>10.36</v>
      </c>
      <c r="P183" s="11">
        <v>10.45</v>
      </c>
      <c r="Q183" s="14">
        <v>2</v>
      </c>
      <c r="R183" s="14">
        <v>11.02</v>
      </c>
      <c r="S183" s="222">
        <v>2</v>
      </c>
      <c r="T183" s="11">
        <v>2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3"/>
      <c r="AO183" s="11"/>
      <c r="AP183" s="11"/>
      <c r="AR183" s="43" t="s">
        <v>247</v>
      </c>
    </row>
    <row r="184" spans="1:44">
      <c r="C184" s="222"/>
      <c r="D184" s="222" t="s">
        <v>328</v>
      </c>
      <c r="E184" s="222" t="s">
        <v>851</v>
      </c>
      <c r="G184" s="222" t="s">
        <v>214</v>
      </c>
      <c r="H184" s="31" t="s">
        <v>274</v>
      </c>
      <c r="I184" s="218" t="s">
        <v>136</v>
      </c>
      <c r="J184" s="11">
        <v>100</v>
      </c>
      <c r="K184" s="11">
        <v>500</v>
      </c>
      <c r="M184" s="13">
        <v>2</v>
      </c>
      <c r="N184" s="11">
        <v>5</v>
      </c>
      <c r="O184" s="11">
        <v>10.46</v>
      </c>
      <c r="P184" s="11">
        <v>11.07</v>
      </c>
      <c r="Q184" s="14">
        <v>5</v>
      </c>
      <c r="R184" s="14">
        <v>11.22</v>
      </c>
      <c r="S184" s="222">
        <v>4</v>
      </c>
      <c r="T184" s="11">
        <v>3</v>
      </c>
      <c r="U184" s="11">
        <v>3</v>
      </c>
      <c r="V184" s="11">
        <v>1</v>
      </c>
      <c r="W184" s="11">
        <v>1</v>
      </c>
      <c r="X184" s="11">
        <v>1</v>
      </c>
      <c r="Y184" s="11">
        <v>1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/>
      <c r="AF184" s="11"/>
      <c r="AG184" s="11"/>
      <c r="AH184" s="11"/>
      <c r="AI184" s="11"/>
      <c r="AJ184" s="11"/>
      <c r="AK184" s="11"/>
      <c r="AL184" s="11"/>
      <c r="AM184" s="13"/>
      <c r="AO184" s="11"/>
      <c r="AP184" s="11"/>
    </row>
    <row r="185" spans="1:44">
      <c r="C185" s="222"/>
      <c r="D185" s="222"/>
      <c r="E185" s="222" t="s">
        <v>878</v>
      </c>
      <c r="G185" s="222" t="s">
        <v>214</v>
      </c>
      <c r="H185" s="31" t="s">
        <v>274</v>
      </c>
      <c r="I185" s="218" t="s">
        <v>136</v>
      </c>
      <c r="J185" s="11">
        <v>100</v>
      </c>
      <c r="K185" s="11">
        <v>500</v>
      </c>
      <c r="M185" s="46">
        <v>3</v>
      </c>
      <c r="N185" s="47">
        <v>3</v>
      </c>
      <c r="O185" s="47">
        <v>11.08</v>
      </c>
      <c r="P185" s="47">
        <v>11.22</v>
      </c>
      <c r="Q185" s="48">
        <v>3</v>
      </c>
      <c r="R185" s="48">
        <v>11.38</v>
      </c>
      <c r="S185" s="26">
        <v>2</v>
      </c>
      <c r="T185" s="47">
        <v>2</v>
      </c>
      <c r="U185" s="47">
        <v>2</v>
      </c>
      <c r="V185" s="47">
        <v>2</v>
      </c>
      <c r="W185" s="47">
        <v>2</v>
      </c>
      <c r="X185" s="47">
        <v>2</v>
      </c>
      <c r="Y185" s="47">
        <v>2</v>
      </c>
      <c r="Z185" s="47">
        <v>2</v>
      </c>
      <c r="AA185" s="47">
        <v>2</v>
      </c>
      <c r="AB185" s="47">
        <v>2</v>
      </c>
      <c r="AC185" s="47">
        <v>2</v>
      </c>
      <c r="AD185" s="47">
        <v>2</v>
      </c>
      <c r="AE185" s="47">
        <v>2</v>
      </c>
      <c r="AF185" s="47">
        <v>2</v>
      </c>
      <c r="AG185" s="47">
        <v>1</v>
      </c>
      <c r="AH185" s="47">
        <v>1</v>
      </c>
      <c r="AI185" s="47">
        <v>1</v>
      </c>
      <c r="AJ185" s="47">
        <v>1</v>
      </c>
      <c r="AK185" s="47">
        <v>1</v>
      </c>
      <c r="AL185" s="47">
        <v>1</v>
      </c>
      <c r="AM185" s="46">
        <v>1</v>
      </c>
      <c r="AN185" s="48">
        <v>1</v>
      </c>
      <c r="AO185" s="47" t="s">
        <v>188</v>
      </c>
      <c r="AP185" s="47" t="s">
        <v>216</v>
      </c>
      <c r="AQ185" s="299" t="s">
        <v>329</v>
      </c>
    </row>
    <row r="186" spans="1:44">
      <c r="A186" s="42"/>
      <c r="B186" s="42"/>
      <c r="C186" s="222"/>
      <c r="D186" s="222"/>
      <c r="E186" s="222" t="s">
        <v>879</v>
      </c>
      <c r="G186" s="222" t="s">
        <v>214</v>
      </c>
      <c r="H186" s="31" t="s">
        <v>274</v>
      </c>
      <c r="I186" s="218" t="s">
        <v>136</v>
      </c>
      <c r="J186" s="11">
        <v>100</v>
      </c>
      <c r="K186" s="11">
        <v>500</v>
      </c>
      <c r="M186" s="13">
        <v>4</v>
      </c>
      <c r="N186" s="11">
        <v>5</v>
      </c>
      <c r="O186" s="11">
        <v>11.25</v>
      </c>
      <c r="P186" s="11">
        <v>11.45</v>
      </c>
      <c r="Q186" s="14">
        <v>5</v>
      </c>
      <c r="R186" s="14">
        <v>12.01</v>
      </c>
      <c r="S186" s="222">
        <v>3</v>
      </c>
      <c r="T186" s="11">
        <v>3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3"/>
      <c r="AO186" s="11"/>
      <c r="AP186" s="11"/>
    </row>
    <row r="187" spans="1:44" s="23" customFormat="1">
      <c r="A187" s="42"/>
      <c r="B187" s="42"/>
      <c r="C187" s="222"/>
      <c r="D187" s="222"/>
      <c r="E187" s="222"/>
      <c r="F187" s="31"/>
      <c r="G187" s="18" t="s">
        <v>214</v>
      </c>
      <c r="H187" s="32" t="s">
        <v>274</v>
      </c>
      <c r="I187" s="219" t="s">
        <v>136</v>
      </c>
      <c r="J187" s="28">
        <v>100</v>
      </c>
      <c r="K187" s="28">
        <v>500</v>
      </c>
      <c r="L187" s="53"/>
      <c r="M187" s="19">
        <v>5</v>
      </c>
      <c r="N187" s="28">
        <v>5</v>
      </c>
      <c r="O187" s="28">
        <v>11.47</v>
      </c>
      <c r="P187" s="28">
        <v>12.08</v>
      </c>
      <c r="Q187" s="20">
        <v>5</v>
      </c>
      <c r="R187" s="20">
        <v>12.24</v>
      </c>
      <c r="S187" s="18">
        <v>2</v>
      </c>
      <c r="T187" s="28">
        <v>2</v>
      </c>
      <c r="U187" s="28">
        <v>1</v>
      </c>
      <c r="V187" s="28">
        <v>1</v>
      </c>
      <c r="W187" s="28">
        <v>1</v>
      </c>
      <c r="X187" s="28">
        <v>1</v>
      </c>
      <c r="Y187" s="28">
        <v>1</v>
      </c>
      <c r="Z187" s="28">
        <v>1</v>
      </c>
      <c r="AA187" s="28">
        <v>1</v>
      </c>
      <c r="AB187" s="28">
        <v>1</v>
      </c>
      <c r="AC187" s="28">
        <v>1</v>
      </c>
      <c r="AD187" s="28">
        <v>1</v>
      </c>
      <c r="AE187" s="28">
        <v>1</v>
      </c>
      <c r="AF187" s="28"/>
      <c r="AG187" s="28"/>
      <c r="AH187" s="28"/>
      <c r="AI187" s="28"/>
      <c r="AJ187" s="28"/>
      <c r="AK187" s="28"/>
      <c r="AL187" s="28"/>
      <c r="AM187" s="19"/>
      <c r="AN187" s="20"/>
      <c r="AO187" s="28"/>
      <c r="AP187" s="28"/>
      <c r="AR187" s="45"/>
    </row>
    <row r="188" spans="1:44">
      <c r="C188" s="222"/>
      <c r="D188" s="222"/>
      <c r="E188" s="222"/>
      <c r="G188" s="222" t="s">
        <v>214</v>
      </c>
      <c r="H188" s="222" t="s">
        <v>274</v>
      </c>
      <c r="I188" s="231" t="s">
        <v>136</v>
      </c>
      <c r="J188" s="13">
        <v>100</v>
      </c>
      <c r="K188" s="14">
        <v>500</v>
      </c>
      <c r="L188" s="13">
        <v>70</v>
      </c>
      <c r="M188" s="13">
        <v>1</v>
      </c>
      <c r="N188" s="11">
        <v>1</v>
      </c>
      <c r="O188" s="104">
        <v>10.34</v>
      </c>
      <c r="P188" s="104">
        <v>10.45</v>
      </c>
      <c r="Q188" s="14">
        <v>1</v>
      </c>
      <c r="R188" s="14">
        <v>11</v>
      </c>
      <c r="S188" s="222">
        <v>0</v>
      </c>
      <c r="AR188" s="43" t="s">
        <v>260</v>
      </c>
    </row>
    <row r="189" spans="1:44">
      <c r="C189" s="222"/>
      <c r="D189" s="222"/>
      <c r="E189" s="222"/>
      <c r="G189" s="222" t="s">
        <v>214</v>
      </c>
      <c r="H189" s="222" t="s">
        <v>274</v>
      </c>
      <c r="I189" s="231" t="s">
        <v>136</v>
      </c>
      <c r="J189" s="13">
        <v>100</v>
      </c>
      <c r="K189" s="14">
        <v>500</v>
      </c>
      <c r="M189" s="13">
        <v>2</v>
      </c>
      <c r="N189" s="11">
        <v>3</v>
      </c>
      <c r="O189" s="104">
        <v>10.47</v>
      </c>
      <c r="P189" s="104">
        <v>11</v>
      </c>
      <c r="Q189" s="14">
        <v>3</v>
      </c>
      <c r="R189" s="14">
        <v>11.15</v>
      </c>
      <c r="S189" s="222">
        <v>0</v>
      </c>
    </row>
    <row r="190" spans="1:44">
      <c r="C190" s="222"/>
      <c r="D190" s="222"/>
      <c r="E190" s="222"/>
      <c r="G190" s="222" t="s">
        <v>214</v>
      </c>
      <c r="H190" s="222" t="s">
        <v>274</v>
      </c>
      <c r="I190" s="231" t="s">
        <v>136</v>
      </c>
      <c r="J190" s="13">
        <v>100</v>
      </c>
      <c r="K190" s="14">
        <v>500</v>
      </c>
      <c r="M190" s="13">
        <v>3</v>
      </c>
      <c r="N190" s="11">
        <v>3</v>
      </c>
      <c r="O190" s="104">
        <v>11.03</v>
      </c>
      <c r="P190" s="104">
        <v>11.12</v>
      </c>
      <c r="Q190" s="14">
        <v>3</v>
      </c>
      <c r="R190" s="14">
        <v>11.27</v>
      </c>
      <c r="S190" s="222">
        <v>0</v>
      </c>
    </row>
    <row r="191" spans="1:44">
      <c r="C191" s="222"/>
      <c r="D191" s="222"/>
      <c r="E191" s="222"/>
      <c r="G191" s="222" t="s">
        <v>214</v>
      </c>
      <c r="H191" s="222" t="s">
        <v>274</v>
      </c>
      <c r="I191" s="231" t="s">
        <v>136</v>
      </c>
      <c r="J191" s="13">
        <v>100</v>
      </c>
      <c r="K191" s="14">
        <v>500</v>
      </c>
      <c r="M191" s="13">
        <v>4</v>
      </c>
      <c r="N191" s="11">
        <v>1</v>
      </c>
      <c r="O191" s="104">
        <v>11.14</v>
      </c>
      <c r="P191" s="104">
        <v>11.23</v>
      </c>
      <c r="Q191" s="14">
        <v>1</v>
      </c>
      <c r="R191" s="14">
        <v>11.28</v>
      </c>
      <c r="S191" s="222">
        <v>0</v>
      </c>
    </row>
    <row r="192" spans="1:44" s="311" customFormat="1" ht="15.75" thickBot="1">
      <c r="A192" s="321"/>
      <c r="B192" s="321"/>
      <c r="C192" s="306"/>
      <c r="D192" s="306"/>
      <c r="E192" s="306"/>
      <c r="F192" s="321"/>
      <c r="G192" s="306" t="s">
        <v>214</v>
      </c>
      <c r="H192" s="306" t="s">
        <v>274</v>
      </c>
      <c r="I192" s="322" t="s">
        <v>136</v>
      </c>
      <c r="J192" s="305">
        <v>100</v>
      </c>
      <c r="K192" s="309">
        <v>500</v>
      </c>
      <c r="L192" s="319"/>
      <c r="M192" s="305">
        <v>5</v>
      </c>
      <c r="N192" s="308">
        <v>2</v>
      </c>
      <c r="O192" s="323">
        <v>11.26</v>
      </c>
      <c r="P192" s="323">
        <v>11.42</v>
      </c>
      <c r="Q192" s="309">
        <v>2</v>
      </c>
      <c r="R192" s="309">
        <v>11.57</v>
      </c>
      <c r="S192" s="306">
        <v>0</v>
      </c>
      <c r="AM192" s="319"/>
      <c r="AN192" s="309"/>
      <c r="AR192" s="303"/>
    </row>
    <row r="193" spans="1:44">
      <c r="A193" s="225">
        <v>14</v>
      </c>
      <c r="B193" s="105">
        <v>45950</v>
      </c>
      <c r="C193" s="222" t="s">
        <v>306</v>
      </c>
      <c r="D193" s="222" t="s">
        <v>330</v>
      </c>
      <c r="E193" s="222"/>
      <c r="F193" s="31" t="s">
        <v>331</v>
      </c>
      <c r="G193" s="31" t="s">
        <v>137</v>
      </c>
      <c r="H193" s="31" t="s">
        <v>274</v>
      </c>
      <c r="I193" s="218" t="s">
        <v>138</v>
      </c>
      <c r="J193" s="11">
        <v>100</v>
      </c>
      <c r="K193" s="11">
        <v>500</v>
      </c>
      <c r="L193" s="41">
        <v>70</v>
      </c>
      <c r="M193" s="13">
        <v>1</v>
      </c>
      <c r="N193" s="11">
        <v>5</v>
      </c>
      <c r="O193" s="11">
        <v>10.18</v>
      </c>
      <c r="P193" s="11">
        <v>10.38</v>
      </c>
      <c r="Q193" s="14">
        <v>5</v>
      </c>
      <c r="R193" s="14">
        <v>10.52</v>
      </c>
      <c r="S193" s="222">
        <v>2</v>
      </c>
      <c r="T193" s="11">
        <v>2</v>
      </c>
      <c r="U193" s="11">
        <v>2</v>
      </c>
      <c r="V193" s="11">
        <v>2</v>
      </c>
      <c r="W193" s="11">
        <v>2</v>
      </c>
      <c r="X193" s="11">
        <v>2</v>
      </c>
      <c r="Y193" s="11">
        <v>2</v>
      </c>
      <c r="Z193" s="11">
        <v>2</v>
      </c>
      <c r="AA193" s="11">
        <v>2</v>
      </c>
      <c r="AB193" s="11">
        <v>2</v>
      </c>
      <c r="AC193" s="11">
        <v>2</v>
      </c>
      <c r="AD193" s="11">
        <v>2</v>
      </c>
      <c r="AE193" s="11"/>
      <c r="AF193" s="11"/>
      <c r="AG193" s="11"/>
      <c r="AH193" s="11"/>
      <c r="AI193" s="11"/>
      <c r="AJ193" s="11"/>
      <c r="AK193" s="11"/>
      <c r="AL193" s="11"/>
      <c r="AM193" s="13"/>
      <c r="AO193" s="11"/>
      <c r="AP193" s="11"/>
      <c r="AR193" s="43" t="s">
        <v>247</v>
      </c>
    </row>
    <row r="194" spans="1:44">
      <c r="C194" s="222"/>
      <c r="D194" s="222" t="s">
        <v>332</v>
      </c>
      <c r="E194" s="222"/>
      <c r="G194" s="31" t="s">
        <v>218</v>
      </c>
      <c r="H194" s="31" t="s">
        <v>274</v>
      </c>
      <c r="I194" s="218" t="s">
        <v>138</v>
      </c>
      <c r="J194" s="11">
        <v>100</v>
      </c>
      <c r="K194" s="11">
        <v>500</v>
      </c>
      <c r="M194" s="13">
        <v>2</v>
      </c>
      <c r="N194" s="11">
        <v>5</v>
      </c>
      <c r="O194" s="11">
        <v>10.4</v>
      </c>
      <c r="P194" s="11">
        <v>10.56</v>
      </c>
      <c r="Q194" s="14">
        <v>5</v>
      </c>
      <c r="R194" s="14">
        <v>11.14</v>
      </c>
      <c r="S194" s="222">
        <v>0</v>
      </c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3"/>
      <c r="AO194" s="11"/>
      <c r="AP194" s="11"/>
    </row>
    <row r="195" spans="1:44">
      <c r="C195" s="222"/>
      <c r="D195" s="222" t="s">
        <v>333</v>
      </c>
      <c r="E195" s="222"/>
      <c r="G195" s="31" t="s">
        <v>219</v>
      </c>
      <c r="H195" s="31" t="s">
        <v>274</v>
      </c>
      <c r="I195" s="218" t="s">
        <v>138</v>
      </c>
      <c r="J195" s="11">
        <v>100</v>
      </c>
      <c r="K195" s="11">
        <v>500</v>
      </c>
      <c r="M195" s="46">
        <v>3</v>
      </c>
      <c r="N195" s="47">
        <v>5</v>
      </c>
      <c r="O195" s="47">
        <v>11.05</v>
      </c>
      <c r="P195" s="47">
        <v>11.2</v>
      </c>
      <c r="Q195" s="48">
        <v>5</v>
      </c>
      <c r="R195" s="48">
        <v>11.35</v>
      </c>
      <c r="S195" s="26">
        <v>1</v>
      </c>
      <c r="T195" s="47">
        <v>1</v>
      </c>
      <c r="U195" s="47">
        <v>1</v>
      </c>
      <c r="V195" s="47">
        <v>1</v>
      </c>
      <c r="W195" s="47">
        <v>1</v>
      </c>
      <c r="X195" s="47">
        <v>1</v>
      </c>
      <c r="Y195" s="47">
        <v>1</v>
      </c>
      <c r="Z195" s="47">
        <v>1</v>
      </c>
      <c r="AA195" s="47">
        <v>1</v>
      </c>
      <c r="AB195" s="47">
        <v>1</v>
      </c>
      <c r="AC195" s="47">
        <v>1</v>
      </c>
      <c r="AD195" s="47">
        <v>1</v>
      </c>
      <c r="AE195" s="47">
        <v>1</v>
      </c>
      <c r="AF195" s="47">
        <v>1</v>
      </c>
      <c r="AG195" s="47">
        <v>1</v>
      </c>
      <c r="AH195" s="47">
        <v>1</v>
      </c>
      <c r="AI195" s="47">
        <v>1</v>
      </c>
      <c r="AJ195" s="47">
        <v>1</v>
      </c>
      <c r="AK195" s="47">
        <v>1</v>
      </c>
      <c r="AL195" s="47">
        <v>1</v>
      </c>
      <c r="AM195" s="46">
        <v>1</v>
      </c>
      <c r="AN195" s="48">
        <v>1</v>
      </c>
      <c r="AO195" s="47" t="s">
        <v>188</v>
      </c>
      <c r="AP195" s="47" t="s">
        <v>220</v>
      </c>
      <c r="AQ195" s="42" t="s">
        <v>334</v>
      </c>
    </row>
    <row r="196" spans="1:44">
      <c r="C196" s="222"/>
      <c r="D196" s="222" t="s">
        <v>335</v>
      </c>
      <c r="E196" s="222"/>
      <c r="G196" s="31" t="s">
        <v>221</v>
      </c>
      <c r="H196" s="31" t="s">
        <v>274</v>
      </c>
      <c r="I196" s="218" t="s">
        <v>138</v>
      </c>
      <c r="J196" s="11">
        <v>100</v>
      </c>
      <c r="K196" s="11">
        <v>500</v>
      </c>
      <c r="M196" s="13">
        <v>4</v>
      </c>
      <c r="N196" s="11">
        <v>5</v>
      </c>
      <c r="O196" s="11">
        <v>11.24</v>
      </c>
      <c r="P196" s="11">
        <v>11.41</v>
      </c>
      <c r="Q196" s="14">
        <v>5</v>
      </c>
      <c r="R196" s="14">
        <v>11.56</v>
      </c>
      <c r="S196" s="222">
        <v>1</v>
      </c>
      <c r="T196" s="11">
        <v>1</v>
      </c>
      <c r="U196" s="11">
        <v>1</v>
      </c>
      <c r="V196" s="11">
        <v>1</v>
      </c>
      <c r="W196" s="11">
        <v>1</v>
      </c>
      <c r="X196" s="11">
        <v>1</v>
      </c>
      <c r="Y196" s="11">
        <v>1</v>
      </c>
      <c r="Z196" s="11">
        <v>1</v>
      </c>
      <c r="AA196" s="11">
        <v>1</v>
      </c>
      <c r="AB196" s="11">
        <v>1</v>
      </c>
      <c r="AC196" s="11">
        <v>1</v>
      </c>
      <c r="AD196" s="11"/>
      <c r="AE196" s="11"/>
      <c r="AF196" s="11"/>
      <c r="AG196" s="11"/>
      <c r="AH196" s="11"/>
      <c r="AI196" s="11"/>
      <c r="AJ196" s="11"/>
      <c r="AK196" s="11"/>
      <c r="AL196" s="11"/>
      <c r="AM196" s="13"/>
      <c r="AO196" s="11"/>
      <c r="AP196" s="11"/>
    </row>
    <row r="197" spans="1:44">
      <c r="C197" s="222"/>
      <c r="D197" s="222"/>
      <c r="E197" s="222"/>
      <c r="G197" s="31" t="s">
        <v>222</v>
      </c>
      <c r="H197" s="31" t="s">
        <v>274</v>
      </c>
      <c r="I197" s="218" t="s">
        <v>138</v>
      </c>
      <c r="J197" s="11">
        <v>100</v>
      </c>
      <c r="K197" s="11">
        <v>500</v>
      </c>
      <c r="M197" s="13">
        <v>5</v>
      </c>
      <c r="N197" s="11">
        <v>5</v>
      </c>
      <c r="O197" s="11">
        <v>11.43</v>
      </c>
      <c r="P197" s="11">
        <v>12.02</v>
      </c>
      <c r="Q197" s="14">
        <v>5</v>
      </c>
      <c r="R197" s="14">
        <v>12.2</v>
      </c>
      <c r="S197" s="222">
        <v>1</v>
      </c>
      <c r="T197" s="11">
        <v>1</v>
      </c>
      <c r="U197" s="11">
        <v>1</v>
      </c>
      <c r="V197" s="11">
        <v>1</v>
      </c>
      <c r="W197" s="11">
        <v>1</v>
      </c>
      <c r="X197" s="11">
        <v>1</v>
      </c>
      <c r="Y197" s="11">
        <v>1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  <c r="AF197" s="11">
        <v>1</v>
      </c>
      <c r="AG197" s="11">
        <v>1</v>
      </c>
      <c r="AH197" s="11">
        <v>1</v>
      </c>
      <c r="AI197" s="11"/>
      <c r="AJ197" s="11"/>
      <c r="AK197" s="11"/>
      <c r="AL197" s="11"/>
      <c r="AM197" s="13"/>
      <c r="AO197" s="11"/>
      <c r="AP197" s="11"/>
    </row>
    <row r="198" spans="1:44">
      <c r="C198" s="222"/>
      <c r="D198" s="222"/>
      <c r="E198" s="222"/>
      <c r="G198" s="31" t="s">
        <v>223</v>
      </c>
      <c r="H198" s="31" t="s">
        <v>274</v>
      </c>
      <c r="I198" s="218" t="s">
        <v>138</v>
      </c>
      <c r="J198" s="11">
        <v>100</v>
      </c>
      <c r="K198" s="11">
        <v>500</v>
      </c>
      <c r="M198" s="13">
        <v>6</v>
      </c>
      <c r="N198" s="11">
        <v>5</v>
      </c>
      <c r="O198" s="11">
        <v>12.11</v>
      </c>
      <c r="P198" s="11">
        <v>12.27</v>
      </c>
      <c r="Q198" s="14">
        <v>5</v>
      </c>
      <c r="R198" s="14">
        <v>12.43</v>
      </c>
      <c r="S198" s="222">
        <v>1</v>
      </c>
      <c r="T198" s="11">
        <v>1</v>
      </c>
      <c r="U198" s="11">
        <v>1</v>
      </c>
      <c r="V198" s="11">
        <v>1</v>
      </c>
      <c r="W198" s="11">
        <v>1</v>
      </c>
      <c r="X198" s="11">
        <v>1</v>
      </c>
      <c r="Y198" s="11">
        <v>1</v>
      </c>
      <c r="Z198" s="11">
        <v>1</v>
      </c>
      <c r="AA198" s="11">
        <v>1</v>
      </c>
      <c r="AB198" s="11">
        <v>1</v>
      </c>
      <c r="AC198" s="11">
        <v>1</v>
      </c>
      <c r="AD198" s="11">
        <v>1</v>
      </c>
      <c r="AE198" s="11">
        <v>1</v>
      </c>
      <c r="AF198" s="11"/>
      <c r="AG198" s="11"/>
      <c r="AH198" s="11"/>
      <c r="AI198" s="11"/>
      <c r="AJ198" s="11"/>
      <c r="AK198" s="11"/>
      <c r="AL198" s="11"/>
      <c r="AM198" s="13"/>
      <c r="AO198" s="11"/>
      <c r="AP198" s="11"/>
    </row>
    <row r="199" spans="1:44" s="180" customFormat="1" ht="21" customHeight="1">
      <c r="A199" s="31"/>
      <c r="B199" s="31"/>
      <c r="C199" s="222"/>
      <c r="D199" s="222"/>
      <c r="E199" s="222"/>
      <c r="F199" s="31"/>
      <c r="G199" s="221" t="s">
        <v>137</v>
      </c>
      <c r="H199" s="221" t="s">
        <v>274</v>
      </c>
      <c r="I199" s="283" t="s">
        <v>138</v>
      </c>
      <c r="J199" s="160">
        <v>100</v>
      </c>
      <c r="K199" s="160">
        <v>500</v>
      </c>
      <c r="L199" s="34">
        <v>76</v>
      </c>
      <c r="M199" s="334">
        <v>1</v>
      </c>
      <c r="N199" s="335">
        <v>3</v>
      </c>
      <c r="O199" s="335">
        <v>10.11</v>
      </c>
      <c r="P199" s="335">
        <v>10.23</v>
      </c>
      <c r="Q199" s="336">
        <v>3</v>
      </c>
      <c r="R199" s="336">
        <v>10.39</v>
      </c>
      <c r="S199" s="337">
        <v>2</v>
      </c>
      <c r="T199" s="335">
        <v>2</v>
      </c>
      <c r="U199" s="335">
        <v>2</v>
      </c>
      <c r="V199" s="335">
        <v>2</v>
      </c>
      <c r="W199" s="335">
        <v>2</v>
      </c>
      <c r="X199" s="335">
        <v>2</v>
      </c>
      <c r="Y199" s="335">
        <v>2</v>
      </c>
      <c r="Z199" s="335">
        <v>2</v>
      </c>
      <c r="AA199" s="335">
        <v>2</v>
      </c>
      <c r="AB199" s="335">
        <v>2</v>
      </c>
      <c r="AC199" s="335">
        <v>2</v>
      </c>
      <c r="AD199" s="335">
        <v>2</v>
      </c>
      <c r="AE199" s="335">
        <v>2</v>
      </c>
      <c r="AF199" s="335">
        <v>2</v>
      </c>
      <c r="AG199" s="335">
        <v>2</v>
      </c>
      <c r="AH199" s="335">
        <v>2</v>
      </c>
      <c r="AI199" s="335">
        <v>2</v>
      </c>
      <c r="AJ199" s="335">
        <v>2</v>
      </c>
      <c r="AK199" s="335">
        <v>2</v>
      </c>
      <c r="AL199" s="335">
        <v>2</v>
      </c>
      <c r="AM199" s="334">
        <v>2</v>
      </c>
      <c r="AN199" s="336">
        <v>2</v>
      </c>
      <c r="AO199" s="395"/>
      <c r="AP199" s="395" t="s">
        <v>336</v>
      </c>
      <c r="AQ199" s="180" t="s">
        <v>337</v>
      </c>
      <c r="AR199" s="227" t="s">
        <v>260</v>
      </c>
    </row>
    <row r="200" spans="1:44">
      <c r="C200" s="222"/>
      <c r="D200" s="222"/>
      <c r="E200" s="222"/>
      <c r="G200" s="222" t="s">
        <v>137</v>
      </c>
      <c r="H200" s="222" t="s">
        <v>274</v>
      </c>
      <c r="I200" s="282" t="s">
        <v>138</v>
      </c>
      <c r="J200" s="11">
        <v>100</v>
      </c>
      <c r="K200" s="11">
        <v>500</v>
      </c>
      <c r="M200" s="13">
        <v>2</v>
      </c>
      <c r="N200" s="11">
        <v>2</v>
      </c>
      <c r="O200" s="11">
        <v>10.25</v>
      </c>
      <c r="P200" s="11">
        <v>10.31</v>
      </c>
      <c r="Q200" s="14">
        <v>2</v>
      </c>
      <c r="R200" s="14">
        <v>10.47</v>
      </c>
      <c r="S200" s="222">
        <v>1</v>
      </c>
      <c r="T200" s="11">
        <v>1</v>
      </c>
      <c r="U200" s="11">
        <v>1</v>
      </c>
      <c r="V200" s="11">
        <v>1</v>
      </c>
      <c r="W200" s="11">
        <v>1</v>
      </c>
      <c r="X200" s="11">
        <v>1</v>
      </c>
      <c r="Y200" s="11">
        <v>1</v>
      </c>
      <c r="Z200" s="11">
        <v>1</v>
      </c>
      <c r="AA200" s="11">
        <v>1</v>
      </c>
      <c r="AB200" s="11">
        <v>1</v>
      </c>
      <c r="AC200" s="11">
        <v>1</v>
      </c>
      <c r="AD200" s="11">
        <v>1</v>
      </c>
      <c r="AE200" s="11">
        <v>1</v>
      </c>
      <c r="AF200" s="11">
        <v>1</v>
      </c>
      <c r="AG200" s="11">
        <v>1</v>
      </c>
      <c r="AH200" s="11">
        <v>0</v>
      </c>
      <c r="AI200" s="11"/>
      <c r="AJ200" s="11"/>
      <c r="AK200" s="11"/>
      <c r="AL200" s="11"/>
      <c r="AM200" s="13"/>
    </row>
    <row r="201" spans="1:44">
      <c r="C201" s="222"/>
      <c r="D201" s="222"/>
      <c r="E201" s="222"/>
      <c r="G201" s="222" t="s">
        <v>137</v>
      </c>
      <c r="H201" s="222" t="s">
        <v>274</v>
      </c>
      <c r="I201" s="282" t="s">
        <v>138</v>
      </c>
      <c r="J201" s="11">
        <v>100</v>
      </c>
      <c r="K201" s="11">
        <v>500</v>
      </c>
      <c r="M201" s="13">
        <v>3</v>
      </c>
      <c r="N201" s="11">
        <v>4</v>
      </c>
      <c r="O201" s="11">
        <v>10.42</v>
      </c>
      <c r="P201" s="11">
        <v>10.55</v>
      </c>
      <c r="Q201" s="14">
        <v>4</v>
      </c>
      <c r="R201" s="14">
        <v>11.12</v>
      </c>
      <c r="S201" s="222">
        <v>3</v>
      </c>
      <c r="T201" s="11">
        <v>3</v>
      </c>
      <c r="U201" s="11">
        <v>3</v>
      </c>
      <c r="V201" s="11">
        <v>3</v>
      </c>
      <c r="W201" s="11">
        <v>3</v>
      </c>
      <c r="X201" s="11">
        <v>3</v>
      </c>
      <c r="Y201" s="11">
        <v>3</v>
      </c>
      <c r="Z201" s="11">
        <v>3</v>
      </c>
      <c r="AA201" s="11">
        <v>3</v>
      </c>
      <c r="AB201" s="11">
        <v>3</v>
      </c>
      <c r="AC201" s="11">
        <v>3</v>
      </c>
      <c r="AD201" s="11">
        <v>3</v>
      </c>
      <c r="AE201" s="11">
        <v>3</v>
      </c>
      <c r="AF201" s="11">
        <v>3</v>
      </c>
      <c r="AG201" s="11">
        <v>2</v>
      </c>
      <c r="AH201" s="11">
        <v>2</v>
      </c>
      <c r="AI201" s="11">
        <v>2</v>
      </c>
      <c r="AJ201" s="11">
        <v>1</v>
      </c>
      <c r="AK201" s="11">
        <v>0</v>
      </c>
      <c r="AL201" s="11"/>
      <c r="AM201" s="13"/>
    </row>
    <row r="202" spans="1:44">
      <c r="C202" s="222"/>
      <c r="D202" s="222"/>
      <c r="E202" s="222"/>
      <c r="G202" s="222" t="s">
        <v>137</v>
      </c>
      <c r="H202" s="222" t="s">
        <v>274</v>
      </c>
      <c r="I202" s="282" t="s">
        <v>138</v>
      </c>
      <c r="J202" s="11">
        <v>100</v>
      </c>
      <c r="K202" s="11">
        <v>500</v>
      </c>
      <c r="M202" s="46">
        <v>4</v>
      </c>
      <c r="N202" s="47">
        <v>3</v>
      </c>
      <c r="O202" s="47">
        <v>11.07</v>
      </c>
      <c r="P202" s="47">
        <v>11.16</v>
      </c>
      <c r="Q202" s="48">
        <v>3</v>
      </c>
      <c r="R202" s="48">
        <v>11.33</v>
      </c>
      <c r="S202" s="26">
        <v>1</v>
      </c>
      <c r="T202" s="47">
        <v>1</v>
      </c>
      <c r="U202" s="47">
        <v>1</v>
      </c>
      <c r="V202" s="47">
        <v>1</v>
      </c>
      <c r="W202" s="47">
        <v>1</v>
      </c>
      <c r="X202" s="47">
        <v>1</v>
      </c>
      <c r="Y202" s="47">
        <v>1</v>
      </c>
      <c r="Z202" s="47">
        <v>1</v>
      </c>
      <c r="AA202" s="47">
        <v>1</v>
      </c>
      <c r="AB202" s="47">
        <v>1</v>
      </c>
      <c r="AC202" s="47">
        <v>1</v>
      </c>
      <c r="AD202" s="47">
        <v>1</v>
      </c>
      <c r="AE202" s="47">
        <v>1</v>
      </c>
      <c r="AF202" s="47">
        <v>1</v>
      </c>
      <c r="AG202" s="47">
        <v>1</v>
      </c>
      <c r="AH202" s="47">
        <v>1</v>
      </c>
      <c r="AI202" s="47">
        <v>1</v>
      </c>
      <c r="AJ202" s="47">
        <v>1</v>
      </c>
      <c r="AK202" s="47">
        <v>1</v>
      </c>
      <c r="AL202" s="47">
        <v>1</v>
      </c>
      <c r="AM202" s="46">
        <v>1</v>
      </c>
      <c r="AN202" s="48">
        <v>1</v>
      </c>
      <c r="AO202" s="86"/>
      <c r="AP202" s="86" t="s">
        <v>336</v>
      </c>
      <c r="AQ202" s="42" t="s">
        <v>338</v>
      </c>
      <c r="AR202" s="226"/>
    </row>
    <row r="203" spans="1:44">
      <c r="C203" s="222"/>
      <c r="D203" s="222"/>
      <c r="E203" s="222"/>
      <c r="G203" s="222" t="s">
        <v>139</v>
      </c>
      <c r="H203" s="222" t="s">
        <v>274</v>
      </c>
      <c r="I203" s="282" t="s">
        <v>138</v>
      </c>
      <c r="J203" s="11">
        <v>100</v>
      </c>
      <c r="K203" s="11">
        <v>500</v>
      </c>
      <c r="M203" s="46">
        <v>5</v>
      </c>
      <c r="N203" s="47">
        <v>3</v>
      </c>
      <c r="O203" s="47">
        <v>11.27</v>
      </c>
      <c r="P203" s="47">
        <v>11.39</v>
      </c>
      <c r="Q203" s="48">
        <v>3</v>
      </c>
      <c r="R203" s="48">
        <v>11.55</v>
      </c>
      <c r="S203" s="26">
        <v>1</v>
      </c>
      <c r="T203" s="47">
        <v>1</v>
      </c>
      <c r="U203" s="47">
        <v>1</v>
      </c>
      <c r="V203" s="47">
        <v>1</v>
      </c>
      <c r="W203" s="47">
        <v>1</v>
      </c>
      <c r="X203" s="47">
        <v>1</v>
      </c>
      <c r="Y203" s="47">
        <v>1</v>
      </c>
      <c r="Z203" s="47">
        <v>1</v>
      </c>
      <c r="AA203" s="47">
        <v>1</v>
      </c>
      <c r="AB203" s="47">
        <v>1</v>
      </c>
      <c r="AC203" s="47">
        <v>1</v>
      </c>
      <c r="AD203" s="47">
        <v>1</v>
      </c>
      <c r="AE203" s="47">
        <v>1</v>
      </c>
      <c r="AF203" s="47">
        <v>1</v>
      </c>
      <c r="AG203" s="47">
        <v>1</v>
      </c>
      <c r="AH203" s="47">
        <v>1</v>
      </c>
      <c r="AI203" s="47">
        <v>1</v>
      </c>
      <c r="AJ203" s="47">
        <v>1</v>
      </c>
      <c r="AK203" s="47">
        <v>1</v>
      </c>
      <c r="AL203" s="47">
        <v>1</v>
      </c>
      <c r="AM203" s="46">
        <v>1</v>
      </c>
      <c r="AN203" s="48">
        <v>1</v>
      </c>
      <c r="AO203" s="86"/>
      <c r="AP203" s="86" t="s">
        <v>336</v>
      </c>
      <c r="AQ203" s="22" t="s">
        <v>339</v>
      </c>
    </row>
    <row r="204" spans="1:44">
      <c r="C204" s="222"/>
      <c r="D204" s="222"/>
      <c r="E204" s="222"/>
      <c r="G204" s="222" t="s">
        <v>139</v>
      </c>
      <c r="H204" s="222" t="s">
        <v>274</v>
      </c>
      <c r="I204" s="282" t="s">
        <v>138</v>
      </c>
      <c r="J204" s="11">
        <v>100</v>
      </c>
      <c r="K204" s="11">
        <v>500</v>
      </c>
      <c r="M204" s="13">
        <v>6</v>
      </c>
      <c r="N204" s="11">
        <v>3</v>
      </c>
      <c r="O204" s="11">
        <v>11.41</v>
      </c>
      <c r="P204" s="11">
        <v>11.49</v>
      </c>
      <c r="Q204" s="14">
        <v>3</v>
      </c>
      <c r="R204" s="14">
        <v>12.05</v>
      </c>
      <c r="S204" s="222">
        <v>1</v>
      </c>
      <c r="T204" s="11">
        <v>1</v>
      </c>
      <c r="U204" s="11">
        <v>1</v>
      </c>
      <c r="V204" s="11">
        <v>1</v>
      </c>
      <c r="W204" s="11">
        <v>1</v>
      </c>
      <c r="X204" s="11">
        <v>1</v>
      </c>
      <c r="Y204" s="11">
        <v>1</v>
      </c>
      <c r="Z204" s="11">
        <v>1</v>
      </c>
      <c r="AA204" s="11">
        <v>1</v>
      </c>
      <c r="AB204" s="11">
        <v>1</v>
      </c>
      <c r="AC204" s="11">
        <v>1</v>
      </c>
      <c r="AD204" s="11">
        <v>1</v>
      </c>
      <c r="AE204" s="11">
        <v>1</v>
      </c>
      <c r="AF204" s="11">
        <v>0</v>
      </c>
      <c r="AG204" s="11"/>
      <c r="AH204" s="11"/>
      <c r="AI204" s="11"/>
      <c r="AJ204" s="11"/>
      <c r="AK204" s="11"/>
      <c r="AL204" s="11"/>
      <c r="AM204" s="13"/>
    </row>
    <row r="205" spans="1:44">
      <c r="C205" s="222"/>
      <c r="D205" s="222"/>
      <c r="E205" s="222"/>
      <c r="G205" s="222" t="s">
        <v>139</v>
      </c>
      <c r="H205" s="222" t="s">
        <v>274</v>
      </c>
      <c r="I205" s="282" t="s">
        <v>138</v>
      </c>
      <c r="J205" s="11">
        <v>100</v>
      </c>
      <c r="K205" s="11">
        <v>500</v>
      </c>
      <c r="M205" s="13">
        <v>7</v>
      </c>
      <c r="N205" s="11">
        <v>3</v>
      </c>
      <c r="O205" s="11">
        <v>11.55</v>
      </c>
      <c r="P205" s="11">
        <v>12.07</v>
      </c>
      <c r="Q205" s="14">
        <v>3</v>
      </c>
      <c r="R205" s="14">
        <v>11.23</v>
      </c>
      <c r="S205" s="222">
        <v>1</v>
      </c>
      <c r="T205" s="11">
        <v>1</v>
      </c>
      <c r="U205" s="11">
        <v>1</v>
      </c>
      <c r="V205" s="11">
        <v>1</v>
      </c>
      <c r="W205" s="11">
        <v>1</v>
      </c>
      <c r="X205" s="11">
        <v>1</v>
      </c>
      <c r="Y205" s="11">
        <v>1</v>
      </c>
      <c r="Z205" s="11">
        <v>1</v>
      </c>
      <c r="AA205" s="11">
        <v>1</v>
      </c>
      <c r="AB205" s="11">
        <v>1</v>
      </c>
      <c r="AC205" s="11">
        <v>1</v>
      </c>
      <c r="AD205" s="11">
        <v>1</v>
      </c>
      <c r="AE205" s="11">
        <v>1</v>
      </c>
      <c r="AF205" s="11">
        <v>1</v>
      </c>
      <c r="AG205" s="11">
        <v>0</v>
      </c>
      <c r="AH205" s="11"/>
      <c r="AI205" s="11"/>
      <c r="AJ205" s="11"/>
      <c r="AK205" s="11"/>
      <c r="AL205" s="11"/>
      <c r="AM205" s="13"/>
    </row>
    <row r="206" spans="1:44">
      <c r="C206" s="222"/>
      <c r="D206" s="222"/>
      <c r="E206" s="222"/>
      <c r="G206" s="222" t="s">
        <v>139</v>
      </c>
      <c r="H206" s="222" t="s">
        <v>274</v>
      </c>
      <c r="I206" s="282" t="s">
        <v>138</v>
      </c>
      <c r="J206" s="11">
        <v>100</v>
      </c>
      <c r="K206" s="11">
        <v>500</v>
      </c>
      <c r="M206" s="13">
        <v>8</v>
      </c>
      <c r="N206" s="11">
        <v>3</v>
      </c>
      <c r="O206" s="11">
        <v>12.1</v>
      </c>
      <c r="P206" s="11">
        <v>12.25</v>
      </c>
      <c r="Q206" s="14">
        <v>3</v>
      </c>
      <c r="R206" s="14">
        <v>12.4</v>
      </c>
      <c r="S206" s="222">
        <v>1</v>
      </c>
      <c r="T206" s="11">
        <v>1</v>
      </c>
      <c r="U206" s="11">
        <v>1</v>
      </c>
      <c r="V206" s="11">
        <v>1</v>
      </c>
      <c r="W206" s="11">
        <v>1</v>
      </c>
      <c r="X206" s="11">
        <v>1</v>
      </c>
      <c r="Y206" s="11">
        <v>1</v>
      </c>
      <c r="Z206" s="11">
        <v>1</v>
      </c>
      <c r="AA206" s="11">
        <v>1</v>
      </c>
      <c r="AB206" s="11">
        <v>1</v>
      </c>
      <c r="AC206" s="11">
        <v>1</v>
      </c>
      <c r="AD206" s="11">
        <v>1</v>
      </c>
      <c r="AE206" s="11">
        <v>1</v>
      </c>
      <c r="AF206" s="11">
        <v>1</v>
      </c>
      <c r="AG206" s="11">
        <v>0</v>
      </c>
      <c r="AH206" s="11"/>
      <c r="AI206" s="11"/>
      <c r="AJ206" s="11"/>
      <c r="AK206" s="11"/>
      <c r="AL206" s="11"/>
      <c r="AM206" s="13"/>
    </row>
    <row r="207" spans="1:44">
      <c r="C207" s="222"/>
      <c r="D207" s="222"/>
      <c r="E207" s="222"/>
      <c r="G207" s="222" t="s">
        <v>139</v>
      </c>
      <c r="H207" s="222" t="s">
        <v>274</v>
      </c>
      <c r="I207" s="282" t="s">
        <v>138</v>
      </c>
      <c r="J207" s="11">
        <v>100</v>
      </c>
      <c r="K207" s="11">
        <v>500</v>
      </c>
      <c r="M207" s="13">
        <v>9</v>
      </c>
      <c r="N207" s="11">
        <v>2</v>
      </c>
      <c r="O207" s="11">
        <v>12.32</v>
      </c>
      <c r="P207" s="11">
        <v>12.38</v>
      </c>
      <c r="Q207" s="14">
        <v>2</v>
      </c>
      <c r="R207" s="14">
        <v>12.53</v>
      </c>
      <c r="S207" s="222">
        <v>1</v>
      </c>
      <c r="T207" s="11">
        <v>1</v>
      </c>
      <c r="U207" s="11">
        <v>1</v>
      </c>
      <c r="V207" s="11">
        <v>1</v>
      </c>
      <c r="W207" s="11">
        <v>1</v>
      </c>
      <c r="X207" s="11">
        <v>1</v>
      </c>
      <c r="Y207" s="11">
        <v>1</v>
      </c>
      <c r="Z207" s="11">
        <v>1</v>
      </c>
      <c r="AA207" s="11">
        <v>1</v>
      </c>
      <c r="AB207" s="11">
        <v>1</v>
      </c>
      <c r="AC207" s="11">
        <v>1</v>
      </c>
      <c r="AD207" s="11">
        <v>1</v>
      </c>
      <c r="AE207" s="11">
        <v>1</v>
      </c>
      <c r="AF207" s="11">
        <v>1</v>
      </c>
      <c r="AG207" s="11">
        <v>1</v>
      </c>
      <c r="AH207" s="11">
        <v>1</v>
      </c>
      <c r="AI207" s="11">
        <v>1</v>
      </c>
      <c r="AJ207" s="11">
        <v>1</v>
      </c>
      <c r="AK207" s="11">
        <v>1</v>
      </c>
      <c r="AL207" s="11">
        <v>1</v>
      </c>
      <c r="AM207" s="13">
        <v>0</v>
      </c>
      <c r="AQ207" s="22" t="s">
        <v>141</v>
      </c>
    </row>
    <row r="208" spans="1:44">
      <c r="C208" s="222"/>
      <c r="D208" s="222"/>
      <c r="E208" s="222"/>
      <c r="H208" s="222" t="s">
        <v>274</v>
      </c>
      <c r="I208" s="282" t="s">
        <v>138</v>
      </c>
      <c r="J208" s="11">
        <v>100</v>
      </c>
      <c r="K208" s="11">
        <v>500</v>
      </c>
      <c r="M208" s="46" t="s">
        <v>102</v>
      </c>
      <c r="N208" s="47">
        <v>5</v>
      </c>
      <c r="O208" s="47" t="s">
        <v>61</v>
      </c>
      <c r="P208" s="47" t="s">
        <v>61</v>
      </c>
      <c r="Q208" s="48">
        <v>5</v>
      </c>
      <c r="R208" s="48">
        <v>10.46</v>
      </c>
      <c r="S208" s="26">
        <v>2</v>
      </c>
      <c r="T208" s="47">
        <v>2</v>
      </c>
      <c r="U208" s="47">
        <v>2</v>
      </c>
      <c r="V208" s="47">
        <v>2</v>
      </c>
      <c r="W208" s="47">
        <v>2</v>
      </c>
      <c r="X208" s="47">
        <v>2</v>
      </c>
      <c r="Y208" s="47">
        <v>2</v>
      </c>
      <c r="Z208" s="47">
        <v>2</v>
      </c>
      <c r="AA208" s="47">
        <v>2</v>
      </c>
      <c r="AB208" s="47">
        <v>2</v>
      </c>
      <c r="AC208" s="47">
        <v>2</v>
      </c>
      <c r="AD208" s="47">
        <v>2</v>
      </c>
      <c r="AE208" s="47">
        <v>2</v>
      </c>
      <c r="AF208" s="47">
        <v>1</v>
      </c>
      <c r="AG208" s="47">
        <v>1</v>
      </c>
      <c r="AH208" s="47">
        <v>1</v>
      </c>
      <c r="AI208" s="47">
        <v>1</v>
      </c>
      <c r="AJ208" s="47">
        <v>1</v>
      </c>
      <c r="AK208" s="47">
        <v>1</v>
      </c>
      <c r="AL208" s="47">
        <v>1</v>
      </c>
      <c r="AM208" s="46">
        <v>1</v>
      </c>
      <c r="AN208" s="48">
        <v>1</v>
      </c>
      <c r="AO208" s="86"/>
      <c r="AP208" s="86" t="s">
        <v>336</v>
      </c>
      <c r="AQ208" s="42" t="s">
        <v>340</v>
      </c>
    </row>
    <row r="209" spans="1:44">
      <c r="C209" s="222"/>
      <c r="D209" s="222"/>
      <c r="E209" s="222"/>
      <c r="H209" s="222" t="s">
        <v>274</v>
      </c>
      <c r="I209" s="282" t="s">
        <v>138</v>
      </c>
      <c r="J209" s="11">
        <v>100</v>
      </c>
      <c r="K209" s="11">
        <v>500</v>
      </c>
      <c r="M209" s="13" t="s">
        <v>103</v>
      </c>
      <c r="N209" s="11">
        <v>4</v>
      </c>
      <c r="O209" s="11" t="s">
        <v>61</v>
      </c>
      <c r="P209" s="11" t="s">
        <v>61</v>
      </c>
      <c r="Q209" s="14">
        <v>4</v>
      </c>
      <c r="R209" s="14">
        <v>11.13</v>
      </c>
      <c r="S209" s="222">
        <v>2</v>
      </c>
      <c r="T209" s="11">
        <v>2</v>
      </c>
      <c r="U209" s="11">
        <v>2</v>
      </c>
      <c r="V209" s="11">
        <v>2</v>
      </c>
      <c r="W209" s="11">
        <v>2</v>
      </c>
      <c r="X209" s="11">
        <v>2</v>
      </c>
      <c r="Y209" s="11">
        <v>2</v>
      </c>
      <c r="Z209" s="11">
        <v>2</v>
      </c>
      <c r="AA209" s="11">
        <v>2</v>
      </c>
      <c r="AB209" s="11">
        <v>2</v>
      </c>
      <c r="AC209" s="11">
        <v>2</v>
      </c>
      <c r="AD209" s="11">
        <v>2</v>
      </c>
      <c r="AE209" s="11">
        <v>2</v>
      </c>
      <c r="AF209" s="11">
        <v>2</v>
      </c>
      <c r="AG209" s="11">
        <v>2</v>
      </c>
      <c r="AH209" s="11">
        <v>2</v>
      </c>
      <c r="AI209" s="11">
        <v>2</v>
      </c>
      <c r="AJ209" s="11">
        <v>1</v>
      </c>
      <c r="AK209" s="11">
        <v>1</v>
      </c>
      <c r="AL209" s="11">
        <v>0</v>
      </c>
      <c r="AM209" s="13"/>
    </row>
    <row r="210" spans="1:44">
      <c r="C210" s="222"/>
      <c r="D210" s="222"/>
      <c r="E210" s="222"/>
      <c r="H210" s="222" t="s">
        <v>274</v>
      </c>
      <c r="I210" s="282" t="s">
        <v>138</v>
      </c>
      <c r="J210" s="11">
        <v>100</v>
      </c>
      <c r="K210" s="11">
        <v>500</v>
      </c>
      <c r="M210" s="13" t="s">
        <v>104</v>
      </c>
      <c r="N210" s="11">
        <v>5</v>
      </c>
      <c r="O210" s="11" t="s">
        <v>61</v>
      </c>
      <c r="P210" s="11" t="s">
        <v>61</v>
      </c>
      <c r="Q210" s="14">
        <v>5</v>
      </c>
      <c r="R210" s="14">
        <v>11.34</v>
      </c>
      <c r="S210" s="222">
        <v>1</v>
      </c>
      <c r="T210" s="11">
        <v>1</v>
      </c>
      <c r="U210" s="11">
        <v>1</v>
      </c>
      <c r="V210" s="11">
        <v>1</v>
      </c>
      <c r="W210" s="11">
        <v>1</v>
      </c>
      <c r="X210" s="11">
        <v>1</v>
      </c>
      <c r="Y210" s="11">
        <v>1</v>
      </c>
      <c r="Z210" s="11">
        <v>1</v>
      </c>
      <c r="AA210" s="11">
        <v>1</v>
      </c>
      <c r="AB210" s="11">
        <v>1</v>
      </c>
      <c r="AC210" s="11">
        <v>1</v>
      </c>
      <c r="AD210" s="11">
        <v>1</v>
      </c>
      <c r="AE210" s="11">
        <v>1</v>
      </c>
      <c r="AF210" s="11">
        <v>0</v>
      </c>
      <c r="AG210" s="11"/>
      <c r="AH210" s="11"/>
      <c r="AI210" s="11"/>
      <c r="AJ210" s="11"/>
      <c r="AK210" s="11"/>
      <c r="AL210" s="11"/>
      <c r="AM210" s="13"/>
    </row>
    <row r="211" spans="1:44">
      <c r="C211" s="222"/>
      <c r="D211" s="222"/>
      <c r="E211" s="222"/>
      <c r="H211" s="222" t="s">
        <v>274</v>
      </c>
      <c r="I211" s="282" t="s">
        <v>138</v>
      </c>
      <c r="J211" s="11">
        <v>100</v>
      </c>
      <c r="K211" s="11">
        <v>500</v>
      </c>
      <c r="M211" s="13" t="s">
        <v>105</v>
      </c>
      <c r="N211" s="11">
        <v>5</v>
      </c>
      <c r="O211" s="11" t="s">
        <v>61</v>
      </c>
      <c r="P211" s="11" t="s">
        <v>61</v>
      </c>
      <c r="Q211" s="14">
        <v>5</v>
      </c>
      <c r="R211" s="14">
        <v>11.57</v>
      </c>
      <c r="S211" s="222">
        <v>0</v>
      </c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3"/>
    </row>
    <row r="212" spans="1:44">
      <c r="C212" s="222"/>
      <c r="D212" s="222"/>
      <c r="E212" s="222"/>
      <c r="H212" s="222" t="s">
        <v>274</v>
      </c>
      <c r="I212" s="282" t="s">
        <v>138</v>
      </c>
      <c r="J212" s="11">
        <v>100</v>
      </c>
      <c r="K212" s="11">
        <v>500</v>
      </c>
      <c r="M212" s="13" t="s">
        <v>106</v>
      </c>
      <c r="N212" s="11">
        <v>3</v>
      </c>
      <c r="O212" s="11" t="s">
        <v>61</v>
      </c>
      <c r="P212" s="11" t="s">
        <v>61</v>
      </c>
      <c r="Q212" s="14">
        <v>3</v>
      </c>
      <c r="R212" s="14">
        <v>12.19</v>
      </c>
      <c r="S212" s="222">
        <v>1</v>
      </c>
      <c r="T212" s="11">
        <v>1</v>
      </c>
      <c r="U212" s="11">
        <v>1</v>
      </c>
      <c r="V212" s="11">
        <v>1</v>
      </c>
      <c r="W212" s="11">
        <v>1</v>
      </c>
      <c r="X212" s="11">
        <v>1</v>
      </c>
      <c r="Y212" s="11">
        <v>1</v>
      </c>
      <c r="Z212" s="11">
        <v>1</v>
      </c>
      <c r="AA212" s="11">
        <v>1</v>
      </c>
      <c r="AB212" s="11">
        <v>1</v>
      </c>
      <c r="AC212" s="11">
        <v>1</v>
      </c>
      <c r="AD212" s="11">
        <v>1</v>
      </c>
      <c r="AE212" s="11">
        <v>1</v>
      </c>
      <c r="AF212" s="11">
        <v>0</v>
      </c>
      <c r="AG212" s="11"/>
      <c r="AH212" s="11"/>
      <c r="AI212" s="11"/>
      <c r="AJ212" s="11"/>
      <c r="AK212" s="11"/>
      <c r="AL212" s="11"/>
      <c r="AM212" s="13"/>
    </row>
    <row r="213" spans="1:44">
      <c r="C213" s="222"/>
      <c r="D213" s="222"/>
      <c r="E213" s="222"/>
      <c r="H213" s="222" t="s">
        <v>274</v>
      </c>
      <c r="I213" s="282" t="s">
        <v>138</v>
      </c>
      <c r="J213" s="11">
        <v>100</v>
      </c>
      <c r="K213" s="11">
        <v>500</v>
      </c>
      <c r="M213" s="13" t="s">
        <v>107</v>
      </c>
      <c r="N213" s="11">
        <v>5</v>
      </c>
      <c r="O213" s="11" t="s">
        <v>61</v>
      </c>
      <c r="P213" s="11" t="s">
        <v>61</v>
      </c>
      <c r="Q213" s="14">
        <v>5</v>
      </c>
      <c r="R213" s="14">
        <v>12.38</v>
      </c>
      <c r="S213" s="222">
        <v>1</v>
      </c>
      <c r="T213" s="11">
        <v>1</v>
      </c>
      <c r="U213" s="11">
        <v>1</v>
      </c>
      <c r="V213" s="11">
        <v>1</v>
      </c>
      <c r="W213" s="11">
        <v>1</v>
      </c>
      <c r="X213" s="11">
        <v>1</v>
      </c>
      <c r="Y213" s="11">
        <v>1</v>
      </c>
      <c r="Z213" s="11">
        <v>1</v>
      </c>
      <c r="AA213" s="11">
        <v>1</v>
      </c>
      <c r="AB213" s="11">
        <v>1</v>
      </c>
      <c r="AC213" s="11">
        <v>1</v>
      </c>
      <c r="AD213" s="11">
        <v>1</v>
      </c>
      <c r="AE213" s="11">
        <v>1</v>
      </c>
      <c r="AF213" s="11">
        <v>0</v>
      </c>
      <c r="AG213" s="11"/>
      <c r="AH213" s="11"/>
      <c r="AI213" s="11"/>
      <c r="AJ213" s="11"/>
      <c r="AK213" s="11"/>
      <c r="AL213" s="11"/>
      <c r="AM213" s="13"/>
    </row>
    <row r="214" spans="1:44" s="311" customFormat="1" ht="15.75" thickBot="1">
      <c r="A214" s="321"/>
      <c r="B214" s="321"/>
      <c r="C214" s="306"/>
      <c r="D214" s="306"/>
      <c r="E214" s="306"/>
      <c r="F214" s="321"/>
      <c r="G214" s="321"/>
      <c r="H214" s="306" t="s">
        <v>274</v>
      </c>
      <c r="I214" s="324" t="s">
        <v>138</v>
      </c>
      <c r="J214" s="308">
        <v>100</v>
      </c>
      <c r="K214" s="308">
        <v>500</v>
      </c>
      <c r="L214" s="319"/>
      <c r="M214" s="305" t="s">
        <v>108</v>
      </c>
      <c r="N214" s="308">
        <v>4</v>
      </c>
      <c r="O214" s="308" t="s">
        <v>61</v>
      </c>
      <c r="P214" s="308" t="s">
        <v>61</v>
      </c>
      <c r="Q214" s="309">
        <v>4</v>
      </c>
      <c r="R214" s="309">
        <v>12.54</v>
      </c>
      <c r="S214" s="306">
        <v>0</v>
      </c>
      <c r="T214" s="308"/>
      <c r="U214" s="308"/>
      <c r="V214" s="308"/>
      <c r="W214" s="308"/>
      <c r="X214" s="308"/>
      <c r="Y214" s="308"/>
      <c r="Z214" s="308"/>
      <c r="AA214" s="308"/>
      <c r="AB214" s="308"/>
      <c r="AC214" s="308"/>
      <c r="AD214" s="308"/>
      <c r="AE214" s="308"/>
      <c r="AF214" s="308"/>
      <c r="AG214" s="308"/>
      <c r="AH214" s="308"/>
      <c r="AI214" s="308"/>
      <c r="AJ214" s="308"/>
      <c r="AK214" s="308"/>
      <c r="AL214" s="308"/>
      <c r="AM214" s="305"/>
      <c r="AN214" s="309"/>
      <c r="AR214" s="303"/>
    </row>
    <row r="215" spans="1:44">
      <c r="A215" s="43">
        <v>15</v>
      </c>
      <c r="B215" s="166">
        <v>45952</v>
      </c>
      <c r="C215" s="31" t="s">
        <v>341</v>
      </c>
      <c r="D215" s="31" t="s">
        <v>342</v>
      </c>
      <c r="F215" s="31" t="s">
        <v>331</v>
      </c>
      <c r="G215" s="104" t="s">
        <v>142</v>
      </c>
      <c r="H215" s="222" t="s">
        <v>276</v>
      </c>
      <c r="I215" s="350" t="s">
        <v>143</v>
      </c>
      <c r="J215" s="352">
        <v>100</v>
      </c>
      <c r="K215" s="353">
        <v>500</v>
      </c>
      <c r="L215" s="13">
        <v>100</v>
      </c>
      <c r="M215" s="46">
        <v>1</v>
      </c>
      <c r="N215" s="47">
        <v>3</v>
      </c>
      <c r="O215" s="47">
        <v>10.25</v>
      </c>
      <c r="P215" s="47">
        <v>10.34</v>
      </c>
      <c r="Q215" s="48">
        <v>3</v>
      </c>
      <c r="R215" s="48">
        <v>10.51</v>
      </c>
      <c r="S215" s="26">
        <v>1</v>
      </c>
      <c r="T215" s="47">
        <v>1</v>
      </c>
      <c r="U215" s="47">
        <v>1</v>
      </c>
      <c r="V215" s="47">
        <v>1</v>
      </c>
      <c r="W215" s="47">
        <v>1</v>
      </c>
      <c r="X215" s="47">
        <v>1</v>
      </c>
      <c r="Y215" s="47">
        <v>1</v>
      </c>
      <c r="Z215" s="47">
        <v>1</v>
      </c>
      <c r="AA215" s="47">
        <v>1</v>
      </c>
      <c r="AB215" s="47">
        <v>1</v>
      </c>
      <c r="AC215" s="47">
        <v>1</v>
      </c>
      <c r="AD215" s="47">
        <v>1</v>
      </c>
      <c r="AE215" s="47">
        <v>1</v>
      </c>
      <c r="AF215" s="47">
        <v>1</v>
      </c>
      <c r="AG215" s="47">
        <v>1</v>
      </c>
      <c r="AH215" s="47">
        <v>1</v>
      </c>
      <c r="AI215" s="47">
        <v>1</v>
      </c>
      <c r="AJ215" s="47">
        <v>1</v>
      </c>
      <c r="AK215" s="47">
        <v>1</v>
      </c>
      <c r="AL215" s="47">
        <v>1</v>
      </c>
      <c r="AM215" s="46">
        <v>1</v>
      </c>
      <c r="AN215" s="48">
        <v>1</v>
      </c>
      <c r="AO215" s="86"/>
      <c r="AP215" s="86" t="s">
        <v>336</v>
      </c>
      <c r="AQ215" s="42" t="s">
        <v>343</v>
      </c>
      <c r="AR215" s="43" t="s">
        <v>260</v>
      </c>
    </row>
    <row r="216" spans="1:44">
      <c r="D216" s="31" t="s">
        <v>344</v>
      </c>
      <c r="G216" s="104" t="s">
        <v>142</v>
      </c>
      <c r="H216" s="222" t="s">
        <v>276</v>
      </c>
      <c r="I216" s="350" t="s">
        <v>143</v>
      </c>
      <c r="J216" s="354">
        <v>100</v>
      </c>
      <c r="K216" s="116">
        <v>500</v>
      </c>
      <c r="L216" s="13">
        <v>100</v>
      </c>
      <c r="M216" s="13">
        <v>2</v>
      </c>
      <c r="N216" s="11">
        <v>3</v>
      </c>
      <c r="O216" s="11">
        <v>10.36</v>
      </c>
      <c r="P216" s="11">
        <v>10.46</v>
      </c>
      <c r="Q216" s="14">
        <v>3</v>
      </c>
      <c r="R216" s="14">
        <v>11.03</v>
      </c>
      <c r="S216" s="222">
        <v>1</v>
      </c>
      <c r="T216" s="11">
        <v>1</v>
      </c>
      <c r="U216" s="11">
        <v>1</v>
      </c>
      <c r="V216" s="11">
        <v>1</v>
      </c>
      <c r="W216" s="11">
        <v>1</v>
      </c>
      <c r="X216" s="11">
        <v>1</v>
      </c>
      <c r="Y216" s="11">
        <v>1</v>
      </c>
      <c r="Z216" s="11">
        <v>1</v>
      </c>
      <c r="AA216" s="11">
        <v>1</v>
      </c>
      <c r="AB216" s="11">
        <v>1</v>
      </c>
      <c r="AC216" s="11">
        <v>1</v>
      </c>
      <c r="AD216" s="11">
        <v>1</v>
      </c>
      <c r="AE216" s="11">
        <v>1</v>
      </c>
      <c r="AF216" s="11">
        <v>1</v>
      </c>
      <c r="AG216" s="11">
        <v>1</v>
      </c>
      <c r="AH216" s="11">
        <v>0</v>
      </c>
      <c r="AI216" s="11"/>
      <c r="AJ216" s="11"/>
      <c r="AK216" s="11"/>
    </row>
    <row r="217" spans="1:44">
      <c r="G217" s="104" t="s">
        <v>142</v>
      </c>
      <c r="H217" s="222" t="s">
        <v>276</v>
      </c>
      <c r="I217" s="350" t="s">
        <v>143</v>
      </c>
      <c r="J217" s="354">
        <v>100</v>
      </c>
      <c r="K217" s="116">
        <v>500</v>
      </c>
      <c r="L217" s="13">
        <v>80</v>
      </c>
      <c r="M217" s="13">
        <v>3</v>
      </c>
      <c r="N217" s="11">
        <v>3</v>
      </c>
      <c r="O217" s="11">
        <v>10.5</v>
      </c>
      <c r="P217" s="11">
        <v>10.59</v>
      </c>
      <c r="Q217" s="14">
        <v>3</v>
      </c>
      <c r="R217" s="14">
        <v>11.17</v>
      </c>
      <c r="S217" s="222">
        <v>0</v>
      </c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spans="1:44">
      <c r="G218" s="104" t="s">
        <v>142</v>
      </c>
      <c r="H218" s="222" t="s">
        <v>276</v>
      </c>
      <c r="I218" s="350" t="s">
        <v>143</v>
      </c>
      <c r="J218" s="354">
        <v>100</v>
      </c>
      <c r="K218" s="116">
        <v>500</v>
      </c>
      <c r="L218" s="13">
        <v>80</v>
      </c>
      <c r="M218" s="13">
        <v>4</v>
      </c>
      <c r="N218" s="11">
        <v>3</v>
      </c>
      <c r="O218" s="11">
        <v>11.08</v>
      </c>
      <c r="P218" s="11">
        <v>11.19</v>
      </c>
      <c r="Q218" s="14">
        <v>3</v>
      </c>
      <c r="R218" s="14">
        <v>11.34</v>
      </c>
      <c r="S218" s="222">
        <v>1</v>
      </c>
      <c r="T218" s="11">
        <v>1</v>
      </c>
      <c r="U218" s="11">
        <v>1</v>
      </c>
      <c r="V218" s="11">
        <v>1</v>
      </c>
      <c r="W218" s="11">
        <v>1</v>
      </c>
      <c r="X218" s="11">
        <v>1</v>
      </c>
      <c r="Y218" s="11">
        <v>1</v>
      </c>
      <c r="Z218" s="11">
        <v>1</v>
      </c>
      <c r="AA218" s="11">
        <v>1</v>
      </c>
      <c r="AB218" s="11">
        <v>1</v>
      </c>
      <c r="AC218" s="11">
        <v>1</v>
      </c>
      <c r="AD218" s="11">
        <v>1</v>
      </c>
      <c r="AE218" s="11">
        <v>1</v>
      </c>
      <c r="AF218" s="11"/>
      <c r="AG218" s="11"/>
      <c r="AH218" s="11"/>
      <c r="AI218" s="11"/>
      <c r="AJ218" s="11"/>
      <c r="AK218" s="11"/>
    </row>
    <row r="219" spans="1:44">
      <c r="G219" s="104" t="s">
        <v>142</v>
      </c>
      <c r="H219" s="222" t="s">
        <v>276</v>
      </c>
      <c r="I219" s="350" t="s">
        <v>143</v>
      </c>
      <c r="J219" s="354">
        <v>100</v>
      </c>
      <c r="K219" s="116">
        <v>500</v>
      </c>
      <c r="L219" s="13">
        <v>80</v>
      </c>
      <c r="M219" s="13">
        <v>5</v>
      </c>
      <c r="N219" s="11">
        <v>1</v>
      </c>
      <c r="O219" s="11">
        <v>11.22</v>
      </c>
      <c r="P219" s="11">
        <v>11.25</v>
      </c>
      <c r="Q219" s="14">
        <v>1</v>
      </c>
      <c r="R219" s="14">
        <v>11.4</v>
      </c>
      <c r="S219" s="222">
        <v>0</v>
      </c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spans="1:44">
      <c r="G220" s="104" t="s">
        <v>142</v>
      </c>
      <c r="H220" s="222" t="s">
        <v>276</v>
      </c>
      <c r="I220" s="350" t="s">
        <v>143</v>
      </c>
      <c r="J220" s="354">
        <v>100</v>
      </c>
      <c r="K220" s="116">
        <v>500</v>
      </c>
      <c r="L220" s="13">
        <v>80</v>
      </c>
      <c r="M220" s="13">
        <v>6</v>
      </c>
      <c r="N220" s="11">
        <v>3</v>
      </c>
      <c r="O220" s="11">
        <v>11.29</v>
      </c>
      <c r="P220" s="11">
        <v>11.4</v>
      </c>
      <c r="Q220" s="14">
        <v>3</v>
      </c>
      <c r="R220" s="14">
        <v>11.55</v>
      </c>
      <c r="S220" s="222">
        <v>0</v>
      </c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spans="1:44">
      <c r="G221" s="104" t="s">
        <v>142</v>
      </c>
      <c r="H221" s="222" t="s">
        <v>276</v>
      </c>
      <c r="I221" s="350" t="s">
        <v>143</v>
      </c>
      <c r="J221" s="354">
        <v>100</v>
      </c>
      <c r="K221" s="116">
        <v>500</v>
      </c>
      <c r="L221" s="13">
        <v>80</v>
      </c>
      <c r="M221" s="13">
        <v>7</v>
      </c>
      <c r="N221" s="11">
        <v>3</v>
      </c>
      <c r="O221" s="11">
        <v>11.46</v>
      </c>
      <c r="P221" s="11">
        <v>11.56</v>
      </c>
      <c r="Q221" s="14">
        <v>3</v>
      </c>
      <c r="R221" s="14">
        <v>12.14</v>
      </c>
      <c r="S221" s="222">
        <v>0</v>
      </c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spans="1:44">
      <c r="G222" s="104" t="s">
        <v>142</v>
      </c>
      <c r="H222" s="222" t="s">
        <v>276</v>
      </c>
      <c r="I222" s="350" t="s">
        <v>143</v>
      </c>
      <c r="J222" s="354">
        <v>100</v>
      </c>
      <c r="K222" s="116">
        <v>500</v>
      </c>
      <c r="L222" s="13">
        <v>80</v>
      </c>
      <c r="M222" s="13">
        <v>8</v>
      </c>
      <c r="N222" s="11">
        <v>2</v>
      </c>
      <c r="O222" s="11">
        <v>11.59</v>
      </c>
      <c r="P222" s="11">
        <v>12.08</v>
      </c>
      <c r="Q222" s="14">
        <v>2</v>
      </c>
      <c r="R222" s="14">
        <v>12.2</v>
      </c>
      <c r="S222" s="222">
        <v>0</v>
      </c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spans="1:44">
      <c r="G223" s="104" t="s">
        <v>142</v>
      </c>
      <c r="H223" s="222" t="s">
        <v>276</v>
      </c>
      <c r="I223" s="350" t="s">
        <v>143</v>
      </c>
      <c r="J223" s="354">
        <v>100</v>
      </c>
      <c r="K223" s="116">
        <v>500</v>
      </c>
      <c r="L223" s="13">
        <v>80</v>
      </c>
      <c r="M223" s="13">
        <v>9</v>
      </c>
      <c r="N223" s="11">
        <v>3</v>
      </c>
      <c r="O223" s="11">
        <v>12.08</v>
      </c>
      <c r="P223" s="11">
        <v>12.19</v>
      </c>
      <c r="Q223" s="14">
        <v>3</v>
      </c>
      <c r="R223" s="14">
        <v>12.35</v>
      </c>
      <c r="S223" s="222">
        <v>0</v>
      </c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spans="1:44">
      <c r="G224" s="104" t="s">
        <v>142</v>
      </c>
      <c r="H224" s="222" t="s">
        <v>276</v>
      </c>
      <c r="I224" s="350" t="s">
        <v>143</v>
      </c>
      <c r="J224" s="354">
        <v>100</v>
      </c>
      <c r="K224" s="116">
        <v>500</v>
      </c>
      <c r="M224" s="13" t="s">
        <v>144</v>
      </c>
      <c r="N224" s="11">
        <v>4</v>
      </c>
      <c r="O224" s="11" t="s">
        <v>61</v>
      </c>
      <c r="P224" s="11" t="s">
        <v>61</v>
      </c>
      <c r="Q224" s="14">
        <v>4</v>
      </c>
      <c r="R224" s="14">
        <v>11.1</v>
      </c>
      <c r="S224" s="222">
        <v>2</v>
      </c>
      <c r="T224" s="11">
        <v>2</v>
      </c>
      <c r="U224" s="11">
        <v>1</v>
      </c>
      <c r="V224" s="11">
        <v>0</v>
      </c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spans="1:44">
      <c r="G225" s="104" t="s">
        <v>142</v>
      </c>
      <c r="H225" s="222" t="s">
        <v>276</v>
      </c>
      <c r="I225" s="350" t="s">
        <v>143</v>
      </c>
      <c r="J225" s="354">
        <v>100</v>
      </c>
      <c r="K225" s="116">
        <v>500</v>
      </c>
      <c r="M225" s="13" t="s">
        <v>145</v>
      </c>
      <c r="N225" s="11">
        <v>3</v>
      </c>
      <c r="O225" s="11" t="s">
        <v>61</v>
      </c>
      <c r="P225" s="11" t="s">
        <v>61</v>
      </c>
      <c r="Q225" s="14">
        <v>3</v>
      </c>
      <c r="R225" s="14">
        <v>11.26</v>
      </c>
      <c r="S225" s="222">
        <v>0</v>
      </c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spans="1:44">
      <c r="G226" s="104" t="s">
        <v>142</v>
      </c>
      <c r="H226" s="222" t="s">
        <v>276</v>
      </c>
      <c r="I226" s="350" t="s">
        <v>143</v>
      </c>
      <c r="J226" s="354">
        <v>100</v>
      </c>
      <c r="K226" s="116">
        <v>500</v>
      </c>
      <c r="M226" s="13" t="s">
        <v>146</v>
      </c>
      <c r="N226" s="11">
        <v>3</v>
      </c>
      <c r="O226" s="11" t="s">
        <v>61</v>
      </c>
      <c r="P226" s="11" t="s">
        <v>61</v>
      </c>
      <c r="Q226" s="14">
        <v>3</v>
      </c>
      <c r="R226" s="14">
        <v>11.41</v>
      </c>
      <c r="S226" s="222">
        <v>0</v>
      </c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spans="1:44">
      <c r="G227" s="104" t="s">
        <v>142</v>
      </c>
      <c r="H227" s="222" t="s">
        <v>276</v>
      </c>
      <c r="I227" s="350" t="s">
        <v>143</v>
      </c>
      <c r="J227" s="354">
        <v>100</v>
      </c>
      <c r="K227" s="116">
        <v>500</v>
      </c>
      <c r="M227" s="13" t="s">
        <v>147</v>
      </c>
      <c r="N227" s="11">
        <v>3</v>
      </c>
      <c r="O227" s="11" t="s">
        <v>61</v>
      </c>
      <c r="P227" s="11" t="s">
        <v>61</v>
      </c>
      <c r="Q227" s="14">
        <v>3</v>
      </c>
      <c r="R227" s="14">
        <v>11.57</v>
      </c>
      <c r="S227" s="222">
        <v>0</v>
      </c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spans="1:44">
      <c r="G228" s="104" t="s">
        <v>142</v>
      </c>
      <c r="H228" s="222" t="s">
        <v>276</v>
      </c>
      <c r="I228" s="350" t="s">
        <v>143</v>
      </c>
      <c r="J228" s="354">
        <v>100</v>
      </c>
      <c r="K228" s="116">
        <v>500</v>
      </c>
      <c r="M228" s="13" t="s">
        <v>148</v>
      </c>
      <c r="N228" s="11">
        <v>3</v>
      </c>
      <c r="O228" s="11" t="s">
        <v>61</v>
      </c>
      <c r="P228" s="11" t="s">
        <v>61</v>
      </c>
      <c r="Q228" s="14">
        <v>3</v>
      </c>
      <c r="R228" s="14">
        <v>12.12</v>
      </c>
      <c r="S228" s="222">
        <v>0</v>
      </c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spans="1:44">
      <c r="G229" s="104" t="s">
        <v>142</v>
      </c>
      <c r="H229" s="222" t="s">
        <v>276</v>
      </c>
      <c r="I229" s="350" t="s">
        <v>143</v>
      </c>
      <c r="J229" s="354">
        <v>100</v>
      </c>
      <c r="K229" s="116">
        <v>500</v>
      </c>
      <c r="M229" s="13" t="s">
        <v>149</v>
      </c>
      <c r="N229" s="11">
        <v>3</v>
      </c>
      <c r="O229" s="11" t="s">
        <v>61</v>
      </c>
      <c r="P229" s="11" t="s">
        <v>61</v>
      </c>
      <c r="Q229" s="14">
        <v>3</v>
      </c>
      <c r="R229" s="14">
        <v>12.32</v>
      </c>
      <c r="S229" s="222">
        <v>0</v>
      </c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spans="1:44" s="23" customFormat="1">
      <c r="A230" s="32"/>
      <c r="B230" s="32"/>
      <c r="C230" s="32"/>
      <c r="D230" s="32"/>
      <c r="E230" s="32"/>
      <c r="F230" s="32"/>
      <c r="G230" s="109" t="s">
        <v>142</v>
      </c>
      <c r="H230" s="18" t="s">
        <v>276</v>
      </c>
      <c r="I230" s="351" t="s">
        <v>143</v>
      </c>
      <c r="J230" s="355">
        <v>100</v>
      </c>
      <c r="K230" s="122">
        <v>500</v>
      </c>
      <c r="L230" s="53"/>
      <c r="M230" s="19" t="s">
        <v>150</v>
      </c>
      <c r="N230" s="28">
        <v>3</v>
      </c>
      <c r="O230" s="28" t="s">
        <v>61</v>
      </c>
      <c r="P230" s="28" t="s">
        <v>61</v>
      </c>
      <c r="Q230" s="20">
        <v>3</v>
      </c>
      <c r="R230" s="20">
        <v>12.45</v>
      </c>
      <c r="S230" s="18">
        <v>0</v>
      </c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M230" s="53"/>
      <c r="AN230" s="20"/>
      <c r="AR230" s="45"/>
    </row>
    <row r="231" spans="1:44">
      <c r="A231" s="366">
        <v>16</v>
      </c>
      <c r="B231" s="166">
        <v>45954</v>
      </c>
      <c r="C231" s="31" t="s">
        <v>341</v>
      </c>
      <c r="D231" s="31" t="s">
        <v>345</v>
      </c>
      <c r="F231" s="31" t="s">
        <v>346</v>
      </c>
      <c r="G231" s="31" t="s">
        <v>151</v>
      </c>
      <c r="H231" s="31" t="s">
        <v>276</v>
      </c>
      <c r="I231" s="218" t="s">
        <v>152</v>
      </c>
      <c r="J231" s="22">
        <v>100</v>
      </c>
      <c r="K231" s="22">
        <v>500</v>
      </c>
      <c r="L231" s="41">
        <v>60</v>
      </c>
      <c r="M231" s="13">
        <v>1</v>
      </c>
      <c r="N231" s="11">
        <v>5</v>
      </c>
      <c r="O231" s="11">
        <v>9.59</v>
      </c>
      <c r="P231" s="11">
        <v>10.119999999999999</v>
      </c>
      <c r="Q231" s="14">
        <v>5</v>
      </c>
      <c r="R231" s="14">
        <v>10.28</v>
      </c>
      <c r="S231" s="222">
        <v>1</v>
      </c>
      <c r="T231" s="11">
        <v>1</v>
      </c>
      <c r="U231" s="11">
        <v>1</v>
      </c>
      <c r="V231" s="11">
        <v>1</v>
      </c>
      <c r="W231" s="11">
        <v>1</v>
      </c>
      <c r="X231" s="11">
        <v>1</v>
      </c>
      <c r="Y231" s="11">
        <v>1</v>
      </c>
      <c r="Z231" s="11">
        <v>1</v>
      </c>
      <c r="AA231" s="11">
        <v>1</v>
      </c>
      <c r="AB231" s="11">
        <v>1</v>
      </c>
      <c r="AC231" s="11">
        <v>1</v>
      </c>
      <c r="AD231" s="11">
        <v>1</v>
      </c>
      <c r="AE231" s="11"/>
      <c r="AF231" s="11"/>
      <c r="AG231" s="11"/>
      <c r="AH231" s="11"/>
      <c r="AI231" s="11"/>
      <c r="AJ231" s="11"/>
      <c r="AK231" s="11"/>
      <c r="AL231" s="11"/>
      <c r="AM231" s="13"/>
      <c r="AR231" s="43" t="s">
        <v>247</v>
      </c>
    </row>
    <row r="232" spans="1:44">
      <c r="D232" s="31" t="s">
        <v>347</v>
      </c>
      <c r="G232" s="31" t="s">
        <v>151</v>
      </c>
      <c r="H232" s="31" t="s">
        <v>276</v>
      </c>
      <c r="I232" s="218" t="s">
        <v>152</v>
      </c>
      <c r="J232" s="22">
        <v>100</v>
      </c>
      <c r="K232" s="22">
        <v>500</v>
      </c>
      <c r="M232" s="13">
        <v>2</v>
      </c>
      <c r="N232" s="11">
        <v>2</v>
      </c>
      <c r="O232" s="11">
        <v>10.16</v>
      </c>
      <c r="P232" s="11">
        <v>10.3</v>
      </c>
      <c r="Q232" s="14">
        <v>2</v>
      </c>
      <c r="R232" s="14">
        <v>10.45</v>
      </c>
      <c r="S232" s="222">
        <v>2</v>
      </c>
      <c r="T232" s="11">
        <v>2</v>
      </c>
      <c r="U232" s="11">
        <v>2</v>
      </c>
      <c r="V232" s="11">
        <v>2</v>
      </c>
      <c r="W232" s="11">
        <v>2</v>
      </c>
      <c r="X232" s="11">
        <v>2</v>
      </c>
      <c r="Y232" s="11">
        <v>2</v>
      </c>
      <c r="Z232" s="11">
        <v>2</v>
      </c>
      <c r="AA232" s="11">
        <v>2</v>
      </c>
      <c r="AB232" s="11">
        <v>2</v>
      </c>
      <c r="AC232" s="11">
        <v>2</v>
      </c>
      <c r="AD232" s="11">
        <v>2</v>
      </c>
      <c r="AE232" s="11">
        <v>2</v>
      </c>
      <c r="AF232" s="11"/>
      <c r="AG232" s="11"/>
      <c r="AH232" s="11"/>
      <c r="AI232" s="11"/>
      <c r="AJ232" s="11"/>
      <c r="AK232" s="11"/>
      <c r="AL232" s="11"/>
      <c r="AM232" s="13"/>
    </row>
    <row r="233" spans="1:44">
      <c r="G233" s="31" t="s">
        <v>151</v>
      </c>
      <c r="H233" s="31" t="s">
        <v>276</v>
      </c>
      <c r="I233" s="218" t="s">
        <v>152</v>
      </c>
      <c r="J233" s="22">
        <v>100</v>
      </c>
      <c r="K233" s="22">
        <v>500</v>
      </c>
      <c r="M233" s="13">
        <v>3</v>
      </c>
      <c r="N233" s="11">
        <v>3</v>
      </c>
      <c r="O233" s="11">
        <v>10.3</v>
      </c>
      <c r="P233" s="11">
        <v>10.5</v>
      </c>
      <c r="Q233" s="14">
        <v>3</v>
      </c>
      <c r="R233" s="14">
        <v>11.04</v>
      </c>
      <c r="S233" s="222">
        <v>2</v>
      </c>
      <c r="T233" s="11">
        <v>2</v>
      </c>
      <c r="U233" s="11">
        <v>2</v>
      </c>
      <c r="V233" s="11">
        <v>2</v>
      </c>
      <c r="W233" s="11">
        <v>2</v>
      </c>
      <c r="X233" s="11">
        <v>2</v>
      </c>
      <c r="Y233" s="11">
        <v>2</v>
      </c>
      <c r="Z233" s="11">
        <v>2</v>
      </c>
      <c r="AA233" s="11">
        <v>2</v>
      </c>
      <c r="AB233" s="11">
        <v>2</v>
      </c>
      <c r="AC233" s="11">
        <v>2</v>
      </c>
      <c r="AD233" s="11">
        <v>2</v>
      </c>
      <c r="AE233" s="11">
        <v>1</v>
      </c>
      <c r="AF233" s="11"/>
      <c r="AG233" s="11"/>
      <c r="AH233" s="11"/>
      <c r="AI233" s="11"/>
      <c r="AJ233" s="11"/>
      <c r="AK233" s="11"/>
      <c r="AL233" s="11"/>
      <c r="AM233" s="13"/>
    </row>
    <row r="234" spans="1:44">
      <c r="G234" s="31" t="s">
        <v>151</v>
      </c>
      <c r="H234" s="31" t="s">
        <v>276</v>
      </c>
      <c r="I234" s="218" t="s">
        <v>152</v>
      </c>
      <c r="J234" s="22">
        <v>100</v>
      </c>
      <c r="K234" s="22">
        <v>500</v>
      </c>
      <c r="M234" s="13">
        <v>4</v>
      </c>
      <c r="N234" s="11">
        <v>4</v>
      </c>
      <c r="O234" s="11">
        <v>10.51</v>
      </c>
      <c r="P234" s="11">
        <v>11.05</v>
      </c>
      <c r="Q234" s="14">
        <v>4</v>
      </c>
      <c r="R234" s="14">
        <v>11.23</v>
      </c>
      <c r="S234" s="222">
        <v>3</v>
      </c>
      <c r="T234" s="11">
        <v>2</v>
      </c>
      <c r="U234" s="11">
        <v>2</v>
      </c>
      <c r="V234" s="11">
        <v>2</v>
      </c>
      <c r="W234" s="11">
        <v>2</v>
      </c>
      <c r="X234" s="11">
        <v>2</v>
      </c>
      <c r="Y234" s="11">
        <v>2</v>
      </c>
      <c r="Z234" s="11">
        <v>2</v>
      </c>
      <c r="AA234" s="11">
        <v>2</v>
      </c>
      <c r="AB234" s="11">
        <v>2</v>
      </c>
      <c r="AC234" s="11">
        <v>2</v>
      </c>
      <c r="AD234" s="11">
        <v>2</v>
      </c>
      <c r="AE234" s="11"/>
      <c r="AF234" s="11"/>
      <c r="AG234" s="11"/>
      <c r="AH234" s="11"/>
      <c r="AI234" s="11"/>
      <c r="AJ234" s="11"/>
      <c r="AK234" s="11"/>
      <c r="AL234" s="11"/>
      <c r="AM234" s="13"/>
    </row>
    <row r="235" spans="1:44">
      <c r="G235" s="31" t="s">
        <v>151</v>
      </c>
      <c r="H235" s="31" t="s">
        <v>276</v>
      </c>
      <c r="I235" s="218" t="s">
        <v>152</v>
      </c>
      <c r="J235" s="22">
        <v>100</v>
      </c>
      <c r="K235" s="22">
        <v>500</v>
      </c>
      <c r="M235" s="13">
        <v>5</v>
      </c>
      <c r="N235" s="11">
        <v>4</v>
      </c>
      <c r="O235" s="11">
        <v>11.07</v>
      </c>
      <c r="P235" s="11">
        <v>11.19</v>
      </c>
      <c r="Q235" s="14">
        <v>4</v>
      </c>
      <c r="R235" s="14">
        <v>11.35</v>
      </c>
      <c r="S235" s="222">
        <v>1</v>
      </c>
      <c r="T235" s="11">
        <v>1</v>
      </c>
      <c r="U235" s="11">
        <v>1</v>
      </c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3"/>
    </row>
    <row r="236" spans="1:44">
      <c r="G236" s="31" t="s">
        <v>151</v>
      </c>
      <c r="H236" s="31" t="s">
        <v>276</v>
      </c>
      <c r="I236" s="218" t="s">
        <v>152</v>
      </c>
      <c r="J236" s="22">
        <v>100</v>
      </c>
      <c r="K236" s="22">
        <v>500</v>
      </c>
      <c r="M236" s="13">
        <v>6</v>
      </c>
      <c r="N236" s="11">
        <v>3</v>
      </c>
      <c r="O236" s="11">
        <v>11.23</v>
      </c>
      <c r="P236" s="11">
        <v>11.36</v>
      </c>
      <c r="Q236" s="14">
        <v>3</v>
      </c>
      <c r="R236" s="14">
        <v>11.54</v>
      </c>
      <c r="S236" s="222">
        <v>2</v>
      </c>
      <c r="T236" s="11">
        <v>2</v>
      </c>
      <c r="U236" s="11">
        <v>2</v>
      </c>
      <c r="V236" s="11">
        <v>2</v>
      </c>
      <c r="W236" s="11">
        <v>2</v>
      </c>
      <c r="X236" s="11">
        <v>2</v>
      </c>
      <c r="Y236" s="11">
        <v>2</v>
      </c>
      <c r="Z236" s="11">
        <v>2</v>
      </c>
      <c r="AA236" s="11">
        <v>2</v>
      </c>
      <c r="AB236" s="11">
        <v>2</v>
      </c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3"/>
    </row>
    <row r="237" spans="1:44">
      <c r="G237" s="31" t="s">
        <v>151</v>
      </c>
      <c r="H237" s="31" t="s">
        <v>276</v>
      </c>
      <c r="I237" s="218" t="s">
        <v>152</v>
      </c>
      <c r="J237" s="22">
        <v>100</v>
      </c>
      <c r="K237" s="22">
        <v>500</v>
      </c>
      <c r="M237" s="13">
        <v>7</v>
      </c>
      <c r="N237" s="11">
        <v>3</v>
      </c>
      <c r="O237" s="11" t="s">
        <v>191</v>
      </c>
      <c r="P237" s="11">
        <v>11.46</v>
      </c>
      <c r="Q237" s="14">
        <v>3</v>
      </c>
      <c r="R237" s="14">
        <v>12.02</v>
      </c>
      <c r="S237" s="222">
        <v>0</v>
      </c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3"/>
    </row>
    <row r="238" spans="1:44">
      <c r="G238" s="31" t="s">
        <v>151</v>
      </c>
      <c r="H238" s="31" t="s">
        <v>276</v>
      </c>
      <c r="I238" s="218" t="s">
        <v>152</v>
      </c>
      <c r="J238" s="22">
        <v>100</v>
      </c>
      <c r="K238" s="22">
        <v>500</v>
      </c>
      <c r="M238" s="13">
        <v>8</v>
      </c>
      <c r="N238" s="11">
        <v>4</v>
      </c>
      <c r="O238" s="11">
        <v>11.47</v>
      </c>
      <c r="P238" s="11">
        <v>12.01</v>
      </c>
      <c r="Q238" s="14">
        <v>4</v>
      </c>
      <c r="R238" s="14">
        <v>12.17</v>
      </c>
      <c r="S238" s="222">
        <v>1</v>
      </c>
      <c r="T238" s="11">
        <v>1</v>
      </c>
      <c r="U238" s="11">
        <v>1</v>
      </c>
      <c r="V238" s="11">
        <v>1</v>
      </c>
      <c r="W238" s="11">
        <v>1</v>
      </c>
      <c r="X238" s="11">
        <v>1</v>
      </c>
      <c r="Y238" s="11">
        <v>1</v>
      </c>
      <c r="Z238" s="11">
        <v>1</v>
      </c>
      <c r="AA238" s="11">
        <v>1</v>
      </c>
      <c r="AB238" s="11">
        <v>1</v>
      </c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3"/>
    </row>
    <row r="239" spans="1:44" s="23" customFormat="1">
      <c r="A239" s="31"/>
      <c r="B239" s="31"/>
      <c r="C239" s="31"/>
      <c r="D239" s="31"/>
      <c r="E239" s="31"/>
      <c r="F239" s="31"/>
      <c r="G239" s="32" t="s">
        <v>151</v>
      </c>
      <c r="H239" s="18" t="s">
        <v>276</v>
      </c>
      <c r="I239" s="219" t="s">
        <v>152</v>
      </c>
      <c r="J239" s="23">
        <v>100</v>
      </c>
      <c r="K239" s="23">
        <v>500</v>
      </c>
      <c r="L239" s="53"/>
      <c r="M239" s="19">
        <v>9</v>
      </c>
      <c r="N239" s="28">
        <v>4</v>
      </c>
      <c r="O239" s="28">
        <v>12.02</v>
      </c>
      <c r="P239" s="28">
        <v>12.15</v>
      </c>
      <c r="Q239" s="20">
        <v>4</v>
      </c>
      <c r="R239" s="20">
        <v>12.31</v>
      </c>
      <c r="S239" s="18">
        <v>1</v>
      </c>
      <c r="T239" s="28">
        <v>1</v>
      </c>
      <c r="U239" s="28">
        <v>1</v>
      </c>
      <c r="V239" s="28">
        <v>1</v>
      </c>
      <c r="W239" s="28">
        <v>1</v>
      </c>
      <c r="X239" s="28">
        <v>1</v>
      </c>
      <c r="Y239" s="28">
        <v>1</v>
      </c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19"/>
      <c r="AN239" s="20"/>
      <c r="AR239" s="45"/>
    </row>
    <row r="240" spans="1:44">
      <c r="G240" s="222" t="s">
        <v>151</v>
      </c>
      <c r="H240" s="222" t="s">
        <v>276</v>
      </c>
      <c r="I240" s="41" t="s">
        <v>152</v>
      </c>
      <c r="J240" s="13">
        <v>100</v>
      </c>
      <c r="K240" s="22">
        <v>500</v>
      </c>
      <c r="L240" s="31">
        <v>70</v>
      </c>
      <c r="M240" s="11" t="s">
        <v>153</v>
      </c>
      <c r="N240" s="11">
        <v>4</v>
      </c>
      <c r="O240" s="11">
        <v>9.58</v>
      </c>
      <c r="P240" s="11">
        <v>10.08</v>
      </c>
      <c r="Q240" s="14">
        <v>4</v>
      </c>
      <c r="R240" s="14">
        <v>10.25</v>
      </c>
      <c r="S240" s="222">
        <v>3</v>
      </c>
      <c r="T240" s="11">
        <v>3</v>
      </c>
      <c r="U240" s="11">
        <v>3</v>
      </c>
      <c r="V240" s="11">
        <v>3</v>
      </c>
      <c r="W240" s="11">
        <v>3</v>
      </c>
      <c r="X240" s="11">
        <v>3</v>
      </c>
      <c r="Y240" s="11">
        <v>3</v>
      </c>
      <c r="Z240" s="11">
        <v>3</v>
      </c>
      <c r="AA240" s="11">
        <v>3</v>
      </c>
      <c r="AB240" s="11">
        <v>3</v>
      </c>
      <c r="AC240" s="11">
        <v>3</v>
      </c>
      <c r="AD240" s="11">
        <v>3</v>
      </c>
      <c r="AE240" s="11">
        <v>3</v>
      </c>
      <c r="AF240" s="11">
        <v>3</v>
      </c>
      <c r="AG240" s="11">
        <v>0</v>
      </c>
      <c r="AH240" s="11"/>
      <c r="AI240" s="11"/>
      <c r="AJ240" s="11"/>
      <c r="AK240" s="11"/>
      <c r="AL240" s="11"/>
      <c r="AM240" s="13"/>
      <c r="AR240" s="43" t="s">
        <v>260</v>
      </c>
    </row>
    <row r="241" spans="1:44">
      <c r="G241" s="222" t="s">
        <v>151</v>
      </c>
      <c r="H241" s="222" t="s">
        <v>276</v>
      </c>
      <c r="I241" s="218" t="s">
        <v>152</v>
      </c>
      <c r="J241" s="22">
        <v>100</v>
      </c>
      <c r="K241" s="22">
        <v>500</v>
      </c>
      <c r="M241" s="13" t="s">
        <v>154</v>
      </c>
      <c r="N241" s="11">
        <v>4</v>
      </c>
      <c r="O241" s="11">
        <v>10.11</v>
      </c>
      <c r="P241" s="11">
        <v>10.23</v>
      </c>
      <c r="Q241" s="14">
        <v>4</v>
      </c>
      <c r="R241" s="14">
        <v>10.38</v>
      </c>
      <c r="S241" s="222">
        <v>3</v>
      </c>
      <c r="T241" s="11">
        <v>3</v>
      </c>
      <c r="U241" s="11">
        <v>3</v>
      </c>
      <c r="V241" s="11">
        <v>3</v>
      </c>
      <c r="W241" s="11">
        <v>3</v>
      </c>
      <c r="X241" s="11">
        <v>3</v>
      </c>
      <c r="Y241" s="11">
        <v>3</v>
      </c>
      <c r="Z241" s="11">
        <v>3</v>
      </c>
      <c r="AA241" s="11">
        <v>3</v>
      </c>
      <c r="AB241" s="11">
        <v>3</v>
      </c>
      <c r="AC241" s="11">
        <v>3</v>
      </c>
      <c r="AD241" s="11">
        <v>3</v>
      </c>
      <c r="AE241" s="11">
        <v>3</v>
      </c>
      <c r="AF241" s="11">
        <v>1</v>
      </c>
      <c r="AG241" s="11">
        <v>1</v>
      </c>
      <c r="AH241" s="11">
        <v>1</v>
      </c>
      <c r="AI241" s="11">
        <v>1</v>
      </c>
      <c r="AJ241" s="11">
        <v>1</v>
      </c>
      <c r="AK241" s="11">
        <v>0</v>
      </c>
      <c r="AL241" s="11"/>
      <c r="AM241" s="13"/>
    </row>
    <row r="242" spans="1:44">
      <c r="G242" s="222" t="s">
        <v>151</v>
      </c>
      <c r="H242" s="222" t="s">
        <v>276</v>
      </c>
      <c r="I242" s="218" t="s">
        <v>152</v>
      </c>
      <c r="J242" s="22">
        <v>100</v>
      </c>
      <c r="K242" s="22">
        <v>500</v>
      </c>
      <c r="M242" s="13" t="s">
        <v>155</v>
      </c>
      <c r="N242" s="11">
        <v>4</v>
      </c>
      <c r="O242" s="11">
        <v>10.24</v>
      </c>
      <c r="P242" s="11">
        <v>10.35</v>
      </c>
      <c r="Q242" s="14">
        <v>4</v>
      </c>
      <c r="R242" s="14">
        <v>10.51</v>
      </c>
      <c r="S242" s="222">
        <v>1</v>
      </c>
      <c r="T242" s="11">
        <v>1</v>
      </c>
      <c r="U242" s="11">
        <v>1</v>
      </c>
      <c r="V242" s="11">
        <v>1</v>
      </c>
      <c r="W242" s="11">
        <v>1</v>
      </c>
      <c r="X242" s="11">
        <v>1</v>
      </c>
      <c r="Y242" s="11">
        <v>1</v>
      </c>
      <c r="Z242" s="11">
        <v>1</v>
      </c>
      <c r="AA242" s="11">
        <v>1</v>
      </c>
      <c r="AB242" s="11">
        <v>1</v>
      </c>
      <c r="AC242" s="11">
        <v>1</v>
      </c>
      <c r="AD242" s="11">
        <v>1</v>
      </c>
      <c r="AE242" s="11">
        <v>1</v>
      </c>
      <c r="AF242" s="11">
        <v>1</v>
      </c>
      <c r="AG242" s="11">
        <v>1</v>
      </c>
      <c r="AH242" s="11">
        <v>0</v>
      </c>
      <c r="AI242" s="11"/>
      <c r="AJ242" s="11"/>
      <c r="AK242" s="11"/>
      <c r="AL242" s="11"/>
      <c r="AM242" s="13"/>
    </row>
    <row r="243" spans="1:44">
      <c r="G243" s="222" t="s">
        <v>151</v>
      </c>
      <c r="H243" s="222" t="s">
        <v>276</v>
      </c>
      <c r="I243" s="218" t="s">
        <v>152</v>
      </c>
      <c r="J243" s="22">
        <v>100</v>
      </c>
      <c r="K243" s="22">
        <v>500</v>
      </c>
      <c r="M243" s="13" t="s">
        <v>156</v>
      </c>
      <c r="N243" s="11">
        <v>3</v>
      </c>
      <c r="O243" s="11">
        <v>10.37</v>
      </c>
      <c r="P243" s="11">
        <v>10.51</v>
      </c>
      <c r="Q243" s="14">
        <v>3</v>
      </c>
      <c r="R243" s="14">
        <v>11.07</v>
      </c>
      <c r="S243" s="222">
        <v>2</v>
      </c>
      <c r="T243" s="11">
        <v>2</v>
      </c>
      <c r="U243" s="11">
        <v>2</v>
      </c>
      <c r="V243" s="11">
        <v>2</v>
      </c>
      <c r="W243" s="11">
        <v>2</v>
      </c>
      <c r="X243" s="11">
        <v>2</v>
      </c>
      <c r="Y243" s="11">
        <v>2</v>
      </c>
      <c r="Z243" s="11">
        <v>2</v>
      </c>
      <c r="AA243" s="11">
        <v>2</v>
      </c>
      <c r="AB243" s="11">
        <v>2</v>
      </c>
      <c r="AC243" s="11">
        <v>2</v>
      </c>
      <c r="AD243" s="11">
        <v>2</v>
      </c>
      <c r="AE243" s="11">
        <v>2</v>
      </c>
      <c r="AF243" s="11">
        <v>1</v>
      </c>
      <c r="AG243" s="11">
        <v>1</v>
      </c>
      <c r="AH243" s="11">
        <v>0</v>
      </c>
      <c r="AI243" s="11"/>
      <c r="AJ243" s="11"/>
      <c r="AK243" s="11"/>
      <c r="AL243" s="11"/>
      <c r="AM243" s="13"/>
    </row>
    <row r="244" spans="1:44">
      <c r="G244" s="222" t="s">
        <v>151</v>
      </c>
      <c r="H244" s="222" t="s">
        <v>276</v>
      </c>
      <c r="I244" s="218" t="s">
        <v>152</v>
      </c>
      <c r="J244" s="22">
        <v>100</v>
      </c>
      <c r="K244" s="22">
        <v>500</v>
      </c>
      <c r="M244" s="13" t="s">
        <v>157</v>
      </c>
      <c r="N244" s="11">
        <v>2</v>
      </c>
      <c r="O244" s="11">
        <v>10.54</v>
      </c>
      <c r="P244" s="11">
        <v>11.03</v>
      </c>
      <c r="Q244" s="14">
        <v>2</v>
      </c>
      <c r="R244" s="14">
        <v>11.2</v>
      </c>
      <c r="S244" s="222">
        <v>2</v>
      </c>
      <c r="T244" s="11">
        <v>2</v>
      </c>
      <c r="U244" s="11">
        <v>2</v>
      </c>
      <c r="V244" s="11">
        <v>2</v>
      </c>
      <c r="W244" s="11">
        <v>2</v>
      </c>
      <c r="X244" s="11">
        <v>2</v>
      </c>
      <c r="Y244" s="11">
        <v>2</v>
      </c>
      <c r="Z244" s="11">
        <v>2</v>
      </c>
      <c r="AA244" s="11">
        <v>2</v>
      </c>
      <c r="AB244" s="11">
        <v>2</v>
      </c>
      <c r="AC244" s="11">
        <v>2</v>
      </c>
      <c r="AD244" s="11">
        <v>2</v>
      </c>
      <c r="AE244" s="11">
        <v>2</v>
      </c>
      <c r="AF244" s="11">
        <v>2</v>
      </c>
      <c r="AG244" s="11">
        <v>2</v>
      </c>
      <c r="AH244" s="11">
        <v>1</v>
      </c>
      <c r="AI244" s="11">
        <v>1</v>
      </c>
      <c r="AJ244" s="11">
        <v>1</v>
      </c>
      <c r="AK244" s="11">
        <v>0</v>
      </c>
      <c r="AL244" s="11"/>
      <c r="AM244" s="13"/>
    </row>
    <row r="245" spans="1:44">
      <c r="G245" s="222" t="s">
        <v>151</v>
      </c>
      <c r="H245" s="222" t="s">
        <v>276</v>
      </c>
      <c r="I245" s="218" t="s">
        <v>152</v>
      </c>
      <c r="J245" s="22">
        <v>100</v>
      </c>
      <c r="K245" s="22">
        <v>500</v>
      </c>
      <c r="M245" s="13" t="s">
        <v>158</v>
      </c>
      <c r="N245" s="11">
        <v>4</v>
      </c>
      <c r="O245" s="11">
        <v>11.05</v>
      </c>
      <c r="P245" s="11">
        <v>11.19</v>
      </c>
      <c r="Q245" s="14">
        <v>4</v>
      </c>
      <c r="R245" s="14">
        <v>11.33</v>
      </c>
      <c r="S245" s="222">
        <v>3</v>
      </c>
      <c r="T245" s="11">
        <v>3</v>
      </c>
      <c r="U245" s="11">
        <v>3</v>
      </c>
      <c r="V245" s="11">
        <v>3</v>
      </c>
      <c r="W245" s="11">
        <v>3</v>
      </c>
      <c r="X245" s="11">
        <v>3</v>
      </c>
      <c r="Y245" s="11">
        <v>3</v>
      </c>
      <c r="Z245" s="11">
        <v>3</v>
      </c>
      <c r="AA245" s="11">
        <v>3</v>
      </c>
      <c r="AB245" s="11">
        <v>2</v>
      </c>
      <c r="AC245" s="11">
        <v>2</v>
      </c>
      <c r="AD245" s="11">
        <v>2</v>
      </c>
      <c r="AE245" s="11">
        <v>2</v>
      </c>
      <c r="AF245" s="11">
        <v>2</v>
      </c>
      <c r="AG245" s="11">
        <v>2</v>
      </c>
      <c r="AH245" s="11">
        <v>2</v>
      </c>
      <c r="AI245" s="11">
        <v>2</v>
      </c>
      <c r="AJ245" s="11">
        <v>2</v>
      </c>
      <c r="AK245" s="11">
        <v>2</v>
      </c>
      <c r="AL245" s="11">
        <v>1</v>
      </c>
      <c r="AM245" s="13">
        <v>0</v>
      </c>
    </row>
    <row r="246" spans="1:44">
      <c r="G246" s="222" t="s">
        <v>151</v>
      </c>
      <c r="H246" s="222" t="s">
        <v>276</v>
      </c>
      <c r="I246" s="218" t="s">
        <v>152</v>
      </c>
      <c r="J246" s="22">
        <v>100</v>
      </c>
      <c r="K246" s="22">
        <v>500</v>
      </c>
      <c r="M246" s="13" t="s">
        <v>159</v>
      </c>
      <c r="N246" s="11">
        <v>2</v>
      </c>
      <c r="O246" s="11">
        <v>11.24</v>
      </c>
      <c r="P246" s="11">
        <v>11.34</v>
      </c>
      <c r="Q246" s="14">
        <v>2</v>
      </c>
      <c r="R246" s="14">
        <v>11.53</v>
      </c>
      <c r="S246" s="222">
        <v>1</v>
      </c>
      <c r="T246" s="11">
        <v>1</v>
      </c>
      <c r="U246" s="11">
        <v>1</v>
      </c>
      <c r="V246" s="11">
        <v>1</v>
      </c>
      <c r="W246" s="11">
        <v>1</v>
      </c>
      <c r="X246" s="11">
        <v>1</v>
      </c>
      <c r="Y246" s="11">
        <v>1</v>
      </c>
      <c r="Z246" s="11">
        <v>1</v>
      </c>
      <c r="AA246" s="11">
        <v>1</v>
      </c>
      <c r="AB246" s="11">
        <v>0</v>
      </c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3"/>
    </row>
    <row r="247" spans="1:44">
      <c r="G247" s="222" t="s">
        <v>151</v>
      </c>
      <c r="H247" s="222" t="s">
        <v>276</v>
      </c>
      <c r="I247" s="218" t="s">
        <v>152</v>
      </c>
      <c r="J247" s="22">
        <v>100</v>
      </c>
      <c r="K247" s="22">
        <v>500</v>
      </c>
      <c r="M247" s="13" t="s">
        <v>160</v>
      </c>
      <c r="N247" s="11">
        <v>2</v>
      </c>
      <c r="O247" s="11">
        <v>11.39</v>
      </c>
      <c r="P247" s="11">
        <v>11.48</v>
      </c>
      <c r="Q247" s="14">
        <v>2</v>
      </c>
      <c r="R247" s="14">
        <v>12.06</v>
      </c>
      <c r="S247" s="222">
        <v>2</v>
      </c>
      <c r="T247" s="11">
        <v>2</v>
      </c>
      <c r="U247" s="11">
        <v>2</v>
      </c>
      <c r="V247" s="11">
        <v>0</v>
      </c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3"/>
    </row>
    <row r="248" spans="1:44">
      <c r="G248" s="222" t="s">
        <v>151</v>
      </c>
      <c r="H248" s="222" t="s">
        <v>276</v>
      </c>
      <c r="I248" s="218" t="s">
        <v>152</v>
      </c>
      <c r="J248" s="22">
        <v>100</v>
      </c>
      <c r="K248" s="22">
        <v>500</v>
      </c>
      <c r="M248" s="13" t="s">
        <v>161</v>
      </c>
      <c r="N248" s="11">
        <v>3</v>
      </c>
      <c r="O248" s="11">
        <v>11.5</v>
      </c>
      <c r="P248" s="11">
        <v>12.02</v>
      </c>
      <c r="Q248" s="14">
        <v>3</v>
      </c>
      <c r="R248" s="14">
        <v>12.19</v>
      </c>
      <c r="S248" s="222">
        <v>2</v>
      </c>
      <c r="T248" s="11">
        <v>2</v>
      </c>
      <c r="U248" s="11">
        <v>0</v>
      </c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3"/>
    </row>
    <row r="249" spans="1:44" s="311" customFormat="1" ht="15.75" thickBot="1">
      <c r="A249" s="321"/>
      <c r="B249" s="321"/>
      <c r="C249" s="321"/>
      <c r="D249" s="321"/>
      <c r="E249" s="321"/>
      <c r="F249" s="321"/>
      <c r="G249" s="306" t="s">
        <v>151</v>
      </c>
      <c r="H249" s="306" t="s">
        <v>276</v>
      </c>
      <c r="I249" s="325" t="s">
        <v>152</v>
      </c>
      <c r="J249" s="311">
        <v>100</v>
      </c>
      <c r="K249" s="311">
        <v>500</v>
      </c>
      <c r="L249" s="319"/>
      <c r="M249" s="305" t="s">
        <v>162</v>
      </c>
      <c r="N249" s="308">
        <v>1</v>
      </c>
      <c r="O249" s="308">
        <v>12.04</v>
      </c>
      <c r="P249" s="308">
        <v>12.15</v>
      </c>
      <c r="Q249" s="309">
        <v>1</v>
      </c>
      <c r="R249" s="309">
        <v>12.3</v>
      </c>
      <c r="S249" s="306">
        <v>1</v>
      </c>
      <c r="T249" s="308">
        <v>0</v>
      </c>
      <c r="U249" s="308"/>
      <c r="V249" s="308"/>
      <c r="W249" s="308"/>
      <c r="X249" s="308"/>
      <c r="Y249" s="308"/>
      <c r="Z249" s="308"/>
      <c r="AA249" s="308"/>
      <c r="AB249" s="308"/>
      <c r="AC249" s="308"/>
      <c r="AD249" s="308"/>
      <c r="AE249" s="308"/>
      <c r="AF249" s="308"/>
      <c r="AG249" s="308"/>
      <c r="AH249" s="308"/>
      <c r="AI249" s="308"/>
      <c r="AJ249" s="308"/>
      <c r="AK249" s="308"/>
      <c r="AL249" s="308"/>
      <c r="AM249" s="305"/>
      <c r="AN249" s="309"/>
      <c r="AR249" s="303"/>
    </row>
    <row r="250" spans="1:44">
      <c r="A250" s="222">
        <v>17</v>
      </c>
      <c r="B250" s="105">
        <v>45958</v>
      </c>
      <c r="C250" s="31" t="s">
        <v>341</v>
      </c>
      <c r="D250" s="31" t="s">
        <v>348</v>
      </c>
      <c r="F250" s="31" t="s">
        <v>331</v>
      </c>
      <c r="G250" s="104" t="s">
        <v>163</v>
      </c>
      <c r="H250" s="222" t="s">
        <v>276</v>
      </c>
      <c r="I250" s="389" t="s">
        <v>224</v>
      </c>
      <c r="J250" s="11">
        <v>100</v>
      </c>
      <c r="K250" s="11">
        <v>500</v>
      </c>
      <c r="L250" s="41">
        <v>70</v>
      </c>
      <c r="M250" s="13" t="s">
        <v>349</v>
      </c>
      <c r="N250" s="11">
        <v>3</v>
      </c>
      <c r="O250" s="11">
        <v>10.45</v>
      </c>
      <c r="P250" s="11">
        <v>11.03</v>
      </c>
      <c r="Q250" s="14">
        <v>3</v>
      </c>
      <c r="R250" s="14">
        <v>11.16</v>
      </c>
      <c r="S250" s="222">
        <v>1</v>
      </c>
      <c r="T250" s="11">
        <v>1</v>
      </c>
      <c r="U250" s="11">
        <v>1</v>
      </c>
      <c r="V250" s="11">
        <v>1</v>
      </c>
      <c r="W250" s="11">
        <v>1</v>
      </c>
      <c r="X250" s="11">
        <v>1</v>
      </c>
      <c r="Y250" s="11">
        <v>1</v>
      </c>
      <c r="Z250" s="11">
        <v>1</v>
      </c>
      <c r="AA250" s="11">
        <v>1</v>
      </c>
      <c r="AB250" s="11">
        <v>1</v>
      </c>
      <c r="AC250" s="11">
        <v>1</v>
      </c>
      <c r="AD250" s="11">
        <v>1</v>
      </c>
      <c r="AE250" s="11">
        <v>1</v>
      </c>
      <c r="AF250" s="11">
        <v>1</v>
      </c>
      <c r="AG250" s="11"/>
      <c r="AR250" s="43" t="s">
        <v>247</v>
      </c>
    </row>
    <row r="251" spans="1:44">
      <c r="D251" s="31" t="s">
        <v>350</v>
      </c>
      <c r="G251" s="222" t="s">
        <v>163</v>
      </c>
      <c r="H251" s="222" t="s">
        <v>276</v>
      </c>
      <c r="I251" s="218" t="s">
        <v>224</v>
      </c>
      <c r="J251" s="22">
        <v>100</v>
      </c>
      <c r="K251" s="22">
        <v>500</v>
      </c>
      <c r="M251" s="13" t="s">
        <v>351</v>
      </c>
      <c r="N251" s="11">
        <v>3</v>
      </c>
      <c r="O251" s="11">
        <v>11.05</v>
      </c>
      <c r="P251" s="11">
        <v>11.17</v>
      </c>
      <c r="Q251" s="14">
        <v>3</v>
      </c>
      <c r="R251" s="14">
        <v>11.31</v>
      </c>
      <c r="S251" s="222">
        <v>0</v>
      </c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</row>
    <row r="252" spans="1:44">
      <c r="G252" s="222" t="s">
        <v>163</v>
      </c>
      <c r="H252" s="222" t="s">
        <v>276</v>
      </c>
      <c r="I252" s="218" t="s">
        <v>224</v>
      </c>
      <c r="J252" s="22">
        <v>100</v>
      </c>
      <c r="K252" s="22">
        <v>500</v>
      </c>
      <c r="M252" s="13" t="s">
        <v>352</v>
      </c>
      <c r="N252" s="11">
        <v>4</v>
      </c>
      <c r="O252" s="11">
        <v>11.2</v>
      </c>
      <c r="P252" s="11">
        <v>11.33</v>
      </c>
      <c r="Q252" s="14">
        <v>4</v>
      </c>
      <c r="R252" s="14">
        <v>11.48</v>
      </c>
      <c r="S252" s="222">
        <v>2</v>
      </c>
      <c r="T252" s="11">
        <v>2</v>
      </c>
      <c r="U252" s="11">
        <v>2</v>
      </c>
      <c r="V252" s="11">
        <v>2</v>
      </c>
      <c r="W252" s="11">
        <v>2</v>
      </c>
      <c r="X252" s="11">
        <v>2</v>
      </c>
      <c r="Y252" s="11">
        <v>2</v>
      </c>
      <c r="Z252" s="11">
        <v>2</v>
      </c>
      <c r="AA252" s="11">
        <v>2</v>
      </c>
      <c r="AB252" s="11">
        <v>2</v>
      </c>
      <c r="AC252" s="11">
        <v>2</v>
      </c>
      <c r="AD252" s="11">
        <v>2</v>
      </c>
      <c r="AE252" s="11">
        <v>2</v>
      </c>
      <c r="AF252" s="11"/>
      <c r="AG252" s="11"/>
    </row>
    <row r="253" spans="1:44">
      <c r="G253" s="222" t="s">
        <v>163</v>
      </c>
      <c r="H253" s="222" t="s">
        <v>276</v>
      </c>
      <c r="I253" s="218" t="s">
        <v>224</v>
      </c>
      <c r="J253" s="22">
        <v>100</v>
      </c>
      <c r="K253" s="22">
        <v>500</v>
      </c>
      <c r="M253" s="13" t="s">
        <v>353</v>
      </c>
      <c r="N253" s="11">
        <v>3</v>
      </c>
      <c r="O253" s="11">
        <v>11.37</v>
      </c>
      <c r="P253" s="11">
        <v>11.51</v>
      </c>
      <c r="Q253" s="14">
        <v>3</v>
      </c>
      <c r="R253" s="14">
        <v>12.04</v>
      </c>
      <c r="S253" s="222">
        <v>1</v>
      </c>
      <c r="T253" s="11">
        <v>1</v>
      </c>
      <c r="U253" s="11">
        <v>1</v>
      </c>
      <c r="V253" s="11">
        <v>1</v>
      </c>
      <c r="W253" s="11">
        <v>1</v>
      </c>
      <c r="X253" s="11">
        <v>1</v>
      </c>
      <c r="Y253" s="11">
        <v>1</v>
      </c>
      <c r="Z253" s="11">
        <v>1</v>
      </c>
      <c r="AA253" s="11">
        <v>1</v>
      </c>
      <c r="AB253" s="11">
        <v>1</v>
      </c>
      <c r="AC253" s="11">
        <v>1</v>
      </c>
      <c r="AD253" s="11">
        <v>1</v>
      </c>
      <c r="AE253" s="11">
        <v>1</v>
      </c>
      <c r="AF253" s="11">
        <v>1</v>
      </c>
      <c r="AG253" s="11"/>
    </row>
    <row r="254" spans="1:44">
      <c r="G254" s="222" t="s">
        <v>163</v>
      </c>
      <c r="H254" s="222" t="s">
        <v>276</v>
      </c>
      <c r="I254" s="218" t="s">
        <v>224</v>
      </c>
      <c r="J254" s="22">
        <v>100</v>
      </c>
      <c r="K254" s="22">
        <v>500</v>
      </c>
      <c r="M254" s="13" t="s">
        <v>354</v>
      </c>
      <c r="N254" s="11">
        <v>3</v>
      </c>
      <c r="O254" s="11">
        <v>11.52</v>
      </c>
      <c r="P254" s="11">
        <v>12.01</v>
      </c>
      <c r="Q254" s="14">
        <v>3</v>
      </c>
      <c r="R254" s="14">
        <v>12.16</v>
      </c>
      <c r="S254" s="222">
        <v>2</v>
      </c>
      <c r="T254" s="11">
        <v>2</v>
      </c>
      <c r="U254" s="11">
        <v>2</v>
      </c>
      <c r="V254" s="11">
        <v>2</v>
      </c>
      <c r="W254" s="11">
        <v>2</v>
      </c>
      <c r="X254" s="11">
        <v>2</v>
      </c>
      <c r="Y254" s="11">
        <v>2</v>
      </c>
      <c r="Z254" s="11">
        <v>2</v>
      </c>
      <c r="AA254" s="11">
        <v>2</v>
      </c>
      <c r="AB254" s="11">
        <v>2</v>
      </c>
      <c r="AC254" s="11">
        <v>2</v>
      </c>
      <c r="AD254" s="11">
        <v>2</v>
      </c>
      <c r="AE254" s="11">
        <v>2</v>
      </c>
      <c r="AF254" s="11">
        <v>2</v>
      </c>
      <c r="AG254" s="11">
        <v>1</v>
      </c>
    </row>
    <row r="255" spans="1:44">
      <c r="G255" s="222" t="s">
        <v>163</v>
      </c>
      <c r="H255" s="222" t="s">
        <v>276</v>
      </c>
      <c r="I255" s="218" t="s">
        <v>224</v>
      </c>
      <c r="J255" s="22">
        <v>100</v>
      </c>
      <c r="K255" s="22">
        <v>500</v>
      </c>
      <c r="M255" s="13" t="s">
        <v>355</v>
      </c>
      <c r="N255" s="11">
        <v>2</v>
      </c>
      <c r="O255" s="11">
        <v>12.01</v>
      </c>
      <c r="P255" s="11">
        <v>12.11</v>
      </c>
      <c r="Q255" s="14">
        <v>2</v>
      </c>
      <c r="R255" s="14">
        <v>12.3</v>
      </c>
      <c r="S255" s="222">
        <v>1</v>
      </c>
      <c r="T255" s="11">
        <v>1</v>
      </c>
      <c r="U255" s="11">
        <v>1</v>
      </c>
      <c r="V255" s="11">
        <v>1</v>
      </c>
      <c r="W255" s="11">
        <v>1</v>
      </c>
      <c r="X255" s="11">
        <v>1</v>
      </c>
      <c r="Y255" s="11">
        <v>1</v>
      </c>
      <c r="Z255" s="11">
        <v>1</v>
      </c>
      <c r="AA255" s="11">
        <v>1</v>
      </c>
      <c r="AB255" s="11">
        <v>1</v>
      </c>
      <c r="AC255" s="11">
        <v>1</v>
      </c>
      <c r="AD255" s="11">
        <v>1</v>
      </c>
      <c r="AE255" s="11"/>
      <c r="AF255" s="11"/>
      <c r="AG255" s="11"/>
    </row>
    <row r="256" spans="1:44">
      <c r="G256" s="222" t="s">
        <v>163</v>
      </c>
      <c r="H256" s="222" t="s">
        <v>276</v>
      </c>
      <c r="I256" s="218" t="s">
        <v>224</v>
      </c>
      <c r="J256" s="22">
        <v>100</v>
      </c>
      <c r="K256" s="22">
        <v>500</v>
      </c>
      <c r="M256" s="13" t="s">
        <v>356</v>
      </c>
      <c r="N256" s="11">
        <v>4</v>
      </c>
      <c r="O256" s="11">
        <v>12.12</v>
      </c>
      <c r="P256" s="11">
        <v>12.25</v>
      </c>
      <c r="Q256" s="14">
        <v>4</v>
      </c>
      <c r="R256" s="14">
        <v>12.39</v>
      </c>
      <c r="S256" s="222">
        <v>1</v>
      </c>
      <c r="T256" s="11">
        <v>1</v>
      </c>
      <c r="U256" s="11">
        <v>1</v>
      </c>
      <c r="V256" s="11">
        <v>1</v>
      </c>
      <c r="W256" s="11">
        <v>1</v>
      </c>
      <c r="X256" s="11">
        <v>1</v>
      </c>
      <c r="Y256" s="11">
        <v>1</v>
      </c>
      <c r="Z256" s="11">
        <v>1</v>
      </c>
      <c r="AA256" s="11">
        <v>1</v>
      </c>
      <c r="AB256" s="11">
        <v>1</v>
      </c>
      <c r="AC256" s="11">
        <v>1</v>
      </c>
      <c r="AD256" s="11">
        <v>1</v>
      </c>
      <c r="AE256" s="11"/>
      <c r="AF256" s="11"/>
      <c r="AG256" s="11"/>
    </row>
    <row r="257" spans="1:44">
      <c r="G257" s="222" t="s">
        <v>163</v>
      </c>
      <c r="H257" s="222" t="s">
        <v>276</v>
      </c>
      <c r="I257" s="218" t="s">
        <v>224</v>
      </c>
      <c r="J257" s="22">
        <v>100</v>
      </c>
      <c r="K257" s="22">
        <v>500</v>
      </c>
      <c r="M257" s="13" t="s">
        <v>357</v>
      </c>
      <c r="N257" s="11">
        <v>4</v>
      </c>
      <c r="O257" s="11">
        <v>12.27</v>
      </c>
      <c r="P257" s="11">
        <v>12.43</v>
      </c>
      <c r="Q257" s="14">
        <v>4</v>
      </c>
      <c r="R257" s="14">
        <v>12.57</v>
      </c>
      <c r="S257" s="222">
        <v>1</v>
      </c>
      <c r="T257" s="11">
        <v>1</v>
      </c>
      <c r="U257" s="11">
        <v>1</v>
      </c>
      <c r="V257" s="11">
        <v>1</v>
      </c>
      <c r="W257" s="11">
        <v>1</v>
      </c>
      <c r="X257" s="11">
        <v>1</v>
      </c>
      <c r="Y257" s="11">
        <v>1</v>
      </c>
      <c r="Z257" s="11">
        <v>1</v>
      </c>
      <c r="AA257" s="11">
        <v>1</v>
      </c>
      <c r="AB257" s="11">
        <v>1</v>
      </c>
      <c r="AC257" s="11">
        <v>1</v>
      </c>
      <c r="AD257" s="11"/>
      <c r="AE257" s="11"/>
      <c r="AF257" s="11"/>
      <c r="AG257" s="11"/>
    </row>
    <row r="258" spans="1:44">
      <c r="G258" s="222" t="s">
        <v>163</v>
      </c>
      <c r="H258" s="222" t="s">
        <v>276</v>
      </c>
      <c r="I258" s="218" t="s">
        <v>224</v>
      </c>
      <c r="J258" s="22">
        <v>100</v>
      </c>
      <c r="K258" s="22">
        <v>500</v>
      </c>
      <c r="M258" s="13" t="s">
        <v>358</v>
      </c>
      <c r="N258" s="11">
        <v>3</v>
      </c>
      <c r="O258" s="11">
        <v>12.45</v>
      </c>
      <c r="P258" s="11">
        <v>12.57</v>
      </c>
      <c r="Q258" s="14">
        <v>3</v>
      </c>
      <c r="R258" s="14">
        <v>13.13</v>
      </c>
      <c r="S258" s="222">
        <v>2</v>
      </c>
      <c r="T258" s="11">
        <v>2</v>
      </c>
      <c r="U258" s="11">
        <v>2</v>
      </c>
      <c r="V258" s="11">
        <v>2</v>
      </c>
      <c r="W258" s="11">
        <v>2</v>
      </c>
      <c r="X258" s="11">
        <v>2</v>
      </c>
      <c r="Y258" s="11">
        <v>2</v>
      </c>
      <c r="Z258" s="11">
        <v>2</v>
      </c>
      <c r="AA258" s="11">
        <v>2</v>
      </c>
      <c r="AB258" s="11">
        <v>2</v>
      </c>
      <c r="AC258" s="11">
        <v>2</v>
      </c>
      <c r="AD258" s="11">
        <v>2</v>
      </c>
      <c r="AE258" s="11"/>
      <c r="AF258" s="11"/>
      <c r="AG258" s="11"/>
    </row>
    <row r="259" spans="1:44" s="23" customFormat="1">
      <c r="A259" s="42"/>
      <c r="B259" s="42"/>
      <c r="C259" s="31"/>
      <c r="D259" s="31"/>
      <c r="E259" s="31"/>
      <c r="F259" s="31"/>
      <c r="G259" s="18" t="s">
        <v>163</v>
      </c>
      <c r="H259" s="18" t="s">
        <v>276</v>
      </c>
      <c r="I259" s="219" t="s">
        <v>224</v>
      </c>
      <c r="J259" s="23">
        <v>100</v>
      </c>
      <c r="K259" s="23">
        <v>500</v>
      </c>
      <c r="L259" s="53"/>
      <c r="M259" s="19" t="s">
        <v>359</v>
      </c>
      <c r="N259" s="28">
        <v>4</v>
      </c>
      <c r="O259" s="28">
        <v>12.58</v>
      </c>
      <c r="P259" s="28">
        <v>13.11</v>
      </c>
      <c r="Q259" s="20">
        <v>4</v>
      </c>
      <c r="R259" s="20">
        <v>13.27</v>
      </c>
      <c r="S259" s="18">
        <v>1</v>
      </c>
      <c r="T259" s="28">
        <v>1</v>
      </c>
      <c r="U259" s="28">
        <v>1</v>
      </c>
      <c r="V259" s="28">
        <v>1</v>
      </c>
      <c r="W259" s="28">
        <v>1</v>
      </c>
      <c r="X259" s="28">
        <v>1</v>
      </c>
      <c r="Y259" s="28">
        <v>1</v>
      </c>
      <c r="Z259" s="28">
        <v>1</v>
      </c>
      <c r="AA259" s="28">
        <v>1</v>
      </c>
      <c r="AB259" s="28">
        <v>1</v>
      </c>
      <c r="AC259" s="28">
        <v>1</v>
      </c>
      <c r="AD259" s="28">
        <v>1</v>
      </c>
      <c r="AE259" s="28">
        <v>1</v>
      </c>
      <c r="AF259" s="28"/>
      <c r="AG259" s="28"/>
      <c r="AM259" s="53"/>
      <c r="AN259" s="20"/>
      <c r="AR259" s="45"/>
    </row>
    <row r="260" spans="1:44">
      <c r="G260" s="222" t="s">
        <v>163</v>
      </c>
      <c r="H260" s="222" t="s">
        <v>276</v>
      </c>
      <c r="I260" s="218" t="s">
        <v>164</v>
      </c>
      <c r="J260" s="22">
        <v>100</v>
      </c>
      <c r="K260" s="22">
        <v>500</v>
      </c>
      <c r="L260" s="41">
        <v>80</v>
      </c>
      <c r="M260" s="13" t="s">
        <v>153</v>
      </c>
      <c r="N260" s="11">
        <v>1</v>
      </c>
      <c r="O260" s="11">
        <v>10.44</v>
      </c>
      <c r="P260" s="11">
        <v>10.54</v>
      </c>
      <c r="Q260" s="14">
        <v>1</v>
      </c>
      <c r="R260" s="14" t="s">
        <v>165</v>
      </c>
      <c r="S260" s="222">
        <v>0</v>
      </c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R260" s="43" t="s">
        <v>260</v>
      </c>
    </row>
    <row r="261" spans="1:44">
      <c r="G261" s="222" t="s">
        <v>163</v>
      </c>
      <c r="H261" s="222" t="s">
        <v>276</v>
      </c>
      <c r="I261" s="218" t="s">
        <v>164</v>
      </c>
      <c r="J261" s="22">
        <v>100</v>
      </c>
      <c r="K261" s="22">
        <v>500</v>
      </c>
      <c r="M261" s="13" t="s">
        <v>154</v>
      </c>
      <c r="N261" s="11">
        <v>3</v>
      </c>
      <c r="O261" s="11">
        <v>10.55</v>
      </c>
      <c r="P261" s="11">
        <v>11.06</v>
      </c>
      <c r="Q261" s="14">
        <v>3</v>
      </c>
      <c r="R261" s="14">
        <v>11.22</v>
      </c>
      <c r="S261" s="222">
        <v>0</v>
      </c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spans="1:44">
      <c r="G262" s="222" t="s">
        <v>163</v>
      </c>
      <c r="H262" s="222" t="s">
        <v>276</v>
      </c>
      <c r="I262" s="218" t="s">
        <v>164</v>
      </c>
      <c r="J262" s="22">
        <v>100</v>
      </c>
      <c r="K262" s="22">
        <v>500</v>
      </c>
      <c r="M262" s="13" t="s">
        <v>155</v>
      </c>
      <c r="N262" s="11">
        <v>3</v>
      </c>
      <c r="O262" s="11">
        <v>11.11</v>
      </c>
      <c r="P262" s="11">
        <v>11.21</v>
      </c>
      <c r="Q262" s="14">
        <v>3</v>
      </c>
      <c r="R262" s="14">
        <v>11.37</v>
      </c>
      <c r="S262" s="222">
        <v>1</v>
      </c>
      <c r="T262" s="11">
        <v>1</v>
      </c>
      <c r="U262" s="11">
        <v>1</v>
      </c>
      <c r="V262" s="11">
        <v>1</v>
      </c>
      <c r="W262" s="11">
        <v>1</v>
      </c>
      <c r="X262" s="11">
        <v>1</v>
      </c>
      <c r="Y262" s="11">
        <v>1</v>
      </c>
      <c r="Z262" s="11">
        <v>1</v>
      </c>
      <c r="AA262" s="11">
        <v>1</v>
      </c>
      <c r="AB262" s="11">
        <v>1</v>
      </c>
      <c r="AC262" s="11">
        <v>1</v>
      </c>
      <c r="AD262" s="11">
        <v>1</v>
      </c>
      <c r="AE262" s="11">
        <v>1</v>
      </c>
      <c r="AF262" s="11">
        <v>1</v>
      </c>
      <c r="AG262" s="11">
        <v>0</v>
      </c>
      <c r="AH262" s="11"/>
      <c r="AI262" s="11"/>
      <c r="AJ262" s="11"/>
      <c r="AK262" s="11"/>
    </row>
    <row r="263" spans="1:44">
      <c r="G263" s="222" t="s">
        <v>163</v>
      </c>
      <c r="H263" s="222" t="s">
        <v>276</v>
      </c>
      <c r="I263" s="218" t="s">
        <v>164</v>
      </c>
      <c r="J263" s="22">
        <v>100</v>
      </c>
      <c r="K263" s="22">
        <v>500</v>
      </c>
      <c r="M263" s="13" t="s">
        <v>156</v>
      </c>
      <c r="N263" s="11">
        <v>3</v>
      </c>
      <c r="O263" s="11">
        <v>11.24</v>
      </c>
      <c r="P263" s="11">
        <v>11.35</v>
      </c>
      <c r="Q263" s="14">
        <v>3</v>
      </c>
      <c r="R263" s="14">
        <v>11.5</v>
      </c>
      <c r="S263" s="222">
        <v>1</v>
      </c>
      <c r="T263" s="11">
        <v>1</v>
      </c>
      <c r="U263" s="11">
        <v>1</v>
      </c>
      <c r="V263" s="11">
        <v>1</v>
      </c>
      <c r="W263" s="11">
        <v>1</v>
      </c>
      <c r="X263" s="11">
        <v>1</v>
      </c>
      <c r="Y263" s="11">
        <v>1</v>
      </c>
      <c r="Z263" s="11">
        <v>1</v>
      </c>
      <c r="AA263" s="11">
        <v>1</v>
      </c>
      <c r="AB263" s="11">
        <v>1</v>
      </c>
      <c r="AC263" s="11">
        <v>1</v>
      </c>
      <c r="AD263" s="11">
        <v>1</v>
      </c>
      <c r="AE263" s="11">
        <v>1</v>
      </c>
      <c r="AF263" s="11">
        <v>1</v>
      </c>
      <c r="AG263" s="11">
        <v>1</v>
      </c>
      <c r="AH263" s="11">
        <v>1</v>
      </c>
      <c r="AI263" s="11">
        <v>1</v>
      </c>
      <c r="AJ263" s="11"/>
      <c r="AK263" s="11"/>
    </row>
    <row r="264" spans="1:44">
      <c r="G264" s="222" t="s">
        <v>163</v>
      </c>
      <c r="H264" s="222" t="s">
        <v>276</v>
      </c>
      <c r="I264" s="218" t="s">
        <v>164</v>
      </c>
      <c r="J264" s="22">
        <v>100</v>
      </c>
      <c r="K264" s="22">
        <v>500</v>
      </c>
      <c r="M264" s="13" t="s">
        <v>157</v>
      </c>
      <c r="N264" s="11">
        <v>3</v>
      </c>
      <c r="O264" s="11">
        <v>11.4</v>
      </c>
      <c r="P264" s="11">
        <v>11.51</v>
      </c>
      <c r="Q264" s="14">
        <v>3</v>
      </c>
      <c r="R264" s="14">
        <v>12.07</v>
      </c>
      <c r="S264" s="222">
        <v>0</v>
      </c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spans="1:44">
      <c r="G265" s="222" t="s">
        <v>163</v>
      </c>
      <c r="H265" s="222" t="s">
        <v>276</v>
      </c>
      <c r="I265" s="218" t="s">
        <v>164</v>
      </c>
      <c r="J265" s="22">
        <v>100</v>
      </c>
      <c r="K265" s="22">
        <v>500</v>
      </c>
      <c r="M265" s="13" t="s">
        <v>158</v>
      </c>
      <c r="N265" s="11">
        <v>2</v>
      </c>
      <c r="O265" s="11">
        <v>11.53</v>
      </c>
      <c r="P265" s="11">
        <v>12.03</v>
      </c>
      <c r="Q265" s="14">
        <v>2</v>
      </c>
      <c r="R265" s="14">
        <v>12.17</v>
      </c>
      <c r="S265" s="222">
        <v>1</v>
      </c>
      <c r="T265" s="11">
        <v>1</v>
      </c>
      <c r="U265" s="11">
        <v>1</v>
      </c>
      <c r="V265" s="11">
        <v>1</v>
      </c>
      <c r="W265" s="11">
        <v>1</v>
      </c>
      <c r="X265" s="11">
        <v>1</v>
      </c>
      <c r="Y265" s="11"/>
      <c r="Z265" s="11">
        <v>1</v>
      </c>
      <c r="AA265" s="11">
        <v>1</v>
      </c>
      <c r="AB265" s="11">
        <v>1</v>
      </c>
      <c r="AC265" s="11">
        <v>1</v>
      </c>
      <c r="AD265" s="11">
        <v>1</v>
      </c>
      <c r="AE265" s="11">
        <v>1</v>
      </c>
      <c r="AF265" s="11">
        <v>1</v>
      </c>
      <c r="AG265" s="11">
        <v>1</v>
      </c>
      <c r="AH265" s="11">
        <v>1</v>
      </c>
      <c r="AI265" s="11">
        <v>1</v>
      </c>
      <c r="AJ265" s="11"/>
      <c r="AK265" s="11"/>
    </row>
    <row r="266" spans="1:44">
      <c r="G266" s="222" t="s">
        <v>163</v>
      </c>
      <c r="H266" s="222" t="s">
        <v>276</v>
      </c>
      <c r="I266" s="218" t="s">
        <v>164</v>
      </c>
      <c r="J266" s="22">
        <v>100</v>
      </c>
      <c r="K266" s="22">
        <v>500</v>
      </c>
      <c r="M266" s="13" t="s">
        <v>159</v>
      </c>
      <c r="N266" s="11">
        <v>2</v>
      </c>
      <c r="O266" s="11">
        <v>12.07</v>
      </c>
      <c r="P266" s="11">
        <v>12.17</v>
      </c>
      <c r="Q266" s="14">
        <v>2</v>
      </c>
      <c r="R266" s="14">
        <v>12.32</v>
      </c>
      <c r="S266" s="222">
        <v>1</v>
      </c>
      <c r="T266" s="11">
        <v>1</v>
      </c>
      <c r="U266" s="11">
        <v>1</v>
      </c>
      <c r="V266" s="11">
        <v>1</v>
      </c>
      <c r="W266" s="11">
        <v>1</v>
      </c>
      <c r="X266" s="11">
        <v>1</v>
      </c>
      <c r="Y266" s="11">
        <v>1</v>
      </c>
      <c r="Z266" s="11">
        <v>1</v>
      </c>
      <c r="AA266" s="11">
        <v>1</v>
      </c>
      <c r="AB266" s="11">
        <v>1</v>
      </c>
      <c r="AC266" s="11">
        <v>1</v>
      </c>
      <c r="AD266" s="11">
        <v>1</v>
      </c>
      <c r="AE266" s="11">
        <v>1</v>
      </c>
      <c r="AF266" s="11"/>
      <c r="AG266" s="11"/>
      <c r="AH266" s="11"/>
      <c r="AI266" s="11"/>
      <c r="AJ266" s="11"/>
      <c r="AK266" s="11"/>
    </row>
    <row r="267" spans="1:44">
      <c r="G267" s="222" t="s">
        <v>163</v>
      </c>
      <c r="H267" s="222" t="s">
        <v>276</v>
      </c>
      <c r="I267" s="218" t="s">
        <v>164</v>
      </c>
      <c r="J267" s="22">
        <v>100</v>
      </c>
      <c r="K267" s="22">
        <v>500</v>
      </c>
      <c r="M267" s="13" t="s">
        <v>160</v>
      </c>
      <c r="N267" s="11">
        <v>3</v>
      </c>
      <c r="O267" s="11">
        <v>12.2</v>
      </c>
      <c r="P267" s="11">
        <v>12.31</v>
      </c>
      <c r="Q267" s="14">
        <v>3</v>
      </c>
      <c r="R267" s="14">
        <v>12.46</v>
      </c>
      <c r="S267" s="222">
        <v>0</v>
      </c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spans="1:44">
      <c r="G268" s="222" t="s">
        <v>163</v>
      </c>
      <c r="H268" s="222" t="s">
        <v>276</v>
      </c>
      <c r="I268" s="218" t="s">
        <v>164</v>
      </c>
      <c r="J268" s="22">
        <v>100</v>
      </c>
      <c r="K268" s="22">
        <v>500</v>
      </c>
      <c r="M268" s="13" t="s">
        <v>161</v>
      </c>
      <c r="N268" s="11">
        <v>3</v>
      </c>
      <c r="O268" s="11">
        <v>12.33</v>
      </c>
      <c r="P268" s="11">
        <v>12.41</v>
      </c>
      <c r="Q268" s="14">
        <v>3</v>
      </c>
      <c r="R268" s="14">
        <v>12.55</v>
      </c>
      <c r="S268" s="222">
        <v>0</v>
      </c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spans="1:44">
      <c r="G269" s="222" t="s">
        <v>163</v>
      </c>
      <c r="H269" s="222" t="s">
        <v>276</v>
      </c>
      <c r="I269" s="218" t="s">
        <v>164</v>
      </c>
      <c r="J269" s="22">
        <v>100</v>
      </c>
      <c r="K269" s="22">
        <v>500</v>
      </c>
      <c r="M269" s="13" t="s">
        <v>162</v>
      </c>
      <c r="N269" s="11">
        <v>3</v>
      </c>
      <c r="O269" s="11">
        <v>12.44</v>
      </c>
      <c r="P269" s="11">
        <v>12.52</v>
      </c>
      <c r="Q269" s="14">
        <v>3</v>
      </c>
      <c r="R269" s="14">
        <v>13.05</v>
      </c>
      <c r="S269" s="222">
        <v>1</v>
      </c>
      <c r="T269" s="11">
        <v>1</v>
      </c>
      <c r="U269" s="11">
        <v>1</v>
      </c>
      <c r="V269" s="11">
        <v>1</v>
      </c>
      <c r="W269" s="11">
        <v>0</v>
      </c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spans="1:44" s="311" customFormat="1" ht="15.75" thickBot="1">
      <c r="A270" s="321"/>
      <c r="B270" s="321"/>
      <c r="C270" s="321"/>
      <c r="D270" s="321"/>
      <c r="E270" s="321"/>
      <c r="F270" s="321"/>
      <c r="G270" s="306" t="s">
        <v>163</v>
      </c>
      <c r="H270" s="306" t="s">
        <v>276</v>
      </c>
      <c r="I270" s="325" t="s">
        <v>164</v>
      </c>
      <c r="J270" s="311">
        <v>100</v>
      </c>
      <c r="K270" s="311">
        <v>500</v>
      </c>
      <c r="L270" s="319"/>
      <c r="M270" s="305" t="s">
        <v>166</v>
      </c>
      <c r="N270" s="308">
        <v>3</v>
      </c>
      <c r="O270" s="308">
        <v>12.54</v>
      </c>
      <c r="P270" s="308">
        <v>13.04</v>
      </c>
      <c r="Q270" s="309">
        <v>3</v>
      </c>
      <c r="R270" s="309">
        <v>12.21</v>
      </c>
      <c r="S270" s="306">
        <v>1</v>
      </c>
      <c r="T270" s="308">
        <v>1</v>
      </c>
      <c r="U270" s="308">
        <v>1</v>
      </c>
      <c r="V270" s="308">
        <v>1</v>
      </c>
      <c r="W270" s="308">
        <v>1</v>
      </c>
      <c r="X270" s="308">
        <v>1</v>
      </c>
      <c r="Y270" s="308">
        <v>1</v>
      </c>
      <c r="Z270" s="308">
        <v>1</v>
      </c>
      <c r="AA270" s="308">
        <v>1</v>
      </c>
      <c r="AB270" s="308">
        <v>1</v>
      </c>
      <c r="AC270" s="308">
        <v>1</v>
      </c>
      <c r="AD270" s="308">
        <v>0</v>
      </c>
      <c r="AE270" s="308"/>
      <c r="AF270" s="308"/>
      <c r="AG270" s="308"/>
      <c r="AH270" s="308"/>
      <c r="AI270" s="308"/>
      <c r="AJ270" s="308"/>
      <c r="AK270" s="308"/>
      <c r="AM270" s="319"/>
      <c r="AN270" s="309"/>
      <c r="AR270" s="303"/>
    </row>
    <row r="271" spans="1:44">
      <c r="A271" s="31">
        <v>18</v>
      </c>
      <c r="B271" s="44">
        <v>45960</v>
      </c>
      <c r="C271" s="31" t="s">
        <v>341</v>
      </c>
      <c r="D271" s="31" t="s">
        <v>360</v>
      </c>
      <c r="F271" s="31" t="s">
        <v>346</v>
      </c>
      <c r="G271" s="222" t="s">
        <v>167</v>
      </c>
      <c r="H271" s="222" t="s">
        <v>246</v>
      </c>
      <c r="I271" s="218" t="s">
        <v>168</v>
      </c>
      <c r="J271" s="22">
        <v>100</v>
      </c>
      <c r="K271" s="22">
        <v>500</v>
      </c>
      <c r="L271" s="41">
        <v>70</v>
      </c>
      <c r="M271" s="13" t="s">
        <v>349</v>
      </c>
      <c r="N271" s="11">
        <v>5</v>
      </c>
      <c r="O271" s="11">
        <v>9.59</v>
      </c>
      <c r="P271" s="11">
        <v>10.19</v>
      </c>
      <c r="Q271" s="14">
        <v>5</v>
      </c>
      <c r="R271" s="14">
        <v>10.35</v>
      </c>
      <c r="S271" s="222">
        <v>3</v>
      </c>
      <c r="T271" s="11">
        <v>3</v>
      </c>
      <c r="U271" s="11">
        <v>3</v>
      </c>
      <c r="V271" s="11">
        <v>3</v>
      </c>
      <c r="W271" s="11">
        <v>3</v>
      </c>
      <c r="X271" s="11">
        <v>3</v>
      </c>
      <c r="Y271" s="11">
        <v>3</v>
      </c>
      <c r="Z271" s="11">
        <v>3</v>
      </c>
      <c r="AA271" s="11">
        <v>3</v>
      </c>
      <c r="AB271" s="11">
        <v>3</v>
      </c>
      <c r="AC271" s="11">
        <v>3</v>
      </c>
      <c r="AD271" s="11">
        <v>3</v>
      </c>
      <c r="AE271" s="11">
        <v>3</v>
      </c>
      <c r="AF271" s="11"/>
      <c r="AG271" s="11"/>
      <c r="AH271" s="11"/>
      <c r="AI271" s="11"/>
      <c r="AJ271" s="11"/>
      <c r="AK271" s="11"/>
      <c r="AL271" s="11"/>
      <c r="AM271" s="13"/>
      <c r="AO271" s="11"/>
      <c r="AP271" s="11"/>
      <c r="AQ271" s="11"/>
      <c r="AR271" s="43" t="s">
        <v>247</v>
      </c>
    </row>
    <row r="272" spans="1:44">
      <c r="D272" s="31" t="s">
        <v>361</v>
      </c>
      <c r="G272" s="222" t="s">
        <v>167</v>
      </c>
      <c r="H272" s="222" t="s">
        <v>246</v>
      </c>
      <c r="I272" s="218" t="s">
        <v>168</v>
      </c>
      <c r="J272" s="22">
        <v>100</v>
      </c>
      <c r="K272" s="22">
        <v>500</v>
      </c>
      <c r="M272" s="13" t="s">
        <v>351</v>
      </c>
      <c r="N272" s="11">
        <v>4</v>
      </c>
      <c r="O272" s="11">
        <v>10.210000000000001</v>
      </c>
      <c r="P272" s="11">
        <v>10.34</v>
      </c>
      <c r="Q272" s="14">
        <v>4</v>
      </c>
      <c r="R272" s="14">
        <v>10.48</v>
      </c>
      <c r="S272" s="222">
        <v>1</v>
      </c>
      <c r="T272" s="11">
        <v>1</v>
      </c>
      <c r="U272" s="11">
        <v>1</v>
      </c>
      <c r="V272" s="11">
        <v>1</v>
      </c>
      <c r="W272" s="11">
        <v>1</v>
      </c>
      <c r="X272" s="11">
        <v>1</v>
      </c>
      <c r="Y272" s="11">
        <v>1</v>
      </c>
      <c r="Z272" s="11">
        <v>1</v>
      </c>
      <c r="AA272" s="11">
        <v>1</v>
      </c>
      <c r="AB272" s="11">
        <v>1</v>
      </c>
      <c r="AC272" s="11">
        <v>1</v>
      </c>
      <c r="AD272" s="11">
        <v>1</v>
      </c>
      <c r="AE272" s="11">
        <v>1</v>
      </c>
      <c r="AF272" s="11"/>
      <c r="AG272" s="11"/>
      <c r="AH272" s="11"/>
      <c r="AI272" s="11"/>
      <c r="AJ272" s="11"/>
      <c r="AK272" s="11"/>
      <c r="AL272" s="11"/>
      <c r="AM272" s="13"/>
      <c r="AO272" s="11"/>
      <c r="AP272" s="11"/>
      <c r="AQ272" s="11"/>
    </row>
    <row r="273" spans="1:44">
      <c r="G273" s="222" t="s">
        <v>167</v>
      </c>
      <c r="H273" s="222" t="s">
        <v>246</v>
      </c>
      <c r="I273" s="218" t="s">
        <v>168</v>
      </c>
      <c r="J273" s="22">
        <v>100</v>
      </c>
      <c r="K273" s="22">
        <v>500</v>
      </c>
      <c r="M273" s="13" t="s">
        <v>352</v>
      </c>
      <c r="N273" s="11">
        <v>4</v>
      </c>
      <c r="O273" s="11">
        <v>10.47</v>
      </c>
      <c r="P273" s="11">
        <v>11</v>
      </c>
      <c r="Q273" s="14">
        <v>4</v>
      </c>
      <c r="R273" s="14">
        <v>11.17</v>
      </c>
      <c r="S273" s="222">
        <v>1</v>
      </c>
      <c r="T273" s="11">
        <v>1</v>
      </c>
      <c r="U273" s="11">
        <v>1</v>
      </c>
      <c r="V273" s="11">
        <v>1</v>
      </c>
      <c r="W273" s="11">
        <v>1</v>
      </c>
      <c r="X273" s="11">
        <v>1</v>
      </c>
      <c r="Y273" s="11">
        <v>1</v>
      </c>
      <c r="Z273" s="11">
        <v>1</v>
      </c>
      <c r="AA273" s="11">
        <v>1</v>
      </c>
      <c r="AB273" s="11">
        <v>1</v>
      </c>
      <c r="AC273" s="11">
        <v>1</v>
      </c>
      <c r="AD273" s="11">
        <v>1</v>
      </c>
      <c r="AE273" s="11">
        <v>1</v>
      </c>
      <c r="AF273" s="11"/>
      <c r="AG273" s="11"/>
      <c r="AH273" s="11"/>
      <c r="AI273" s="11"/>
      <c r="AJ273" s="11"/>
      <c r="AK273" s="11"/>
      <c r="AL273" s="11"/>
      <c r="AM273" s="13"/>
      <c r="AO273" s="11"/>
      <c r="AP273" s="11"/>
      <c r="AQ273" s="11"/>
    </row>
    <row r="274" spans="1:44">
      <c r="G274" s="222" t="s">
        <v>167</v>
      </c>
      <c r="H274" s="222" t="s">
        <v>246</v>
      </c>
      <c r="I274" s="218" t="s">
        <v>168</v>
      </c>
      <c r="J274" s="22">
        <v>100</v>
      </c>
      <c r="K274" s="22">
        <v>500</v>
      </c>
      <c r="M274" s="13" t="s">
        <v>353</v>
      </c>
      <c r="N274" s="11">
        <v>3</v>
      </c>
      <c r="O274" s="11">
        <v>11.02</v>
      </c>
      <c r="P274" s="11">
        <v>11.15</v>
      </c>
      <c r="Q274" s="14">
        <v>3</v>
      </c>
      <c r="R274" s="14">
        <v>11.29</v>
      </c>
      <c r="S274" s="222">
        <v>1</v>
      </c>
      <c r="T274" s="11">
        <v>1</v>
      </c>
      <c r="U274" s="11">
        <v>1</v>
      </c>
      <c r="V274" s="11">
        <v>1</v>
      </c>
      <c r="W274" s="11">
        <v>1</v>
      </c>
      <c r="X274" s="11">
        <v>1</v>
      </c>
      <c r="Y274" s="11">
        <v>1</v>
      </c>
      <c r="Z274" s="11">
        <v>1</v>
      </c>
      <c r="AA274" s="11">
        <v>1</v>
      </c>
      <c r="AB274" s="11">
        <v>1</v>
      </c>
      <c r="AC274" s="11">
        <v>1</v>
      </c>
      <c r="AD274" s="11">
        <v>1</v>
      </c>
      <c r="AE274" s="11">
        <v>1</v>
      </c>
      <c r="AF274" s="11">
        <v>1</v>
      </c>
      <c r="AG274" s="11">
        <v>1</v>
      </c>
      <c r="AH274" s="11">
        <v>1</v>
      </c>
      <c r="AI274" s="11">
        <v>1</v>
      </c>
      <c r="AJ274" s="11">
        <v>1</v>
      </c>
      <c r="AK274" s="11"/>
      <c r="AL274" s="11"/>
      <c r="AM274" s="13"/>
      <c r="AO274" s="11"/>
      <c r="AP274" s="11"/>
      <c r="AQ274" s="11"/>
    </row>
    <row r="275" spans="1:44">
      <c r="G275" s="222" t="s">
        <v>167</v>
      </c>
      <c r="H275" s="222" t="s">
        <v>246</v>
      </c>
      <c r="I275" s="218" t="s">
        <v>168</v>
      </c>
      <c r="J275" s="22">
        <v>100</v>
      </c>
      <c r="K275" s="22">
        <v>500</v>
      </c>
      <c r="M275" s="13" t="s">
        <v>354</v>
      </c>
      <c r="N275" s="11">
        <v>3</v>
      </c>
      <c r="O275" s="11">
        <v>11.24</v>
      </c>
      <c r="P275" s="11">
        <v>11.33</v>
      </c>
      <c r="Q275" s="14">
        <v>3</v>
      </c>
      <c r="R275" s="14">
        <v>11.46</v>
      </c>
      <c r="S275" s="222">
        <v>0</v>
      </c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3"/>
      <c r="AO275" s="11"/>
      <c r="AP275" s="11"/>
      <c r="AQ275" s="11"/>
    </row>
    <row r="276" spans="1:44">
      <c r="G276" s="222" t="s">
        <v>167</v>
      </c>
      <c r="H276" s="222" t="s">
        <v>246</v>
      </c>
      <c r="I276" s="218" t="s">
        <v>168</v>
      </c>
      <c r="J276" s="22">
        <v>100</v>
      </c>
      <c r="K276" s="22">
        <v>500</v>
      </c>
      <c r="M276" s="13" t="s">
        <v>355</v>
      </c>
      <c r="N276" s="11">
        <v>4</v>
      </c>
      <c r="O276" s="11">
        <v>11.35</v>
      </c>
      <c r="P276" s="11">
        <v>11.48</v>
      </c>
      <c r="Q276" s="14">
        <v>4</v>
      </c>
      <c r="R276" s="14">
        <v>12.07</v>
      </c>
      <c r="S276" s="222">
        <v>0</v>
      </c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3"/>
      <c r="AO276" s="11"/>
      <c r="AP276" s="11"/>
      <c r="AQ276" s="11"/>
    </row>
    <row r="277" spans="1:44">
      <c r="G277" s="222" t="s">
        <v>167</v>
      </c>
      <c r="H277" s="222" t="s">
        <v>246</v>
      </c>
      <c r="I277" s="218" t="s">
        <v>168</v>
      </c>
      <c r="J277" s="22">
        <v>100</v>
      </c>
      <c r="K277" s="22">
        <v>500</v>
      </c>
      <c r="M277" s="46" t="s">
        <v>356</v>
      </c>
      <c r="N277" s="47">
        <v>4</v>
      </c>
      <c r="O277" s="47">
        <v>11.49</v>
      </c>
      <c r="P277" s="47">
        <v>12.05</v>
      </c>
      <c r="Q277" s="48">
        <v>4</v>
      </c>
      <c r="R277" s="48">
        <v>12.26</v>
      </c>
      <c r="S277" s="26">
        <v>3</v>
      </c>
      <c r="T277" s="47">
        <v>3</v>
      </c>
      <c r="U277" s="47">
        <v>3</v>
      </c>
      <c r="V277" s="47">
        <v>3</v>
      </c>
      <c r="W277" s="47">
        <v>3</v>
      </c>
      <c r="X277" s="47">
        <v>3</v>
      </c>
      <c r="Y277" s="47">
        <v>3</v>
      </c>
      <c r="Z277" s="47">
        <v>3</v>
      </c>
      <c r="AA277" s="47">
        <v>3</v>
      </c>
      <c r="AB277" s="47">
        <v>3</v>
      </c>
      <c r="AC277" s="47">
        <v>3</v>
      </c>
      <c r="AD277" s="47">
        <v>3</v>
      </c>
      <c r="AE277" s="47">
        <v>3</v>
      </c>
      <c r="AF277" s="47">
        <v>2</v>
      </c>
      <c r="AG277" s="47">
        <v>1</v>
      </c>
      <c r="AH277" s="47">
        <v>1</v>
      </c>
      <c r="AI277" s="47">
        <v>1</v>
      </c>
      <c r="AJ277" s="47">
        <v>1</v>
      </c>
      <c r="AK277" s="47">
        <v>1</v>
      </c>
      <c r="AL277" s="47">
        <v>1</v>
      </c>
      <c r="AM277" s="46">
        <v>1</v>
      </c>
      <c r="AN277" s="48">
        <v>1</v>
      </c>
      <c r="AO277" s="47"/>
      <c r="AP277" s="47" t="s">
        <v>220</v>
      </c>
      <c r="AQ277" s="396" t="s">
        <v>362</v>
      </c>
    </row>
    <row r="278" spans="1:44" s="23" customFormat="1">
      <c r="A278" s="31"/>
      <c r="B278" s="31"/>
      <c r="C278" s="31"/>
      <c r="D278" s="31"/>
      <c r="E278" s="31"/>
      <c r="F278" s="31"/>
      <c r="G278" s="18" t="s">
        <v>167</v>
      </c>
      <c r="H278" s="18" t="s">
        <v>246</v>
      </c>
      <c r="I278" s="219" t="s">
        <v>168</v>
      </c>
      <c r="J278" s="23">
        <v>100</v>
      </c>
      <c r="K278" s="23">
        <v>500</v>
      </c>
      <c r="L278" s="53"/>
      <c r="M278" s="19" t="s">
        <v>357</v>
      </c>
      <c r="N278" s="28">
        <v>4</v>
      </c>
      <c r="O278" s="28">
        <v>12.06</v>
      </c>
      <c r="P278" s="28">
        <v>12.31</v>
      </c>
      <c r="Q278" s="20">
        <v>4</v>
      </c>
      <c r="R278" s="20">
        <v>12.44</v>
      </c>
      <c r="S278" s="18">
        <v>0</v>
      </c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19"/>
      <c r="AN278" s="20"/>
      <c r="AO278" s="28"/>
      <c r="AP278" s="28"/>
      <c r="AQ278" s="28"/>
      <c r="AR278" s="45"/>
    </row>
    <row r="279" spans="1:44">
      <c r="G279" s="222" t="s">
        <v>167</v>
      </c>
      <c r="H279" s="222" t="s">
        <v>246</v>
      </c>
      <c r="I279" s="218" t="s">
        <v>168</v>
      </c>
      <c r="J279" s="22">
        <v>100</v>
      </c>
      <c r="K279" s="22">
        <v>500</v>
      </c>
      <c r="L279" s="41">
        <v>80</v>
      </c>
      <c r="M279" s="13" t="s">
        <v>153</v>
      </c>
      <c r="N279" s="11">
        <v>3</v>
      </c>
      <c r="O279" s="11">
        <v>10.01</v>
      </c>
      <c r="P279" s="11">
        <v>10.11</v>
      </c>
      <c r="Q279" s="14">
        <v>3</v>
      </c>
      <c r="R279" s="14">
        <v>10.27</v>
      </c>
      <c r="S279" s="222">
        <v>0</v>
      </c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R279" s="43" t="s">
        <v>260</v>
      </c>
    </row>
    <row r="280" spans="1:44">
      <c r="G280" s="222" t="s">
        <v>167</v>
      </c>
      <c r="H280" s="222" t="s">
        <v>246</v>
      </c>
      <c r="I280" s="218" t="s">
        <v>168</v>
      </c>
      <c r="J280" s="22">
        <v>100</v>
      </c>
      <c r="K280" s="22">
        <v>500</v>
      </c>
      <c r="M280" s="13" t="s">
        <v>154</v>
      </c>
      <c r="N280" s="11">
        <v>1</v>
      </c>
      <c r="O280" s="11">
        <v>10.119999999999999</v>
      </c>
      <c r="P280" s="11">
        <v>10.16</v>
      </c>
      <c r="Q280" s="14">
        <v>1</v>
      </c>
      <c r="R280" s="14">
        <v>10.34</v>
      </c>
      <c r="S280" s="222">
        <v>0</v>
      </c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</row>
    <row r="281" spans="1:44">
      <c r="G281" s="222" t="s">
        <v>167</v>
      </c>
      <c r="H281" s="222" t="s">
        <v>246</v>
      </c>
      <c r="I281" s="218" t="s">
        <v>168</v>
      </c>
      <c r="J281" s="22">
        <v>100</v>
      </c>
      <c r="K281" s="22">
        <v>500</v>
      </c>
      <c r="M281" s="13" t="s">
        <v>155</v>
      </c>
      <c r="N281" s="11">
        <v>3</v>
      </c>
      <c r="O281" s="11">
        <v>10.210000000000001</v>
      </c>
      <c r="P281" s="11">
        <v>10.35</v>
      </c>
      <c r="Q281" s="14">
        <v>3</v>
      </c>
      <c r="R281" s="14">
        <v>10.5</v>
      </c>
      <c r="S281" s="222">
        <v>2</v>
      </c>
      <c r="T281" s="11">
        <v>2</v>
      </c>
      <c r="U281" s="11">
        <v>2</v>
      </c>
      <c r="V281" s="11">
        <v>2</v>
      </c>
      <c r="W281" s="11">
        <v>2</v>
      </c>
      <c r="X281" s="11">
        <v>2</v>
      </c>
      <c r="Y281" s="11">
        <v>2</v>
      </c>
      <c r="Z281" s="11">
        <v>2</v>
      </c>
      <c r="AA281" s="11">
        <v>0</v>
      </c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 spans="1:44">
      <c r="G282" s="222" t="s">
        <v>167</v>
      </c>
      <c r="H282" s="222" t="s">
        <v>246</v>
      </c>
      <c r="I282" s="218" t="s">
        <v>168</v>
      </c>
      <c r="J282" s="22">
        <v>100</v>
      </c>
      <c r="K282" s="22">
        <v>500</v>
      </c>
      <c r="M282" s="13" t="s">
        <v>156</v>
      </c>
      <c r="N282" s="11">
        <v>3</v>
      </c>
      <c r="O282" s="11">
        <v>10.37</v>
      </c>
      <c r="P282" s="11">
        <v>10.5</v>
      </c>
      <c r="Q282" s="14">
        <v>3</v>
      </c>
      <c r="R282" s="14">
        <v>11.06</v>
      </c>
      <c r="S282" s="222">
        <v>0</v>
      </c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 spans="1:44">
      <c r="G283" s="222" t="s">
        <v>167</v>
      </c>
      <c r="H283" s="222" t="s">
        <v>246</v>
      </c>
      <c r="I283" s="218" t="s">
        <v>168</v>
      </c>
      <c r="J283" s="22">
        <v>100</v>
      </c>
      <c r="K283" s="22">
        <v>500</v>
      </c>
      <c r="M283" s="13" t="s">
        <v>157</v>
      </c>
      <c r="N283" s="11">
        <v>3</v>
      </c>
      <c r="O283" s="11">
        <v>10.53</v>
      </c>
      <c r="P283" s="11">
        <v>11.03</v>
      </c>
      <c r="Q283" s="14">
        <v>3</v>
      </c>
      <c r="R283" s="14">
        <v>11.19</v>
      </c>
      <c r="S283" s="222">
        <v>0</v>
      </c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</row>
    <row r="284" spans="1:44">
      <c r="G284" s="222" t="s">
        <v>167</v>
      </c>
      <c r="H284" s="222" t="s">
        <v>246</v>
      </c>
      <c r="I284" s="218" t="s">
        <v>168</v>
      </c>
      <c r="J284" s="22">
        <v>100</v>
      </c>
      <c r="K284" s="22">
        <v>500</v>
      </c>
      <c r="M284" s="13" t="s">
        <v>158</v>
      </c>
      <c r="N284" s="11">
        <v>3</v>
      </c>
      <c r="O284" s="11">
        <v>11.06</v>
      </c>
      <c r="P284" s="11">
        <v>11.19</v>
      </c>
      <c r="Q284" s="14">
        <v>3</v>
      </c>
      <c r="R284" s="14">
        <v>11.35</v>
      </c>
      <c r="S284" s="222">
        <v>1</v>
      </c>
      <c r="T284" s="11">
        <v>1</v>
      </c>
      <c r="U284" s="11">
        <v>1</v>
      </c>
      <c r="V284" s="11">
        <v>0</v>
      </c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</row>
    <row r="285" spans="1:44">
      <c r="G285" s="222" t="s">
        <v>167</v>
      </c>
      <c r="H285" s="222" t="s">
        <v>246</v>
      </c>
      <c r="I285" s="218" t="s">
        <v>168</v>
      </c>
      <c r="J285" s="22">
        <v>100</v>
      </c>
      <c r="K285" s="22">
        <v>500</v>
      </c>
      <c r="M285" s="13" t="s">
        <v>159</v>
      </c>
      <c r="N285" s="11">
        <v>3</v>
      </c>
      <c r="O285" s="11">
        <v>11.21</v>
      </c>
      <c r="P285" s="11">
        <v>11.33</v>
      </c>
      <c r="Q285" s="14">
        <v>3</v>
      </c>
      <c r="R285" s="14">
        <v>11.48</v>
      </c>
      <c r="S285" s="222">
        <v>0</v>
      </c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</row>
    <row r="286" spans="1:44">
      <c r="G286" s="222" t="s">
        <v>167</v>
      </c>
      <c r="H286" s="222" t="s">
        <v>246</v>
      </c>
      <c r="I286" s="218" t="s">
        <v>168</v>
      </c>
      <c r="J286" s="22">
        <v>100</v>
      </c>
      <c r="K286" s="22">
        <v>500</v>
      </c>
      <c r="M286" s="13" t="s">
        <v>160</v>
      </c>
      <c r="N286" s="11">
        <v>3</v>
      </c>
      <c r="O286" s="11">
        <v>11.35</v>
      </c>
      <c r="P286" s="11">
        <v>11.48</v>
      </c>
      <c r="Q286" s="14">
        <v>3</v>
      </c>
      <c r="R286" s="14">
        <v>12.09</v>
      </c>
      <c r="S286" s="222">
        <v>2</v>
      </c>
      <c r="T286" s="11">
        <v>2</v>
      </c>
      <c r="U286" s="11">
        <v>1</v>
      </c>
      <c r="V286" s="11">
        <v>0</v>
      </c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 spans="1:44">
      <c r="G287" s="222" t="s">
        <v>167</v>
      </c>
      <c r="H287" s="222" t="s">
        <v>246</v>
      </c>
      <c r="I287" s="218" t="s">
        <v>168</v>
      </c>
      <c r="J287" s="22">
        <v>100</v>
      </c>
      <c r="K287" s="22">
        <v>500</v>
      </c>
      <c r="M287" s="13" t="s">
        <v>161</v>
      </c>
      <c r="N287" s="11">
        <v>3</v>
      </c>
      <c r="O287" s="11">
        <v>11.5</v>
      </c>
      <c r="P287" s="11">
        <v>12.01</v>
      </c>
      <c r="Q287" s="14">
        <v>3</v>
      </c>
      <c r="R287" s="14">
        <v>12.17</v>
      </c>
      <c r="S287" s="222">
        <v>0</v>
      </c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</row>
    <row r="288" spans="1:44" s="311" customFormat="1" ht="15.75" thickBot="1">
      <c r="A288" s="321"/>
      <c r="B288" s="321"/>
      <c r="C288" s="321"/>
      <c r="D288" s="321"/>
      <c r="E288" s="321"/>
      <c r="F288" s="321"/>
      <c r="G288" s="306" t="s">
        <v>167</v>
      </c>
      <c r="H288" s="306" t="s">
        <v>246</v>
      </c>
      <c r="I288" s="325" t="s">
        <v>168</v>
      </c>
      <c r="J288" s="311">
        <v>100</v>
      </c>
      <c r="K288" s="311">
        <v>500</v>
      </c>
      <c r="L288" s="319"/>
      <c r="M288" s="305" t="s">
        <v>162</v>
      </c>
      <c r="N288" s="308">
        <v>1</v>
      </c>
      <c r="O288" s="308">
        <v>12.1</v>
      </c>
      <c r="P288" s="308">
        <v>12.19</v>
      </c>
      <c r="Q288" s="309">
        <v>1</v>
      </c>
      <c r="R288" s="309">
        <v>12.34</v>
      </c>
      <c r="S288" s="306">
        <v>0</v>
      </c>
      <c r="T288" s="308"/>
      <c r="U288" s="308"/>
      <c r="V288" s="308"/>
      <c r="W288" s="308"/>
      <c r="X288" s="308"/>
      <c r="Y288" s="308"/>
      <c r="Z288" s="308"/>
      <c r="AA288" s="308"/>
      <c r="AB288" s="308"/>
      <c r="AC288" s="308"/>
      <c r="AD288" s="308"/>
      <c r="AE288" s="308"/>
      <c r="AF288" s="308"/>
      <c r="AG288" s="308"/>
      <c r="AH288" s="308"/>
      <c r="AI288" s="308"/>
      <c r="AJ288" s="308"/>
      <c r="AK288" s="308"/>
      <c r="AL288" s="308"/>
      <c r="AM288" s="319"/>
      <c r="AN288" s="309"/>
      <c r="AR288" s="303"/>
    </row>
    <row r="289" spans="1:44">
      <c r="A289" s="375">
        <v>19</v>
      </c>
      <c r="B289" s="105">
        <v>45961</v>
      </c>
      <c r="C289" s="31" t="s">
        <v>341</v>
      </c>
      <c r="D289" s="31" t="s">
        <v>363</v>
      </c>
      <c r="F289" s="31" t="s">
        <v>346</v>
      </c>
      <c r="G289" s="222" t="s">
        <v>169</v>
      </c>
      <c r="H289" s="222" t="s">
        <v>276</v>
      </c>
      <c r="I289" s="390" t="s">
        <v>225</v>
      </c>
      <c r="J289" s="11">
        <v>100</v>
      </c>
      <c r="K289" s="11">
        <v>500</v>
      </c>
      <c r="L289" s="41">
        <v>70</v>
      </c>
      <c r="M289" s="13" t="s">
        <v>349</v>
      </c>
      <c r="N289" s="11">
        <v>4</v>
      </c>
      <c r="O289" s="11">
        <v>10.3</v>
      </c>
      <c r="P289" s="11">
        <v>10.47</v>
      </c>
      <c r="Q289" s="14">
        <v>4</v>
      </c>
      <c r="R289" s="14">
        <v>11.03</v>
      </c>
      <c r="S289" s="222">
        <v>0</v>
      </c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3"/>
      <c r="AR289" s="43" t="s">
        <v>247</v>
      </c>
    </row>
    <row r="290" spans="1:44">
      <c r="D290" s="31" t="s">
        <v>364</v>
      </c>
      <c r="G290" s="222" t="s">
        <v>169</v>
      </c>
      <c r="H290" s="222" t="s">
        <v>276</v>
      </c>
      <c r="I290" s="218" t="s">
        <v>225</v>
      </c>
      <c r="J290" s="11">
        <v>100</v>
      </c>
      <c r="K290" s="11">
        <v>500</v>
      </c>
      <c r="M290" s="13" t="s">
        <v>351</v>
      </c>
      <c r="N290" s="11">
        <v>3</v>
      </c>
      <c r="O290" s="11">
        <v>11.01</v>
      </c>
      <c r="P290" s="11">
        <v>11.12</v>
      </c>
      <c r="Q290" s="14">
        <v>3</v>
      </c>
      <c r="R290" s="14">
        <v>11.27</v>
      </c>
      <c r="S290" s="222">
        <v>1</v>
      </c>
      <c r="T290" s="11">
        <v>1</v>
      </c>
      <c r="U290" s="11">
        <v>1</v>
      </c>
      <c r="V290" s="11">
        <v>1</v>
      </c>
      <c r="W290" s="11">
        <v>1</v>
      </c>
      <c r="X290" s="11">
        <v>1</v>
      </c>
      <c r="Y290" s="11">
        <v>1</v>
      </c>
      <c r="Z290" s="11">
        <v>1</v>
      </c>
      <c r="AA290" s="11">
        <v>1</v>
      </c>
      <c r="AB290" s="11">
        <v>1</v>
      </c>
      <c r="AC290" s="11">
        <v>1</v>
      </c>
      <c r="AD290" s="11">
        <v>1</v>
      </c>
      <c r="AE290" s="11">
        <v>1</v>
      </c>
      <c r="AF290" s="11"/>
      <c r="AG290" s="11"/>
      <c r="AH290" s="11"/>
      <c r="AI290" s="11"/>
      <c r="AJ290" s="11"/>
      <c r="AK290" s="11"/>
      <c r="AL290" s="11"/>
      <c r="AM290" s="13"/>
    </row>
    <row r="291" spans="1:44">
      <c r="G291" s="222" t="s">
        <v>169</v>
      </c>
      <c r="H291" s="222" t="s">
        <v>276</v>
      </c>
      <c r="I291" s="218" t="s">
        <v>225</v>
      </c>
      <c r="J291" s="11">
        <v>100</v>
      </c>
      <c r="K291" s="11">
        <v>500</v>
      </c>
      <c r="M291" s="13" t="s">
        <v>352</v>
      </c>
      <c r="N291" s="11">
        <v>4</v>
      </c>
      <c r="O291" s="11">
        <v>11.12</v>
      </c>
      <c r="P291" s="11">
        <v>11.26</v>
      </c>
      <c r="Q291" s="14">
        <v>4</v>
      </c>
      <c r="R291" s="14">
        <v>11.42</v>
      </c>
      <c r="S291" s="222">
        <v>0</v>
      </c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3"/>
    </row>
    <row r="292" spans="1:44">
      <c r="G292" s="222" t="s">
        <v>169</v>
      </c>
      <c r="H292" s="222" t="s">
        <v>276</v>
      </c>
      <c r="I292" s="218" t="s">
        <v>225</v>
      </c>
      <c r="J292" s="11">
        <v>100</v>
      </c>
      <c r="K292" s="11">
        <v>500</v>
      </c>
      <c r="M292" s="13" t="s">
        <v>353</v>
      </c>
      <c r="N292" s="11">
        <v>2</v>
      </c>
      <c r="O292" s="11">
        <v>11.27</v>
      </c>
      <c r="P292" s="11">
        <v>11.39</v>
      </c>
      <c r="Q292" s="14">
        <v>2</v>
      </c>
      <c r="R292" s="14">
        <v>11.53</v>
      </c>
      <c r="S292" s="222">
        <v>2</v>
      </c>
      <c r="T292" s="11">
        <v>2</v>
      </c>
      <c r="U292" s="11">
        <v>2</v>
      </c>
      <c r="V292" s="11">
        <v>1</v>
      </c>
      <c r="W292" s="11">
        <v>1</v>
      </c>
      <c r="X292" s="11">
        <v>1</v>
      </c>
      <c r="Y292" s="11">
        <v>1</v>
      </c>
      <c r="Z292" s="11">
        <v>1</v>
      </c>
      <c r="AA292" s="11">
        <v>1</v>
      </c>
      <c r="AB292" s="11">
        <v>1</v>
      </c>
      <c r="AC292" s="11">
        <v>1</v>
      </c>
      <c r="AD292" s="11">
        <v>1</v>
      </c>
      <c r="AE292" s="11">
        <v>1</v>
      </c>
      <c r="AF292" s="11"/>
      <c r="AG292" s="11"/>
      <c r="AH292" s="11"/>
      <c r="AI292" s="11"/>
      <c r="AJ292" s="11"/>
      <c r="AK292" s="11"/>
      <c r="AL292" s="11"/>
      <c r="AM292" s="13"/>
    </row>
    <row r="293" spans="1:44">
      <c r="G293" s="222" t="s">
        <v>169</v>
      </c>
      <c r="H293" s="222" t="s">
        <v>276</v>
      </c>
      <c r="I293" s="218" t="s">
        <v>225</v>
      </c>
      <c r="J293" s="11">
        <v>100</v>
      </c>
      <c r="K293" s="11">
        <v>500</v>
      </c>
      <c r="M293" s="13" t="s">
        <v>354</v>
      </c>
      <c r="N293" s="11">
        <v>4</v>
      </c>
      <c r="O293" s="11">
        <v>11.4</v>
      </c>
      <c r="P293" s="11">
        <v>11.54</v>
      </c>
      <c r="Q293" s="14">
        <v>4</v>
      </c>
      <c r="R293" s="14">
        <v>12.05</v>
      </c>
      <c r="S293" s="222">
        <v>1</v>
      </c>
      <c r="T293" s="11">
        <v>0</v>
      </c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3"/>
    </row>
    <row r="294" spans="1:44" s="23" customFormat="1">
      <c r="A294" s="31"/>
      <c r="B294" s="31"/>
      <c r="C294" s="31"/>
      <c r="D294" s="31"/>
      <c r="E294" s="31"/>
      <c r="F294" s="31"/>
      <c r="G294" s="18" t="s">
        <v>169</v>
      </c>
      <c r="H294" s="18" t="s">
        <v>276</v>
      </c>
      <c r="I294" s="219" t="s">
        <v>225</v>
      </c>
      <c r="J294" s="28">
        <v>100</v>
      </c>
      <c r="K294" s="28">
        <v>500</v>
      </c>
      <c r="L294" s="53"/>
      <c r="M294" s="19" t="s">
        <v>355</v>
      </c>
      <c r="N294" s="28">
        <v>4</v>
      </c>
      <c r="O294" s="28">
        <v>11.55</v>
      </c>
      <c r="P294" s="28">
        <v>12.1</v>
      </c>
      <c r="Q294" s="20">
        <v>4</v>
      </c>
      <c r="R294" s="20">
        <v>12.26</v>
      </c>
      <c r="S294" s="18">
        <v>4</v>
      </c>
      <c r="T294" s="28">
        <v>4</v>
      </c>
      <c r="U294" s="28">
        <v>0</v>
      </c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19"/>
      <c r="AN294" s="20"/>
      <c r="AR294" s="45"/>
    </row>
    <row r="295" spans="1:44">
      <c r="G295" s="222" t="s">
        <v>169</v>
      </c>
      <c r="H295" s="222" t="s">
        <v>276</v>
      </c>
      <c r="I295" s="218" t="s">
        <v>170</v>
      </c>
      <c r="J295" s="11">
        <v>100</v>
      </c>
      <c r="K295" s="11">
        <v>500</v>
      </c>
      <c r="L295" s="41">
        <v>80</v>
      </c>
      <c r="M295" s="13" t="s">
        <v>153</v>
      </c>
      <c r="N295" s="11">
        <v>3</v>
      </c>
      <c r="O295" s="22">
        <v>10.32</v>
      </c>
      <c r="P295" s="22">
        <v>10.42</v>
      </c>
      <c r="Q295" s="14">
        <v>3</v>
      </c>
      <c r="R295" s="14">
        <v>11</v>
      </c>
      <c r="S295" s="222">
        <v>1</v>
      </c>
      <c r="T295" s="11">
        <v>1</v>
      </c>
      <c r="U295" s="11">
        <v>1</v>
      </c>
      <c r="V295" s="11">
        <v>1</v>
      </c>
      <c r="W295" s="11">
        <v>1</v>
      </c>
      <c r="X295" s="11">
        <v>1</v>
      </c>
      <c r="Y295" s="11">
        <v>1</v>
      </c>
      <c r="Z295" s="11">
        <v>1</v>
      </c>
      <c r="AA295" s="11">
        <v>1</v>
      </c>
      <c r="AB295" s="11">
        <v>1</v>
      </c>
      <c r="AC295" s="11">
        <v>1</v>
      </c>
      <c r="AD295" s="11">
        <v>1</v>
      </c>
      <c r="AE295" s="11">
        <v>1</v>
      </c>
      <c r="AF295" s="11">
        <v>1</v>
      </c>
      <c r="AG295" s="11">
        <v>1</v>
      </c>
      <c r="AH295" s="11">
        <v>1</v>
      </c>
      <c r="AI295" s="11">
        <v>1</v>
      </c>
      <c r="AJ295" s="11"/>
      <c r="AK295" s="11"/>
      <c r="AL295" s="11"/>
      <c r="AM295" s="13"/>
      <c r="AR295" s="43" t="s">
        <v>260</v>
      </c>
    </row>
    <row r="296" spans="1:44">
      <c r="G296" s="222" t="s">
        <v>169</v>
      </c>
      <c r="H296" s="222" t="s">
        <v>276</v>
      </c>
      <c r="I296" s="218" t="s">
        <v>170</v>
      </c>
      <c r="J296" s="11">
        <v>100</v>
      </c>
      <c r="K296" s="11">
        <v>500</v>
      </c>
      <c r="M296" s="13" t="s">
        <v>154</v>
      </c>
      <c r="N296" s="11">
        <v>2</v>
      </c>
      <c r="O296" s="22">
        <v>10.48</v>
      </c>
      <c r="P296" s="22">
        <v>10.57</v>
      </c>
      <c r="Q296" s="14">
        <v>2</v>
      </c>
      <c r="R296" s="14">
        <v>11.12</v>
      </c>
      <c r="S296" s="222">
        <v>0</v>
      </c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3"/>
    </row>
    <row r="297" spans="1:44">
      <c r="G297" s="222" t="s">
        <v>169</v>
      </c>
      <c r="H297" s="222" t="s">
        <v>276</v>
      </c>
      <c r="I297" s="218" t="s">
        <v>170</v>
      </c>
      <c r="J297" s="11">
        <v>100</v>
      </c>
      <c r="K297" s="11">
        <v>500</v>
      </c>
      <c r="M297" s="13" t="s">
        <v>155</v>
      </c>
      <c r="N297" s="11">
        <v>4</v>
      </c>
      <c r="O297" s="22">
        <v>10.59</v>
      </c>
      <c r="P297" s="22">
        <v>11.13</v>
      </c>
      <c r="Q297" s="14">
        <v>4</v>
      </c>
      <c r="R297" s="14">
        <v>11.28</v>
      </c>
      <c r="S297" s="222">
        <v>0</v>
      </c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3"/>
    </row>
    <row r="298" spans="1:44">
      <c r="G298" s="222" t="s">
        <v>169</v>
      </c>
      <c r="H298" s="222" t="s">
        <v>276</v>
      </c>
      <c r="I298" s="218" t="s">
        <v>170</v>
      </c>
      <c r="J298" s="11">
        <v>100</v>
      </c>
      <c r="K298" s="11">
        <v>500</v>
      </c>
      <c r="M298" s="13" t="s">
        <v>156</v>
      </c>
      <c r="N298" s="11">
        <v>4</v>
      </c>
      <c r="O298" s="22">
        <v>11.14</v>
      </c>
      <c r="P298" s="22">
        <v>11.26</v>
      </c>
      <c r="Q298" s="14">
        <v>4</v>
      </c>
      <c r="R298" s="14">
        <v>11.41</v>
      </c>
      <c r="S298" s="222">
        <v>1</v>
      </c>
      <c r="T298" s="11">
        <v>1</v>
      </c>
      <c r="U298" s="11">
        <v>1</v>
      </c>
      <c r="V298" s="11">
        <v>1</v>
      </c>
      <c r="W298" s="11">
        <v>1</v>
      </c>
      <c r="X298" s="11">
        <v>1</v>
      </c>
      <c r="Y298" s="11">
        <v>1</v>
      </c>
      <c r="Z298" s="11">
        <v>1</v>
      </c>
      <c r="AA298" s="11">
        <v>1</v>
      </c>
      <c r="AB298" s="11">
        <v>1</v>
      </c>
      <c r="AC298" s="11">
        <v>1</v>
      </c>
      <c r="AD298" s="11">
        <v>1</v>
      </c>
      <c r="AE298" s="11">
        <v>1</v>
      </c>
      <c r="AF298" s="11"/>
      <c r="AG298" s="11"/>
      <c r="AH298" s="11"/>
      <c r="AI298" s="11"/>
      <c r="AJ298" s="11"/>
      <c r="AK298" s="11"/>
      <c r="AL298" s="11"/>
      <c r="AM298" s="13"/>
    </row>
    <row r="299" spans="1:44">
      <c r="G299" s="222" t="s">
        <v>169</v>
      </c>
      <c r="H299" s="222" t="s">
        <v>276</v>
      </c>
      <c r="I299" s="218" t="s">
        <v>170</v>
      </c>
      <c r="J299" s="11">
        <v>100</v>
      </c>
      <c r="K299" s="11">
        <v>500</v>
      </c>
      <c r="M299" s="13" t="s">
        <v>157</v>
      </c>
      <c r="N299" s="11">
        <v>4</v>
      </c>
      <c r="O299" s="22">
        <v>11.34</v>
      </c>
      <c r="P299" s="22">
        <v>11.44</v>
      </c>
      <c r="Q299" s="14">
        <v>4</v>
      </c>
      <c r="R299" s="14">
        <v>12.05</v>
      </c>
      <c r="S299" s="222">
        <v>3</v>
      </c>
      <c r="T299" s="11">
        <v>3</v>
      </c>
      <c r="U299" s="11">
        <v>3</v>
      </c>
      <c r="V299" s="11">
        <v>1</v>
      </c>
      <c r="W299" s="11">
        <v>1</v>
      </c>
      <c r="X299" s="11">
        <v>1</v>
      </c>
      <c r="Y299" s="11">
        <v>1</v>
      </c>
      <c r="Z299" s="11">
        <v>1</v>
      </c>
      <c r="AA299" s="11">
        <v>1</v>
      </c>
      <c r="AB299" s="11">
        <v>1</v>
      </c>
      <c r="AC299" s="11">
        <v>1</v>
      </c>
      <c r="AD299" s="11">
        <v>1</v>
      </c>
      <c r="AE299" s="11">
        <v>1</v>
      </c>
      <c r="AF299" s="11"/>
      <c r="AG299" s="11"/>
      <c r="AH299" s="11"/>
      <c r="AI299" s="11"/>
      <c r="AJ299" s="11"/>
      <c r="AK299" s="11"/>
      <c r="AL299" s="11"/>
      <c r="AM299" s="13"/>
    </row>
    <row r="300" spans="1:44">
      <c r="G300" s="222" t="s">
        <v>169</v>
      </c>
      <c r="H300" s="222" t="s">
        <v>276</v>
      </c>
      <c r="I300" s="218" t="s">
        <v>170</v>
      </c>
      <c r="J300" s="11">
        <v>100</v>
      </c>
      <c r="K300" s="11">
        <v>500</v>
      </c>
      <c r="M300" s="13" t="s">
        <v>158</v>
      </c>
      <c r="N300" s="11">
        <v>4</v>
      </c>
      <c r="O300" s="22">
        <v>11.47</v>
      </c>
      <c r="P300" s="22">
        <v>11.59</v>
      </c>
      <c r="Q300" s="14">
        <v>4</v>
      </c>
      <c r="R300" s="14">
        <v>12.14</v>
      </c>
      <c r="S300" s="222">
        <v>4</v>
      </c>
      <c r="T300" s="11">
        <v>4</v>
      </c>
      <c r="U300" s="11">
        <v>4</v>
      </c>
      <c r="V300" s="11">
        <v>1</v>
      </c>
      <c r="W300" s="11">
        <v>1</v>
      </c>
      <c r="X300" s="11">
        <v>1</v>
      </c>
      <c r="Y300" s="11">
        <v>1</v>
      </c>
      <c r="Z300" s="11">
        <v>1</v>
      </c>
      <c r="AA300" s="11">
        <v>1</v>
      </c>
      <c r="AB300" s="11">
        <v>1</v>
      </c>
      <c r="AC300" s="11">
        <v>1</v>
      </c>
      <c r="AD300" s="11">
        <v>1</v>
      </c>
      <c r="AE300" s="11">
        <v>1</v>
      </c>
      <c r="AF300" s="11"/>
      <c r="AG300" s="11"/>
      <c r="AH300" s="11"/>
      <c r="AI300" s="11"/>
      <c r="AJ300" s="11"/>
      <c r="AK300" s="11"/>
      <c r="AL300" s="11"/>
      <c r="AM300" s="13"/>
    </row>
    <row r="301" spans="1:44" s="311" customFormat="1" ht="15.75" thickBot="1">
      <c r="A301" s="321"/>
      <c r="B301" s="321"/>
      <c r="C301" s="321"/>
      <c r="D301" s="321"/>
      <c r="E301" s="321"/>
      <c r="F301" s="321"/>
      <c r="G301" s="306" t="s">
        <v>169</v>
      </c>
      <c r="H301" s="306" t="s">
        <v>276</v>
      </c>
      <c r="I301" s="325" t="s">
        <v>170</v>
      </c>
      <c r="J301" s="308">
        <v>100</v>
      </c>
      <c r="K301" s="308">
        <v>500</v>
      </c>
      <c r="L301" s="319"/>
      <c r="M301" s="305" t="s">
        <v>159</v>
      </c>
      <c r="N301" s="308">
        <v>3</v>
      </c>
      <c r="O301" s="311">
        <v>12.02</v>
      </c>
      <c r="P301" s="311">
        <v>12.14</v>
      </c>
      <c r="Q301" s="309">
        <v>3</v>
      </c>
      <c r="R301" s="309">
        <v>12.3</v>
      </c>
      <c r="S301" s="306">
        <v>1</v>
      </c>
      <c r="T301" s="308">
        <v>1</v>
      </c>
      <c r="U301" s="308">
        <v>1</v>
      </c>
      <c r="V301" s="308">
        <v>1</v>
      </c>
      <c r="W301" s="308">
        <v>1</v>
      </c>
      <c r="X301" s="308">
        <v>1</v>
      </c>
      <c r="Y301" s="308"/>
      <c r="Z301" s="308"/>
      <c r="AA301" s="308"/>
      <c r="AB301" s="308"/>
      <c r="AC301" s="308"/>
      <c r="AD301" s="308"/>
      <c r="AE301" s="308"/>
      <c r="AF301" s="308"/>
      <c r="AG301" s="308"/>
      <c r="AH301" s="308"/>
      <c r="AI301" s="308"/>
      <c r="AJ301" s="308"/>
      <c r="AK301" s="308"/>
      <c r="AL301" s="308"/>
      <c r="AM301" s="305"/>
      <c r="AN301" s="309"/>
      <c r="AR301" s="303"/>
    </row>
    <row r="302" spans="1:44">
      <c r="A302" s="43">
        <v>20</v>
      </c>
      <c r="B302" s="44">
        <v>45964</v>
      </c>
      <c r="C302" s="31" t="s">
        <v>341</v>
      </c>
      <c r="D302" s="31" t="s">
        <v>365</v>
      </c>
      <c r="F302" s="31" t="s">
        <v>331</v>
      </c>
      <c r="G302" s="222" t="s">
        <v>171</v>
      </c>
      <c r="H302" s="222" t="s">
        <v>246</v>
      </c>
      <c r="I302" s="218" t="s">
        <v>172</v>
      </c>
      <c r="J302" s="11">
        <v>100</v>
      </c>
      <c r="K302" s="11">
        <v>500</v>
      </c>
      <c r="L302" s="13">
        <v>70</v>
      </c>
      <c r="M302" s="13" t="s">
        <v>349</v>
      </c>
      <c r="N302" s="11">
        <v>1</v>
      </c>
      <c r="O302" s="11">
        <v>10.130000000000001</v>
      </c>
      <c r="P302" s="11">
        <v>10.26</v>
      </c>
      <c r="Q302" s="14">
        <v>1</v>
      </c>
      <c r="R302" s="14">
        <v>10.4</v>
      </c>
      <c r="S302" s="222">
        <v>0</v>
      </c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3"/>
      <c r="AO302" s="11"/>
      <c r="AP302" s="11"/>
      <c r="AR302" s="43" t="s">
        <v>247</v>
      </c>
    </row>
    <row r="303" spans="1:44">
      <c r="D303" s="31" t="s">
        <v>366</v>
      </c>
      <c r="G303" s="222" t="s">
        <v>171</v>
      </c>
      <c r="H303" s="222" t="s">
        <v>246</v>
      </c>
      <c r="I303" s="218" t="s">
        <v>172</v>
      </c>
      <c r="J303" s="11">
        <v>100</v>
      </c>
      <c r="K303" s="11">
        <v>500</v>
      </c>
      <c r="M303" s="13" t="s">
        <v>351</v>
      </c>
      <c r="N303" s="11">
        <v>4</v>
      </c>
      <c r="O303" s="11">
        <v>10.3</v>
      </c>
      <c r="P303" s="11">
        <v>10.46</v>
      </c>
      <c r="Q303" s="14">
        <v>4</v>
      </c>
      <c r="R303" s="14">
        <v>11.03</v>
      </c>
      <c r="S303" s="222">
        <v>1</v>
      </c>
      <c r="T303" s="11">
        <v>1</v>
      </c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3"/>
      <c r="AO303" s="11"/>
      <c r="AP303" s="11"/>
    </row>
    <row r="304" spans="1:44">
      <c r="G304" s="222" t="s">
        <v>171</v>
      </c>
      <c r="H304" s="222" t="s">
        <v>246</v>
      </c>
      <c r="I304" s="218" t="s">
        <v>172</v>
      </c>
      <c r="J304" s="11">
        <v>100</v>
      </c>
      <c r="K304" s="11">
        <v>500</v>
      </c>
      <c r="M304" s="13" t="s">
        <v>352</v>
      </c>
      <c r="N304" s="11">
        <v>4</v>
      </c>
      <c r="O304" s="11">
        <v>10.55</v>
      </c>
      <c r="P304" s="11">
        <v>11.1</v>
      </c>
      <c r="Q304" s="14">
        <v>4</v>
      </c>
      <c r="R304" s="14">
        <v>11.45</v>
      </c>
      <c r="S304" s="222">
        <v>0</v>
      </c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3"/>
      <c r="AO304" s="11"/>
      <c r="AP304" s="11"/>
    </row>
    <row r="305" spans="1:44">
      <c r="G305" s="222" t="s">
        <v>171</v>
      </c>
      <c r="H305" s="222" t="s">
        <v>246</v>
      </c>
      <c r="I305" s="218" t="s">
        <v>172</v>
      </c>
      <c r="J305" s="11">
        <v>100</v>
      </c>
      <c r="K305" s="11">
        <v>500</v>
      </c>
      <c r="M305" s="46" t="s">
        <v>353</v>
      </c>
      <c r="N305" s="47">
        <v>4</v>
      </c>
      <c r="O305" s="47">
        <v>11.1</v>
      </c>
      <c r="P305" s="47">
        <v>11.25</v>
      </c>
      <c r="Q305" s="48">
        <v>4</v>
      </c>
      <c r="R305" s="48">
        <v>11.39</v>
      </c>
      <c r="S305" s="26">
        <v>2</v>
      </c>
      <c r="T305" s="47">
        <v>2</v>
      </c>
      <c r="U305" s="47">
        <v>2</v>
      </c>
      <c r="V305" s="47">
        <v>2</v>
      </c>
      <c r="W305" s="47">
        <v>2</v>
      </c>
      <c r="X305" s="47">
        <v>2</v>
      </c>
      <c r="Y305" s="47">
        <v>2</v>
      </c>
      <c r="Z305" s="47">
        <v>2</v>
      </c>
      <c r="AA305" s="47">
        <v>2</v>
      </c>
      <c r="AB305" s="47">
        <v>2</v>
      </c>
      <c r="AC305" s="47">
        <v>2</v>
      </c>
      <c r="AD305" s="47">
        <v>2</v>
      </c>
      <c r="AE305" s="47">
        <v>2</v>
      </c>
      <c r="AF305" s="47">
        <v>1</v>
      </c>
      <c r="AG305" s="47">
        <v>1</v>
      </c>
      <c r="AH305" s="47">
        <v>1</v>
      </c>
      <c r="AI305" s="47">
        <v>1</v>
      </c>
      <c r="AJ305" s="47">
        <v>1</v>
      </c>
      <c r="AK305" s="47">
        <v>1</v>
      </c>
      <c r="AL305" s="47">
        <v>1</v>
      </c>
      <c r="AM305" s="46">
        <v>1</v>
      </c>
      <c r="AN305" s="48">
        <v>1</v>
      </c>
      <c r="AO305" s="47"/>
      <c r="AP305" s="47" t="s">
        <v>226</v>
      </c>
      <c r="AQ305" s="396" t="s">
        <v>367</v>
      </c>
    </row>
    <row r="306" spans="1:44">
      <c r="G306" s="222" t="s">
        <v>171</v>
      </c>
      <c r="H306" s="222" t="s">
        <v>246</v>
      </c>
      <c r="I306" s="218" t="s">
        <v>172</v>
      </c>
      <c r="J306" s="11">
        <v>100</v>
      </c>
      <c r="K306" s="11">
        <v>500</v>
      </c>
      <c r="M306" s="13" t="s">
        <v>354</v>
      </c>
      <c r="N306" s="11">
        <v>4</v>
      </c>
      <c r="O306" s="11">
        <v>11.29</v>
      </c>
      <c r="P306" s="11">
        <v>11.4</v>
      </c>
      <c r="Q306" s="14">
        <v>4</v>
      </c>
      <c r="R306" s="14">
        <v>11.59</v>
      </c>
      <c r="S306" s="222">
        <v>0</v>
      </c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3"/>
      <c r="AO306" s="11"/>
      <c r="AP306" s="11"/>
    </row>
    <row r="307" spans="1:44">
      <c r="G307" s="222" t="s">
        <v>171</v>
      </c>
      <c r="H307" s="222" t="s">
        <v>246</v>
      </c>
      <c r="I307" s="218" t="s">
        <v>172</v>
      </c>
      <c r="J307" s="11">
        <v>100</v>
      </c>
      <c r="K307" s="11">
        <v>500</v>
      </c>
      <c r="M307" s="13" t="s">
        <v>355</v>
      </c>
      <c r="N307" s="11">
        <v>4</v>
      </c>
      <c r="O307" s="11">
        <v>11.45</v>
      </c>
      <c r="P307" s="11">
        <v>11.59</v>
      </c>
      <c r="Q307" s="14">
        <v>4</v>
      </c>
      <c r="R307" s="14">
        <v>12.15</v>
      </c>
      <c r="S307" s="222">
        <v>1</v>
      </c>
      <c r="T307" s="11">
        <v>1</v>
      </c>
      <c r="U307" s="11">
        <v>1</v>
      </c>
      <c r="V307" s="11">
        <v>1</v>
      </c>
      <c r="W307" s="11">
        <v>1</v>
      </c>
      <c r="X307" s="11">
        <v>1</v>
      </c>
      <c r="Y307" s="11">
        <v>1</v>
      </c>
      <c r="Z307" s="11">
        <v>1</v>
      </c>
      <c r="AA307" s="11">
        <v>1</v>
      </c>
      <c r="AB307" s="11">
        <v>1</v>
      </c>
      <c r="AC307" s="11">
        <v>1</v>
      </c>
      <c r="AD307" s="11"/>
      <c r="AE307" s="11"/>
      <c r="AF307" s="11"/>
      <c r="AG307" s="11"/>
      <c r="AH307" s="11"/>
      <c r="AI307" s="11"/>
      <c r="AJ307" s="11"/>
      <c r="AK307" s="11"/>
      <c r="AL307" s="11"/>
      <c r="AM307" s="13"/>
      <c r="AO307" s="11"/>
      <c r="AP307" s="11"/>
    </row>
    <row r="308" spans="1:44">
      <c r="G308" s="222" t="s">
        <v>171</v>
      </c>
      <c r="H308" s="222" t="s">
        <v>246</v>
      </c>
      <c r="I308" s="218" t="s">
        <v>172</v>
      </c>
      <c r="J308" s="11">
        <v>100</v>
      </c>
      <c r="K308" s="11">
        <v>500</v>
      </c>
      <c r="M308" s="13" t="s">
        <v>356</v>
      </c>
      <c r="N308" s="11">
        <v>4</v>
      </c>
      <c r="O308" s="11">
        <v>12.05</v>
      </c>
      <c r="P308" s="11">
        <v>12.18</v>
      </c>
      <c r="Q308" s="14">
        <v>4</v>
      </c>
      <c r="R308" s="14">
        <v>12.34</v>
      </c>
      <c r="S308" s="222">
        <v>2</v>
      </c>
      <c r="T308" s="11">
        <v>2</v>
      </c>
      <c r="U308" s="11">
        <v>2</v>
      </c>
      <c r="V308" s="11">
        <v>1</v>
      </c>
      <c r="W308" s="11">
        <v>1</v>
      </c>
      <c r="X308" s="11">
        <v>1</v>
      </c>
      <c r="Y308" s="11">
        <v>1</v>
      </c>
      <c r="Z308" s="11">
        <v>1</v>
      </c>
      <c r="AA308" s="11">
        <v>1</v>
      </c>
      <c r="AB308" s="11">
        <v>1</v>
      </c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3"/>
      <c r="AO308" s="11"/>
      <c r="AP308" s="11"/>
    </row>
    <row r="309" spans="1:44">
      <c r="G309" s="222" t="s">
        <v>171</v>
      </c>
      <c r="H309" s="222" t="s">
        <v>246</v>
      </c>
      <c r="I309" s="218" t="s">
        <v>172</v>
      </c>
      <c r="J309" s="11">
        <v>100</v>
      </c>
      <c r="K309" s="11">
        <v>500</v>
      </c>
      <c r="M309" s="13" t="s">
        <v>357</v>
      </c>
      <c r="N309" s="11">
        <v>4</v>
      </c>
      <c r="O309" s="11">
        <v>12.18</v>
      </c>
      <c r="P309" s="11">
        <v>12.29</v>
      </c>
      <c r="Q309" s="14">
        <v>4</v>
      </c>
      <c r="R309" s="14">
        <v>12.43</v>
      </c>
      <c r="S309" s="222">
        <v>0</v>
      </c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3"/>
      <c r="AO309" s="11"/>
      <c r="AP309" s="11"/>
    </row>
    <row r="310" spans="1:44" s="23" customFormat="1">
      <c r="A310" s="42"/>
      <c r="B310" s="42"/>
      <c r="C310" s="31"/>
      <c r="D310" s="31"/>
      <c r="E310" s="31"/>
      <c r="F310" s="31"/>
      <c r="G310" s="18" t="s">
        <v>171</v>
      </c>
      <c r="H310" s="18" t="s">
        <v>246</v>
      </c>
      <c r="I310" s="219" t="s">
        <v>172</v>
      </c>
      <c r="J310" s="28">
        <v>100</v>
      </c>
      <c r="K310" s="28">
        <v>500</v>
      </c>
      <c r="L310" s="53"/>
      <c r="M310" s="19" t="s">
        <v>358</v>
      </c>
      <c r="N310" s="28">
        <v>4</v>
      </c>
      <c r="O310" s="28">
        <v>12.37</v>
      </c>
      <c r="P310" s="28">
        <v>12.48</v>
      </c>
      <c r="Q310" s="20">
        <v>4</v>
      </c>
      <c r="R310" s="20">
        <v>13.02</v>
      </c>
      <c r="S310" s="18">
        <v>3</v>
      </c>
      <c r="T310" s="28">
        <v>3</v>
      </c>
      <c r="U310" s="28">
        <v>2</v>
      </c>
      <c r="V310" s="28">
        <v>2</v>
      </c>
      <c r="W310" s="28">
        <v>2</v>
      </c>
      <c r="X310" s="28">
        <v>2</v>
      </c>
      <c r="Y310" s="28">
        <v>2</v>
      </c>
      <c r="Z310" s="28">
        <v>2</v>
      </c>
      <c r="AA310" s="28">
        <v>2</v>
      </c>
      <c r="AB310" s="28">
        <v>2</v>
      </c>
      <c r="AC310" s="28">
        <v>2</v>
      </c>
      <c r="AD310" s="28"/>
      <c r="AE310" s="28"/>
      <c r="AF310" s="28"/>
      <c r="AG310" s="28"/>
      <c r="AH310" s="28"/>
      <c r="AI310" s="28"/>
      <c r="AJ310" s="28"/>
      <c r="AK310" s="28"/>
      <c r="AL310" s="28"/>
      <c r="AM310" s="19"/>
      <c r="AN310" s="20"/>
      <c r="AO310" s="28"/>
      <c r="AP310" s="28"/>
      <c r="AR310" s="45"/>
    </row>
    <row r="311" spans="1:44">
      <c r="G311" s="222" t="s">
        <v>171</v>
      </c>
      <c r="H311" s="222" t="s">
        <v>246</v>
      </c>
      <c r="I311" s="218" t="s">
        <v>172</v>
      </c>
      <c r="J311" s="11">
        <v>100</v>
      </c>
      <c r="K311" s="11">
        <v>500</v>
      </c>
      <c r="L311" s="41">
        <v>80</v>
      </c>
      <c r="M311" s="46" t="s">
        <v>153</v>
      </c>
      <c r="N311" s="47">
        <v>3</v>
      </c>
      <c r="O311" s="47">
        <v>10.17</v>
      </c>
      <c r="P311" s="47">
        <v>10.26</v>
      </c>
      <c r="Q311" s="48">
        <v>3</v>
      </c>
      <c r="R311" s="48">
        <v>10.42</v>
      </c>
      <c r="S311" s="26"/>
      <c r="T311" s="47"/>
      <c r="U311" s="47"/>
      <c r="V311" s="47"/>
      <c r="W311" s="47"/>
      <c r="X311" s="47"/>
      <c r="Y311" s="47"/>
      <c r="Z311" s="47"/>
      <c r="AA311" s="47"/>
      <c r="AB311" s="47">
        <v>2</v>
      </c>
      <c r="AC311" s="47"/>
      <c r="AD311" s="47"/>
      <c r="AE311" s="47"/>
      <c r="AF311" s="47"/>
      <c r="AG311" s="47"/>
      <c r="AH311" s="47"/>
      <c r="AI311" s="47">
        <v>1</v>
      </c>
      <c r="AJ311" s="47">
        <v>1</v>
      </c>
      <c r="AK311" s="47"/>
      <c r="AL311" s="47"/>
      <c r="AM311" s="46">
        <v>1</v>
      </c>
      <c r="AN311" s="48">
        <v>1</v>
      </c>
      <c r="AO311" s="86"/>
      <c r="AP311" s="86" t="s">
        <v>336</v>
      </c>
      <c r="AQ311" s="396" t="s">
        <v>368</v>
      </c>
      <c r="AR311" s="43" t="s">
        <v>260</v>
      </c>
    </row>
    <row r="312" spans="1:44">
      <c r="G312" s="222" t="s">
        <v>171</v>
      </c>
      <c r="H312" s="222" t="s">
        <v>246</v>
      </c>
      <c r="I312" s="218" t="s">
        <v>172</v>
      </c>
      <c r="J312" s="11">
        <v>100</v>
      </c>
      <c r="K312" s="11">
        <v>500</v>
      </c>
      <c r="M312" s="13" t="s">
        <v>154</v>
      </c>
      <c r="N312" s="11">
        <v>3</v>
      </c>
      <c r="O312" s="11">
        <v>10.29</v>
      </c>
      <c r="P312" s="11">
        <v>10.4</v>
      </c>
      <c r="Q312" s="14">
        <v>3</v>
      </c>
      <c r="R312" s="14">
        <v>10.54</v>
      </c>
      <c r="S312" s="222">
        <v>0</v>
      </c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3"/>
    </row>
    <row r="313" spans="1:44">
      <c r="G313" s="222" t="s">
        <v>171</v>
      </c>
      <c r="H313" s="222" t="s">
        <v>246</v>
      </c>
      <c r="I313" s="218" t="s">
        <v>172</v>
      </c>
      <c r="J313" s="11">
        <v>100</v>
      </c>
      <c r="K313" s="11">
        <v>500</v>
      </c>
      <c r="M313" s="13" t="s">
        <v>155</v>
      </c>
      <c r="N313" s="11">
        <v>3</v>
      </c>
      <c r="O313" s="11">
        <v>11</v>
      </c>
      <c r="P313" s="11">
        <v>11.07</v>
      </c>
      <c r="Q313" s="14">
        <v>3</v>
      </c>
      <c r="R313" s="14">
        <v>11.23</v>
      </c>
      <c r="S313" s="222">
        <v>0</v>
      </c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3"/>
    </row>
    <row r="314" spans="1:44">
      <c r="G314" s="222" t="s">
        <v>171</v>
      </c>
      <c r="H314" s="222" t="s">
        <v>246</v>
      </c>
      <c r="I314" s="218" t="s">
        <v>172</v>
      </c>
      <c r="J314" s="11">
        <v>100</v>
      </c>
      <c r="K314" s="11">
        <v>500</v>
      </c>
      <c r="M314" s="13" t="s">
        <v>156</v>
      </c>
      <c r="N314" s="11">
        <v>3</v>
      </c>
      <c r="O314" s="11">
        <v>11.17</v>
      </c>
      <c r="P314" s="11">
        <v>11.25</v>
      </c>
      <c r="Q314" s="14">
        <v>3</v>
      </c>
      <c r="R314" s="14">
        <v>11.4</v>
      </c>
      <c r="S314" s="222">
        <v>0</v>
      </c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3"/>
    </row>
    <row r="315" spans="1:44">
      <c r="G315" s="222" t="s">
        <v>171</v>
      </c>
      <c r="H315" s="222" t="s">
        <v>246</v>
      </c>
      <c r="I315" s="218" t="s">
        <v>172</v>
      </c>
      <c r="J315" s="11">
        <v>100</v>
      </c>
      <c r="K315" s="11">
        <v>500</v>
      </c>
      <c r="M315" s="13" t="s">
        <v>157</v>
      </c>
      <c r="N315" s="11">
        <v>3</v>
      </c>
      <c r="O315" s="11">
        <v>11.4</v>
      </c>
      <c r="P315" s="11">
        <v>11.54</v>
      </c>
      <c r="Q315" s="14">
        <v>3</v>
      </c>
      <c r="R315" s="14">
        <v>12.09</v>
      </c>
      <c r="S315" s="222">
        <v>0</v>
      </c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3"/>
    </row>
    <row r="316" spans="1:44">
      <c r="G316" s="222" t="s">
        <v>171</v>
      </c>
      <c r="H316" s="222" t="s">
        <v>246</v>
      </c>
      <c r="I316" s="218" t="s">
        <v>172</v>
      </c>
      <c r="J316" s="11">
        <v>100</v>
      </c>
      <c r="K316" s="11">
        <v>500</v>
      </c>
      <c r="M316" s="13" t="s">
        <v>158</v>
      </c>
      <c r="N316" s="11">
        <v>4</v>
      </c>
      <c r="O316" s="11">
        <v>12.02</v>
      </c>
      <c r="P316" s="11">
        <v>12.16</v>
      </c>
      <c r="Q316" s="14">
        <v>4</v>
      </c>
      <c r="R316" s="14">
        <v>12.3</v>
      </c>
      <c r="S316" s="222">
        <v>1</v>
      </c>
      <c r="T316" s="11">
        <v>1</v>
      </c>
      <c r="U316" s="11">
        <v>0</v>
      </c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3"/>
    </row>
    <row r="317" spans="1:44">
      <c r="G317" s="222" t="s">
        <v>171</v>
      </c>
      <c r="H317" s="222" t="s">
        <v>246</v>
      </c>
      <c r="I317" s="218" t="s">
        <v>172</v>
      </c>
      <c r="J317" s="11">
        <v>100</v>
      </c>
      <c r="K317" s="11">
        <v>500</v>
      </c>
      <c r="M317" s="13" t="s">
        <v>159</v>
      </c>
      <c r="N317" s="11">
        <v>4</v>
      </c>
      <c r="O317" s="11">
        <v>12.24</v>
      </c>
      <c r="P317" s="11">
        <v>12.32</v>
      </c>
      <c r="Q317" s="14">
        <v>4</v>
      </c>
      <c r="R317" s="14">
        <v>12.48</v>
      </c>
      <c r="S317" s="222">
        <v>1</v>
      </c>
      <c r="T317" s="11">
        <v>1</v>
      </c>
      <c r="U317" s="11">
        <v>0</v>
      </c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3"/>
    </row>
    <row r="318" spans="1:44">
      <c r="G318" s="222" t="s">
        <v>171</v>
      </c>
      <c r="H318" s="222" t="s">
        <v>246</v>
      </c>
      <c r="I318" s="218" t="s">
        <v>172</v>
      </c>
      <c r="J318" s="11">
        <v>100</v>
      </c>
      <c r="K318" s="11">
        <v>500</v>
      </c>
      <c r="M318" s="13" t="s">
        <v>160</v>
      </c>
      <c r="N318" s="11">
        <v>4</v>
      </c>
      <c r="O318" s="11">
        <v>12.34</v>
      </c>
      <c r="P318" s="11">
        <v>12.47</v>
      </c>
      <c r="Q318" s="14">
        <v>4</v>
      </c>
      <c r="R318" s="14">
        <v>13.03</v>
      </c>
      <c r="S318" s="11">
        <v>1</v>
      </c>
      <c r="T318" s="11">
        <v>1</v>
      </c>
      <c r="U318" s="11">
        <v>1</v>
      </c>
      <c r="V318" s="11">
        <v>1</v>
      </c>
      <c r="W318" s="11">
        <v>1</v>
      </c>
      <c r="X318" s="11">
        <v>1</v>
      </c>
      <c r="Y318" s="11">
        <v>1</v>
      </c>
      <c r="Z318" s="11">
        <v>1</v>
      </c>
      <c r="AA318" s="11">
        <v>1</v>
      </c>
      <c r="AB318" s="11">
        <v>1</v>
      </c>
      <c r="AC318" s="11">
        <v>1</v>
      </c>
      <c r="AD318" s="11">
        <v>1</v>
      </c>
      <c r="AE318" s="11">
        <v>1</v>
      </c>
      <c r="AF318" s="11">
        <v>1</v>
      </c>
      <c r="AG318" s="11">
        <v>1</v>
      </c>
      <c r="AH318" s="11"/>
      <c r="AI318" s="11"/>
      <c r="AJ318" s="11"/>
      <c r="AK318" s="11"/>
      <c r="AL318" s="11"/>
      <c r="AM318" s="13"/>
    </row>
    <row r="319" spans="1:44">
      <c r="G319" s="222" t="s">
        <v>171</v>
      </c>
      <c r="H319" s="222" t="s">
        <v>246</v>
      </c>
      <c r="I319" s="218" t="s">
        <v>172</v>
      </c>
      <c r="J319" s="11">
        <v>100</v>
      </c>
      <c r="K319" s="11">
        <v>500</v>
      </c>
      <c r="M319" s="46" t="s">
        <v>144</v>
      </c>
      <c r="N319" s="47">
        <v>3</v>
      </c>
      <c r="O319" s="47" t="s">
        <v>61</v>
      </c>
      <c r="P319" s="47" t="s">
        <v>61</v>
      </c>
      <c r="Q319" s="48">
        <v>3</v>
      </c>
      <c r="R319" s="48">
        <v>10.55</v>
      </c>
      <c r="S319" s="26">
        <v>1</v>
      </c>
      <c r="T319" s="47">
        <v>1</v>
      </c>
      <c r="U319" s="47">
        <v>1</v>
      </c>
      <c r="V319" s="47">
        <v>1</v>
      </c>
      <c r="W319" s="47">
        <v>1</v>
      </c>
      <c r="X319" s="47">
        <v>1</v>
      </c>
      <c r="Y319" s="47">
        <v>1</v>
      </c>
      <c r="Z319" s="47"/>
      <c r="AA319" s="47">
        <v>1</v>
      </c>
      <c r="AB319" s="47">
        <v>1</v>
      </c>
      <c r="AC319" s="47">
        <v>1</v>
      </c>
      <c r="AD319" s="47">
        <v>1</v>
      </c>
      <c r="AE319" s="47">
        <v>1</v>
      </c>
      <c r="AF319" s="47">
        <v>1</v>
      </c>
      <c r="AG319" s="47">
        <v>1</v>
      </c>
      <c r="AH319" s="47">
        <v>1</v>
      </c>
      <c r="AI319" s="47">
        <v>1</v>
      </c>
      <c r="AJ319" s="47">
        <v>1</v>
      </c>
      <c r="AK319" s="47">
        <v>1</v>
      </c>
      <c r="AL319" s="47">
        <v>1</v>
      </c>
      <c r="AM319" s="46">
        <v>1</v>
      </c>
      <c r="AN319" s="48">
        <v>1</v>
      </c>
      <c r="AO319" s="86"/>
      <c r="AP319" s="86" t="s">
        <v>336</v>
      </c>
      <c r="AQ319" s="396" t="s">
        <v>369</v>
      </c>
    </row>
    <row r="320" spans="1:44">
      <c r="G320" s="222" t="s">
        <v>171</v>
      </c>
      <c r="H320" s="222" t="s">
        <v>246</v>
      </c>
      <c r="I320" s="218" t="s">
        <v>172</v>
      </c>
      <c r="J320" s="11">
        <v>100</v>
      </c>
      <c r="K320" s="11">
        <v>500</v>
      </c>
      <c r="M320" s="13" t="s">
        <v>145</v>
      </c>
      <c r="N320" s="11">
        <v>5</v>
      </c>
      <c r="O320" s="11" t="s">
        <v>61</v>
      </c>
      <c r="P320" s="11" t="s">
        <v>61</v>
      </c>
      <c r="Q320" s="14">
        <v>5</v>
      </c>
      <c r="R320" s="14">
        <v>11.24</v>
      </c>
      <c r="S320" s="222">
        <v>4</v>
      </c>
      <c r="T320" s="11">
        <v>4</v>
      </c>
      <c r="U320" s="11">
        <v>4</v>
      </c>
      <c r="V320" s="11">
        <v>4</v>
      </c>
      <c r="W320" s="11">
        <v>4</v>
      </c>
      <c r="X320" s="11">
        <v>4</v>
      </c>
      <c r="Y320" s="11">
        <v>4</v>
      </c>
      <c r="Z320" s="11">
        <v>4</v>
      </c>
      <c r="AA320" s="11">
        <v>4</v>
      </c>
      <c r="AB320" s="11">
        <v>4</v>
      </c>
      <c r="AC320" s="11">
        <v>4</v>
      </c>
      <c r="AD320" s="11">
        <v>4</v>
      </c>
      <c r="AE320" s="11">
        <v>4</v>
      </c>
      <c r="AF320" s="11">
        <v>4</v>
      </c>
      <c r="AG320" s="11">
        <v>4</v>
      </c>
      <c r="AH320" s="11">
        <v>2</v>
      </c>
      <c r="AI320" s="11">
        <v>2</v>
      </c>
      <c r="AJ320" s="11">
        <v>2</v>
      </c>
      <c r="AK320" s="11"/>
      <c r="AL320" s="11"/>
      <c r="AM320" s="13"/>
    </row>
    <row r="321" spans="1:44">
      <c r="G321" s="222" t="s">
        <v>171</v>
      </c>
      <c r="H321" s="222" t="s">
        <v>246</v>
      </c>
      <c r="I321" s="218" t="s">
        <v>172</v>
      </c>
      <c r="J321" s="11">
        <v>100</v>
      </c>
      <c r="K321" s="11">
        <v>500</v>
      </c>
      <c r="M321" s="13" t="s">
        <v>146</v>
      </c>
      <c r="N321" s="11">
        <v>3</v>
      </c>
      <c r="O321" s="11" t="s">
        <v>61</v>
      </c>
      <c r="P321" s="11" t="s">
        <v>61</v>
      </c>
      <c r="Q321" s="14">
        <v>3</v>
      </c>
      <c r="R321" s="14">
        <v>11.38</v>
      </c>
      <c r="S321" s="222">
        <v>0</v>
      </c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3"/>
    </row>
    <row r="322" spans="1:44">
      <c r="G322" s="222" t="s">
        <v>171</v>
      </c>
      <c r="H322" s="222" t="s">
        <v>246</v>
      </c>
      <c r="I322" s="218" t="s">
        <v>172</v>
      </c>
      <c r="J322" s="11">
        <v>100</v>
      </c>
      <c r="K322" s="11">
        <v>500</v>
      </c>
      <c r="M322" s="13" t="s">
        <v>147</v>
      </c>
      <c r="N322" s="11">
        <v>5</v>
      </c>
      <c r="O322" s="11" t="s">
        <v>61</v>
      </c>
      <c r="P322" s="11" t="s">
        <v>61</v>
      </c>
      <c r="Q322" s="14">
        <v>5</v>
      </c>
      <c r="R322" s="14">
        <v>12</v>
      </c>
      <c r="S322" s="11">
        <v>1</v>
      </c>
      <c r="T322" s="11">
        <v>1</v>
      </c>
      <c r="U322" s="11">
        <v>1</v>
      </c>
      <c r="V322" s="11">
        <v>1</v>
      </c>
      <c r="W322" s="11">
        <v>1</v>
      </c>
      <c r="X322" s="11">
        <v>1</v>
      </c>
      <c r="Y322" s="11">
        <v>1</v>
      </c>
      <c r="Z322" s="11">
        <v>1</v>
      </c>
      <c r="AA322" s="11">
        <v>1</v>
      </c>
      <c r="AB322" s="11">
        <v>1</v>
      </c>
      <c r="AC322" s="11">
        <v>1</v>
      </c>
      <c r="AD322" s="11">
        <v>1</v>
      </c>
      <c r="AE322" s="11">
        <v>1</v>
      </c>
      <c r="AF322" s="11">
        <v>1</v>
      </c>
      <c r="AG322" s="11">
        <v>1</v>
      </c>
      <c r="AH322" s="11"/>
      <c r="AI322" s="11"/>
      <c r="AJ322" s="11"/>
      <c r="AK322" s="11"/>
      <c r="AL322" s="11"/>
      <c r="AM322" s="13"/>
    </row>
    <row r="323" spans="1:44">
      <c r="G323" s="222" t="s">
        <v>171</v>
      </c>
      <c r="H323" s="222" t="s">
        <v>246</v>
      </c>
      <c r="I323" s="218" t="s">
        <v>172</v>
      </c>
      <c r="J323" s="11">
        <v>100</v>
      </c>
      <c r="K323" s="11">
        <v>500</v>
      </c>
      <c r="M323" s="13" t="s">
        <v>148</v>
      </c>
      <c r="N323" s="11">
        <v>4</v>
      </c>
      <c r="O323" s="11" t="s">
        <v>61</v>
      </c>
      <c r="P323" s="11" t="s">
        <v>61</v>
      </c>
      <c r="Q323" s="14">
        <v>4</v>
      </c>
      <c r="R323" s="14">
        <v>12.18</v>
      </c>
      <c r="S323" s="11">
        <v>2</v>
      </c>
      <c r="T323" s="11">
        <v>2</v>
      </c>
      <c r="U323" s="11">
        <v>2</v>
      </c>
      <c r="V323" s="11">
        <v>2</v>
      </c>
      <c r="W323" s="11">
        <v>2</v>
      </c>
      <c r="X323" s="11">
        <v>2</v>
      </c>
      <c r="Y323" s="11">
        <v>2</v>
      </c>
      <c r="Z323" s="11">
        <v>2</v>
      </c>
      <c r="AA323" s="11">
        <v>2</v>
      </c>
      <c r="AB323" s="11">
        <v>2</v>
      </c>
      <c r="AC323" s="11">
        <v>1</v>
      </c>
      <c r="AD323" s="11">
        <v>1</v>
      </c>
      <c r="AE323" s="11">
        <v>1</v>
      </c>
      <c r="AF323" s="11">
        <v>1</v>
      </c>
      <c r="AG323" s="11">
        <v>1</v>
      </c>
      <c r="AH323" s="11">
        <v>1</v>
      </c>
      <c r="AI323" s="11">
        <v>1</v>
      </c>
      <c r="AJ323" s="11"/>
      <c r="AK323" s="11"/>
      <c r="AL323" s="11"/>
      <c r="AM323" s="13"/>
    </row>
    <row r="324" spans="1:44">
      <c r="G324" s="222" t="s">
        <v>171</v>
      </c>
      <c r="H324" s="222" t="s">
        <v>246</v>
      </c>
      <c r="I324" s="218" t="s">
        <v>172</v>
      </c>
      <c r="J324" s="11">
        <v>100</v>
      </c>
      <c r="K324" s="11">
        <v>500</v>
      </c>
      <c r="M324" s="13" t="s">
        <v>149</v>
      </c>
      <c r="N324" s="11">
        <v>4</v>
      </c>
      <c r="O324" s="11" t="s">
        <v>61</v>
      </c>
      <c r="P324" s="11" t="s">
        <v>61</v>
      </c>
      <c r="Q324" s="14">
        <v>4</v>
      </c>
      <c r="R324" s="14">
        <v>12.32</v>
      </c>
      <c r="S324" s="11">
        <v>2</v>
      </c>
      <c r="T324" s="11">
        <v>2</v>
      </c>
      <c r="U324" s="11">
        <v>2</v>
      </c>
      <c r="V324" s="11">
        <v>2</v>
      </c>
      <c r="W324" s="11">
        <v>2</v>
      </c>
      <c r="X324" s="11">
        <v>2</v>
      </c>
      <c r="Y324" s="11">
        <v>2</v>
      </c>
      <c r="Z324" s="11">
        <v>2</v>
      </c>
      <c r="AA324" s="11">
        <v>2</v>
      </c>
      <c r="AB324" s="11">
        <v>1</v>
      </c>
      <c r="AC324" s="11">
        <v>1</v>
      </c>
      <c r="AD324" s="11">
        <v>1</v>
      </c>
      <c r="AE324" s="11">
        <v>1</v>
      </c>
      <c r="AF324" s="11">
        <v>1</v>
      </c>
      <c r="AG324" s="11">
        <v>1</v>
      </c>
      <c r="AH324" s="11">
        <v>1</v>
      </c>
      <c r="AI324" s="11">
        <v>1</v>
      </c>
      <c r="AJ324" s="11"/>
      <c r="AK324" s="11"/>
      <c r="AL324" s="11"/>
      <c r="AM324" s="13"/>
    </row>
    <row r="325" spans="1:44">
      <c r="G325" s="222" t="s">
        <v>171</v>
      </c>
      <c r="H325" s="222" t="s">
        <v>246</v>
      </c>
      <c r="I325" s="218" t="s">
        <v>172</v>
      </c>
      <c r="J325" s="11">
        <v>100</v>
      </c>
      <c r="K325" s="11">
        <v>500</v>
      </c>
      <c r="M325" s="13" t="s">
        <v>150</v>
      </c>
      <c r="N325" s="11">
        <v>4</v>
      </c>
      <c r="O325" s="11" t="s">
        <v>61</v>
      </c>
      <c r="P325" s="11" t="s">
        <v>61</v>
      </c>
      <c r="Q325" s="14">
        <v>4</v>
      </c>
      <c r="R325" s="14">
        <v>12.46</v>
      </c>
      <c r="S325" s="222">
        <v>0</v>
      </c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3"/>
    </row>
    <row r="326" spans="1:44" s="311" customFormat="1" ht="15.75" thickBot="1">
      <c r="A326" s="321"/>
      <c r="B326" s="321"/>
      <c r="C326" s="321"/>
      <c r="D326" s="321"/>
      <c r="E326" s="321"/>
      <c r="F326" s="321"/>
      <c r="G326" s="306" t="s">
        <v>171</v>
      </c>
      <c r="H326" s="306" t="s">
        <v>246</v>
      </c>
      <c r="I326" s="325" t="s">
        <v>172</v>
      </c>
      <c r="J326" s="308">
        <v>100</v>
      </c>
      <c r="K326" s="308">
        <v>500</v>
      </c>
      <c r="L326" s="319"/>
      <c r="M326" s="391" t="s">
        <v>173</v>
      </c>
      <c r="N326" s="332">
        <v>5</v>
      </c>
      <c r="O326" s="332" t="s">
        <v>61</v>
      </c>
      <c r="P326" s="332" t="s">
        <v>61</v>
      </c>
      <c r="Q326" s="392">
        <v>5</v>
      </c>
      <c r="R326" s="392">
        <v>13.04</v>
      </c>
      <c r="S326" s="393">
        <v>2</v>
      </c>
      <c r="T326" s="332">
        <v>2</v>
      </c>
      <c r="U326" s="332">
        <v>2</v>
      </c>
      <c r="V326" s="332">
        <v>2</v>
      </c>
      <c r="W326" s="332">
        <v>2</v>
      </c>
      <c r="X326" s="332">
        <v>2</v>
      </c>
      <c r="Y326" s="332">
        <v>2</v>
      </c>
      <c r="Z326" s="332">
        <v>2</v>
      </c>
      <c r="AA326" s="332">
        <v>2</v>
      </c>
      <c r="AB326" s="332">
        <v>2</v>
      </c>
      <c r="AC326" s="332">
        <v>2</v>
      </c>
      <c r="AD326" s="332">
        <v>2</v>
      </c>
      <c r="AE326" s="332">
        <v>2</v>
      </c>
      <c r="AF326" s="332">
        <v>1</v>
      </c>
      <c r="AG326" s="332">
        <v>1</v>
      </c>
      <c r="AH326" s="332">
        <v>1</v>
      </c>
      <c r="AI326" s="332">
        <v>1</v>
      </c>
      <c r="AJ326" s="332">
        <v>1</v>
      </c>
      <c r="AK326" s="332">
        <v>1</v>
      </c>
      <c r="AL326" s="332">
        <v>1</v>
      </c>
      <c r="AM326" s="391">
        <v>1</v>
      </c>
      <c r="AN326" s="392">
        <v>1</v>
      </c>
      <c r="AO326" s="394"/>
      <c r="AP326" s="394" t="s">
        <v>336</v>
      </c>
      <c r="AQ326" s="397" t="s">
        <v>370</v>
      </c>
      <c r="AR326" s="303"/>
    </row>
    <row r="327" spans="1:44">
      <c r="A327" s="222">
        <v>21</v>
      </c>
      <c r="B327" s="44">
        <v>45968</v>
      </c>
      <c r="C327" s="31" t="s">
        <v>341</v>
      </c>
      <c r="D327" s="31" t="s">
        <v>371</v>
      </c>
      <c r="F327" s="433" t="s">
        <v>372</v>
      </c>
      <c r="G327" s="222" t="s">
        <v>174</v>
      </c>
      <c r="H327" s="222" t="s">
        <v>276</v>
      </c>
      <c r="I327" s="218" t="s">
        <v>175</v>
      </c>
      <c r="J327" s="11">
        <v>100</v>
      </c>
      <c r="K327" s="11">
        <v>500</v>
      </c>
      <c r="L327" s="41">
        <v>70</v>
      </c>
      <c r="M327" s="13" t="s">
        <v>349</v>
      </c>
      <c r="N327" s="11">
        <v>5</v>
      </c>
      <c r="O327" s="11">
        <v>1016</v>
      </c>
      <c r="P327" s="11">
        <v>10.37</v>
      </c>
      <c r="Q327" s="14">
        <v>5</v>
      </c>
      <c r="R327" s="14">
        <v>10.52</v>
      </c>
      <c r="S327" s="11">
        <v>2</v>
      </c>
      <c r="T327" s="11">
        <v>2</v>
      </c>
      <c r="U327" s="11">
        <v>2</v>
      </c>
      <c r="V327" s="11">
        <v>2</v>
      </c>
      <c r="W327" s="11">
        <v>2</v>
      </c>
      <c r="X327" s="11">
        <v>2</v>
      </c>
      <c r="Y327" s="11">
        <v>2</v>
      </c>
      <c r="Z327" s="11">
        <v>2</v>
      </c>
      <c r="AA327" s="11">
        <v>2</v>
      </c>
      <c r="AB327" s="11">
        <v>2</v>
      </c>
      <c r="AC327" s="11">
        <v>2</v>
      </c>
      <c r="AD327" s="11">
        <v>2</v>
      </c>
      <c r="AE327" s="11">
        <v>2</v>
      </c>
      <c r="AF327" s="11"/>
      <c r="AG327" s="11"/>
      <c r="AH327" s="11"/>
      <c r="AI327" s="11"/>
      <c r="AJ327" s="11"/>
      <c r="AK327" s="11"/>
      <c r="AL327" s="11"/>
      <c r="AM327" s="13"/>
      <c r="AO327" s="11"/>
      <c r="AP327" s="11"/>
      <c r="AR327" s="43" t="s">
        <v>247</v>
      </c>
    </row>
    <row r="328" spans="1:44">
      <c r="D328" s="31" t="s">
        <v>373</v>
      </c>
      <c r="G328" s="222" t="s">
        <v>174</v>
      </c>
      <c r="H328" s="222" t="s">
        <v>276</v>
      </c>
      <c r="I328" s="218" t="s">
        <v>175</v>
      </c>
      <c r="J328" s="11">
        <v>100</v>
      </c>
      <c r="K328" s="11">
        <v>500</v>
      </c>
      <c r="M328" s="13" t="s">
        <v>351</v>
      </c>
      <c r="N328" s="11">
        <v>4</v>
      </c>
      <c r="O328" s="11">
        <v>11.04</v>
      </c>
      <c r="P328" s="11">
        <v>11.18</v>
      </c>
      <c r="Q328" s="14">
        <v>4</v>
      </c>
      <c r="R328" s="14">
        <v>11.33</v>
      </c>
      <c r="S328" s="222">
        <v>1</v>
      </c>
      <c r="T328" s="11">
        <v>1</v>
      </c>
      <c r="U328" s="11">
        <v>1</v>
      </c>
      <c r="V328" s="11">
        <v>1</v>
      </c>
      <c r="W328" s="11">
        <v>1</v>
      </c>
      <c r="X328" s="11">
        <v>1</v>
      </c>
      <c r="Y328" s="11">
        <v>1</v>
      </c>
      <c r="Z328" s="11">
        <v>1</v>
      </c>
      <c r="AA328" s="11">
        <v>1</v>
      </c>
      <c r="AB328" s="11">
        <v>1</v>
      </c>
      <c r="AC328" s="11">
        <v>1</v>
      </c>
      <c r="AD328" s="11">
        <v>1</v>
      </c>
      <c r="AE328" s="11">
        <v>1</v>
      </c>
      <c r="AF328" s="11">
        <v>1</v>
      </c>
      <c r="AG328" s="11"/>
      <c r="AH328" s="11"/>
      <c r="AI328" s="11"/>
      <c r="AJ328" s="11"/>
      <c r="AK328" s="11"/>
      <c r="AL328" s="11"/>
      <c r="AM328" s="13"/>
      <c r="AO328" s="11"/>
      <c r="AP328" s="11"/>
    </row>
    <row r="329" spans="1:44">
      <c r="G329" s="222" t="s">
        <v>174</v>
      </c>
      <c r="H329" s="222" t="s">
        <v>276</v>
      </c>
      <c r="I329" s="218" t="s">
        <v>175</v>
      </c>
      <c r="J329" s="11">
        <v>100</v>
      </c>
      <c r="K329" s="11">
        <v>500</v>
      </c>
      <c r="M329" s="13" t="s">
        <v>352</v>
      </c>
      <c r="N329" s="11">
        <v>4</v>
      </c>
      <c r="O329" s="11">
        <v>11.19</v>
      </c>
      <c r="P329" s="11">
        <v>11.32</v>
      </c>
      <c r="Q329" s="14">
        <v>4</v>
      </c>
      <c r="R329" s="14">
        <v>11.45</v>
      </c>
      <c r="S329" s="222">
        <v>4</v>
      </c>
      <c r="T329" s="11">
        <v>4</v>
      </c>
      <c r="U329" s="11">
        <v>4</v>
      </c>
      <c r="V329" s="11">
        <v>4</v>
      </c>
      <c r="W329" s="11">
        <v>3</v>
      </c>
      <c r="X329" s="11">
        <v>3</v>
      </c>
      <c r="Y329" s="11">
        <v>3</v>
      </c>
      <c r="Z329" s="11">
        <v>3</v>
      </c>
      <c r="AA329" s="11">
        <v>3</v>
      </c>
      <c r="AB329" s="11">
        <v>3</v>
      </c>
      <c r="AC329" s="11">
        <v>3</v>
      </c>
      <c r="AD329" s="11">
        <v>3</v>
      </c>
      <c r="AE329" s="11">
        <v>3</v>
      </c>
      <c r="AF329" s="11">
        <v>3</v>
      </c>
      <c r="AG329" s="11">
        <v>2</v>
      </c>
      <c r="AH329" s="11"/>
      <c r="AI329" s="11"/>
      <c r="AJ329" s="11"/>
      <c r="AK329" s="11"/>
      <c r="AL329" s="11"/>
      <c r="AM329" s="13"/>
      <c r="AO329" s="11"/>
      <c r="AP329" s="11"/>
    </row>
    <row r="330" spans="1:44">
      <c r="G330" s="222" t="s">
        <v>174</v>
      </c>
      <c r="H330" s="222" t="s">
        <v>276</v>
      </c>
      <c r="I330" s="218" t="s">
        <v>175</v>
      </c>
      <c r="J330" s="11">
        <v>100</v>
      </c>
      <c r="K330" s="11">
        <v>500</v>
      </c>
      <c r="M330" s="13" t="s">
        <v>353</v>
      </c>
      <c r="N330" s="11">
        <v>4</v>
      </c>
      <c r="O330" s="11">
        <v>11.33</v>
      </c>
      <c r="P330" s="11">
        <v>11.46</v>
      </c>
      <c r="Q330" s="14">
        <v>4</v>
      </c>
      <c r="R330" s="14">
        <v>12.01</v>
      </c>
      <c r="S330" s="222">
        <v>1</v>
      </c>
      <c r="T330" s="11">
        <v>1</v>
      </c>
      <c r="U330" s="11">
        <v>1</v>
      </c>
      <c r="V330" s="11">
        <v>1</v>
      </c>
      <c r="W330" s="11">
        <v>1</v>
      </c>
      <c r="X330" s="11">
        <v>1</v>
      </c>
      <c r="Y330" s="11">
        <v>1</v>
      </c>
      <c r="Z330" s="11">
        <v>1</v>
      </c>
      <c r="AA330" s="11">
        <v>1</v>
      </c>
      <c r="AB330" s="11">
        <v>1</v>
      </c>
      <c r="AC330" s="11">
        <v>1</v>
      </c>
      <c r="AD330" s="11">
        <v>1</v>
      </c>
      <c r="AE330" s="11">
        <v>1</v>
      </c>
      <c r="AF330" s="11">
        <v>1</v>
      </c>
      <c r="AG330" s="11"/>
      <c r="AH330" s="11"/>
      <c r="AI330" s="11"/>
      <c r="AJ330" s="11"/>
      <c r="AK330" s="11"/>
      <c r="AL330" s="11"/>
      <c r="AM330" s="13"/>
      <c r="AO330" s="11"/>
      <c r="AP330" s="11"/>
    </row>
    <row r="331" spans="1:44" s="23" customFormat="1">
      <c r="A331" s="31"/>
      <c r="B331" s="31"/>
      <c r="C331" s="31"/>
      <c r="D331" s="31"/>
      <c r="E331" s="31"/>
      <c r="F331" s="31"/>
      <c r="G331" s="18" t="s">
        <v>174</v>
      </c>
      <c r="H331" s="18" t="s">
        <v>276</v>
      </c>
      <c r="I331" s="219" t="s">
        <v>175</v>
      </c>
      <c r="J331" s="28">
        <v>100</v>
      </c>
      <c r="K331" s="28">
        <v>500</v>
      </c>
      <c r="L331" s="53"/>
      <c r="M331" s="19" t="s">
        <v>354</v>
      </c>
      <c r="N331" s="28">
        <v>4</v>
      </c>
      <c r="O331" s="28">
        <v>11.54</v>
      </c>
      <c r="P331" s="28">
        <v>12.01</v>
      </c>
      <c r="Q331" s="20">
        <v>4</v>
      </c>
      <c r="R331" s="20">
        <v>12.25</v>
      </c>
      <c r="S331" s="18">
        <v>2</v>
      </c>
      <c r="T331" s="28">
        <v>2</v>
      </c>
      <c r="U331" s="28">
        <v>2</v>
      </c>
      <c r="V331" s="28">
        <v>2</v>
      </c>
      <c r="W331" s="28">
        <v>2</v>
      </c>
      <c r="X331" s="28">
        <v>2</v>
      </c>
      <c r="Y331" s="28">
        <v>2</v>
      </c>
      <c r="Z331" s="28">
        <v>2</v>
      </c>
      <c r="AA331" s="28">
        <v>2</v>
      </c>
      <c r="AB331" s="28">
        <v>2</v>
      </c>
      <c r="AC331" s="28">
        <v>2</v>
      </c>
      <c r="AD331" s="28">
        <v>2</v>
      </c>
      <c r="AE331" s="28">
        <v>2</v>
      </c>
      <c r="AF331" s="28">
        <v>1</v>
      </c>
      <c r="AG331" s="28">
        <v>1</v>
      </c>
      <c r="AH331" s="28"/>
      <c r="AI331" s="28"/>
      <c r="AJ331" s="28"/>
      <c r="AK331" s="28"/>
      <c r="AL331" s="28"/>
      <c r="AM331" s="19"/>
      <c r="AN331" s="20"/>
      <c r="AO331" s="28"/>
      <c r="AP331" s="28"/>
      <c r="AR331" s="45"/>
    </row>
    <row r="332" spans="1:44">
      <c r="G332" s="222" t="s">
        <v>174</v>
      </c>
      <c r="H332" s="222" t="s">
        <v>276</v>
      </c>
      <c r="I332" s="218" t="s">
        <v>175</v>
      </c>
      <c r="J332" s="11">
        <v>100</v>
      </c>
      <c r="K332" s="11">
        <v>500</v>
      </c>
      <c r="L332" s="41">
        <v>80</v>
      </c>
      <c r="M332" s="13" t="s">
        <v>153</v>
      </c>
      <c r="N332" s="11">
        <v>4</v>
      </c>
      <c r="O332" s="11">
        <v>10.17</v>
      </c>
      <c r="P332" s="11">
        <v>10.35</v>
      </c>
      <c r="Q332" s="14">
        <v>4</v>
      </c>
      <c r="R332" s="14">
        <v>10.51</v>
      </c>
      <c r="S332" s="222">
        <v>3</v>
      </c>
      <c r="T332" s="11">
        <v>3</v>
      </c>
      <c r="U332" s="11">
        <v>3</v>
      </c>
      <c r="V332" s="11">
        <v>3</v>
      </c>
      <c r="W332" s="11">
        <v>3</v>
      </c>
      <c r="X332" s="11">
        <v>3</v>
      </c>
      <c r="Y332" s="11">
        <v>3</v>
      </c>
      <c r="Z332" s="11">
        <v>3</v>
      </c>
      <c r="AA332" s="11">
        <v>3</v>
      </c>
      <c r="AB332" s="11">
        <v>3</v>
      </c>
      <c r="AC332" s="11">
        <v>3</v>
      </c>
      <c r="AD332" s="11">
        <v>3</v>
      </c>
      <c r="AE332" s="11">
        <v>3</v>
      </c>
      <c r="AF332" s="11">
        <v>2</v>
      </c>
      <c r="AG332" s="11">
        <v>2</v>
      </c>
      <c r="AH332" s="11">
        <v>2</v>
      </c>
      <c r="AI332" s="11">
        <v>2</v>
      </c>
      <c r="AJ332" s="11">
        <v>1</v>
      </c>
      <c r="AK332" s="11">
        <v>1</v>
      </c>
      <c r="AL332" s="11">
        <v>1</v>
      </c>
      <c r="AM332" s="13">
        <v>0</v>
      </c>
      <c r="AR332" s="43" t="s">
        <v>260</v>
      </c>
    </row>
    <row r="333" spans="1:44">
      <c r="G333" s="222" t="s">
        <v>174</v>
      </c>
      <c r="H333" s="222" t="s">
        <v>276</v>
      </c>
      <c r="I333" s="218" t="s">
        <v>175</v>
      </c>
      <c r="J333" s="11">
        <v>100</v>
      </c>
      <c r="K333" s="11">
        <v>500</v>
      </c>
      <c r="M333" s="46" t="s">
        <v>154</v>
      </c>
      <c r="N333" s="47">
        <v>5</v>
      </c>
      <c r="O333" s="47">
        <v>10.51</v>
      </c>
      <c r="P333" s="47">
        <v>11.05</v>
      </c>
      <c r="Q333" s="48">
        <v>5</v>
      </c>
      <c r="R333" s="48">
        <v>11.21</v>
      </c>
      <c r="S333" s="26">
        <v>2</v>
      </c>
      <c r="T333" s="47">
        <v>2</v>
      </c>
      <c r="U333" s="47">
        <v>2</v>
      </c>
      <c r="V333" s="47">
        <v>2</v>
      </c>
      <c r="W333" s="47">
        <v>2</v>
      </c>
      <c r="X333" s="47">
        <v>2</v>
      </c>
      <c r="Y333" s="47">
        <v>2</v>
      </c>
      <c r="Z333" s="47">
        <v>2</v>
      </c>
      <c r="AA333" s="47">
        <v>2</v>
      </c>
      <c r="AB333" s="47">
        <v>2</v>
      </c>
      <c r="AC333" s="47">
        <v>2</v>
      </c>
      <c r="AD333" s="47">
        <v>2</v>
      </c>
      <c r="AE333" s="47">
        <v>2</v>
      </c>
      <c r="AF333" s="47">
        <v>2</v>
      </c>
      <c r="AG333" s="47">
        <v>2</v>
      </c>
      <c r="AH333" s="47">
        <v>1</v>
      </c>
      <c r="AI333" s="47">
        <v>1</v>
      </c>
      <c r="AJ333" s="47">
        <v>1</v>
      </c>
      <c r="AK333" s="47">
        <v>1</v>
      </c>
      <c r="AL333" s="47">
        <v>1</v>
      </c>
      <c r="AM333" s="46">
        <v>1</v>
      </c>
      <c r="AN333" s="48">
        <v>1</v>
      </c>
      <c r="AO333" s="86"/>
      <c r="AP333" s="86" t="s">
        <v>336</v>
      </c>
      <c r="AQ333" s="398" t="s">
        <v>374</v>
      </c>
    </row>
    <row r="334" spans="1:44">
      <c r="G334" s="222" t="s">
        <v>174</v>
      </c>
      <c r="H334" s="222" t="s">
        <v>276</v>
      </c>
      <c r="I334" s="218" t="s">
        <v>175</v>
      </c>
      <c r="J334" s="11">
        <v>100</v>
      </c>
      <c r="K334" s="11">
        <v>500</v>
      </c>
      <c r="M334" s="13" t="s">
        <v>155</v>
      </c>
      <c r="N334" s="11">
        <v>4</v>
      </c>
      <c r="O334" s="11">
        <v>11.15</v>
      </c>
      <c r="P334" s="11">
        <v>11.3</v>
      </c>
      <c r="Q334" s="14">
        <v>4</v>
      </c>
      <c r="R334" s="14">
        <v>11.44</v>
      </c>
      <c r="S334" s="222">
        <v>3</v>
      </c>
      <c r="T334" s="11">
        <v>3</v>
      </c>
      <c r="U334" s="11">
        <v>3</v>
      </c>
      <c r="V334" s="11">
        <v>3</v>
      </c>
      <c r="W334" s="11">
        <v>3</v>
      </c>
      <c r="X334" s="11">
        <v>3</v>
      </c>
      <c r="Y334" s="11">
        <v>3</v>
      </c>
      <c r="Z334" s="11">
        <v>3</v>
      </c>
      <c r="AA334" s="11">
        <v>3</v>
      </c>
      <c r="AB334" s="11">
        <v>3</v>
      </c>
      <c r="AC334" s="11">
        <v>3</v>
      </c>
      <c r="AD334" s="11">
        <v>3</v>
      </c>
      <c r="AE334" s="11">
        <v>2</v>
      </c>
      <c r="AF334" s="11">
        <v>2</v>
      </c>
      <c r="AG334" s="11">
        <v>2</v>
      </c>
      <c r="AH334" s="11">
        <v>2</v>
      </c>
      <c r="AI334" s="11">
        <v>2</v>
      </c>
      <c r="AJ334" s="11">
        <v>2</v>
      </c>
      <c r="AK334" s="11">
        <v>0</v>
      </c>
      <c r="AL334" s="11"/>
      <c r="AM334" s="13"/>
    </row>
    <row r="335" spans="1:44">
      <c r="G335" s="222" t="s">
        <v>174</v>
      </c>
      <c r="H335" s="222" t="s">
        <v>276</v>
      </c>
      <c r="I335" s="218" t="s">
        <v>175</v>
      </c>
      <c r="J335" s="11">
        <v>100</v>
      </c>
      <c r="K335" s="11">
        <v>500</v>
      </c>
      <c r="M335" s="13" t="s">
        <v>156</v>
      </c>
      <c r="N335" s="11">
        <v>4</v>
      </c>
      <c r="O335" s="11">
        <v>11.33</v>
      </c>
      <c r="P335" s="11">
        <v>11.46</v>
      </c>
      <c r="Q335" s="14">
        <v>4</v>
      </c>
      <c r="R335" s="14">
        <v>12.02</v>
      </c>
      <c r="S335" s="222">
        <v>2</v>
      </c>
      <c r="T335" s="11">
        <v>2</v>
      </c>
      <c r="U335" s="11">
        <v>2</v>
      </c>
      <c r="V335" s="11">
        <v>2</v>
      </c>
      <c r="W335" s="11">
        <v>2</v>
      </c>
      <c r="X335" s="11">
        <v>2</v>
      </c>
      <c r="Y335" s="11">
        <v>2</v>
      </c>
      <c r="Z335" s="11">
        <v>2</v>
      </c>
      <c r="AA335" s="11">
        <v>2</v>
      </c>
      <c r="AB335" s="11">
        <v>2</v>
      </c>
      <c r="AC335" s="11">
        <v>2</v>
      </c>
      <c r="AD335" s="11">
        <v>2</v>
      </c>
      <c r="AE335" s="11">
        <v>2</v>
      </c>
      <c r="AF335" s="11">
        <v>1</v>
      </c>
      <c r="AG335" s="11">
        <v>1</v>
      </c>
      <c r="AH335" s="11">
        <v>1</v>
      </c>
      <c r="AI335" s="11">
        <v>1</v>
      </c>
      <c r="AJ335" s="11">
        <v>0</v>
      </c>
      <c r="AK335" s="11"/>
      <c r="AL335" s="11"/>
      <c r="AM335" s="13"/>
    </row>
    <row r="336" spans="1:44">
      <c r="G336" s="222" t="s">
        <v>174</v>
      </c>
      <c r="H336" s="222" t="s">
        <v>276</v>
      </c>
      <c r="I336" s="218" t="s">
        <v>175</v>
      </c>
      <c r="J336" s="11">
        <v>100</v>
      </c>
      <c r="K336" s="11">
        <v>500</v>
      </c>
      <c r="M336" s="46" t="s">
        <v>157</v>
      </c>
      <c r="N336" s="47">
        <v>3</v>
      </c>
      <c r="O336" s="47">
        <v>11.48</v>
      </c>
      <c r="P336" s="47">
        <v>11.58</v>
      </c>
      <c r="Q336" s="48">
        <v>3</v>
      </c>
      <c r="R336" s="48">
        <v>12.14</v>
      </c>
      <c r="S336" s="26">
        <v>1</v>
      </c>
      <c r="T336" s="47">
        <v>1</v>
      </c>
      <c r="U336" s="47">
        <v>1</v>
      </c>
      <c r="V336" s="47">
        <v>1</v>
      </c>
      <c r="W336" s="47">
        <v>1</v>
      </c>
      <c r="X336" s="47">
        <v>1</v>
      </c>
      <c r="Y336" s="47">
        <v>1</v>
      </c>
      <c r="Z336" s="47">
        <v>1</v>
      </c>
      <c r="AA336" s="47">
        <v>1</v>
      </c>
      <c r="AB336" s="47">
        <v>1</v>
      </c>
      <c r="AC336" s="47">
        <v>1</v>
      </c>
      <c r="AD336" s="47">
        <v>1</v>
      </c>
      <c r="AE336" s="47">
        <v>1</v>
      </c>
      <c r="AF336" s="47">
        <v>1</v>
      </c>
      <c r="AG336" s="47">
        <v>1</v>
      </c>
      <c r="AH336" s="47">
        <v>1</v>
      </c>
      <c r="AI336" s="47">
        <v>1</v>
      </c>
      <c r="AJ336" s="47">
        <v>1</v>
      </c>
      <c r="AK336" s="47">
        <v>1</v>
      </c>
      <c r="AL336" s="47">
        <v>1</v>
      </c>
      <c r="AM336" s="46">
        <v>1</v>
      </c>
      <c r="AN336" s="48">
        <v>1</v>
      </c>
      <c r="AO336" s="86"/>
      <c r="AP336" s="86" t="s">
        <v>336</v>
      </c>
      <c r="AQ336" s="398" t="s">
        <v>375</v>
      </c>
    </row>
    <row r="337" spans="1:44" s="311" customFormat="1" ht="15.75" thickBot="1">
      <c r="A337" s="321"/>
      <c r="B337" s="321"/>
      <c r="C337" s="321"/>
      <c r="D337" s="321"/>
      <c r="E337" s="321"/>
      <c r="F337" s="321"/>
      <c r="G337" s="306" t="s">
        <v>174</v>
      </c>
      <c r="H337" s="306" t="s">
        <v>276</v>
      </c>
      <c r="I337" s="325" t="s">
        <v>175</v>
      </c>
      <c r="J337" s="308">
        <v>100</v>
      </c>
      <c r="K337" s="308">
        <v>500</v>
      </c>
      <c r="L337" s="319"/>
      <c r="M337" s="305" t="s">
        <v>158</v>
      </c>
      <c r="N337" s="308">
        <v>3</v>
      </c>
      <c r="O337" s="308">
        <v>12</v>
      </c>
      <c r="P337" s="308">
        <v>12.1</v>
      </c>
      <c r="Q337" s="309">
        <v>3</v>
      </c>
      <c r="R337" s="309">
        <v>12.26</v>
      </c>
      <c r="S337" s="306">
        <v>1</v>
      </c>
      <c r="T337" s="308">
        <v>1</v>
      </c>
      <c r="U337" s="308">
        <v>1</v>
      </c>
      <c r="V337" s="308">
        <v>1</v>
      </c>
      <c r="W337" s="308">
        <v>1</v>
      </c>
      <c r="X337" s="308">
        <v>1</v>
      </c>
      <c r="Y337" s="308">
        <v>1</v>
      </c>
      <c r="Z337" s="308">
        <v>1</v>
      </c>
      <c r="AA337" s="308">
        <v>1</v>
      </c>
      <c r="AB337" s="308">
        <v>1</v>
      </c>
      <c r="AC337" s="308">
        <v>1</v>
      </c>
      <c r="AD337" s="308">
        <v>1</v>
      </c>
      <c r="AE337" s="308">
        <v>1</v>
      </c>
      <c r="AF337" s="308">
        <v>1</v>
      </c>
      <c r="AG337" s="308">
        <v>1</v>
      </c>
      <c r="AH337" s="308">
        <v>1</v>
      </c>
      <c r="AI337" s="308">
        <v>1</v>
      </c>
      <c r="AJ337" s="308">
        <v>1</v>
      </c>
      <c r="AK337" s="308">
        <v>0</v>
      </c>
      <c r="AL337" s="308"/>
      <c r="AM337" s="305"/>
      <c r="AN337" s="309"/>
      <c r="AR337" s="303"/>
    </row>
    <row r="338" spans="1:44">
      <c r="A338" s="43">
        <v>22</v>
      </c>
      <c r="B338" s="44">
        <v>45971</v>
      </c>
      <c r="C338" s="31" t="s">
        <v>341</v>
      </c>
      <c r="D338" s="31" t="s">
        <v>376</v>
      </c>
      <c r="F338" s="31" t="s">
        <v>372</v>
      </c>
      <c r="H338" s="222" t="s">
        <v>246</v>
      </c>
      <c r="I338" s="218" t="s">
        <v>176</v>
      </c>
      <c r="J338" s="11">
        <v>100</v>
      </c>
      <c r="K338" s="11">
        <v>500</v>
      </c>
      <c r="M338" s="13" t="s">
        <v>349</v>
      </c>
      <c r="N338" s="117">
        <v>4</v>
      </c>
      <c r="O338" s="104">
        <v>10.42</v>
      </c>
      <c r="P338" s="116">
        <v>10.58</v>
      </c>
      <c r="Q338" s="448">
        <v>4</v>
      </c>
      <c r="R338" s="448">
        <v>11.13</v>
      </c>
      <c r="S338" s="222">
        <v>4</v>
      </c>
      <c r="T338" s="11">
        <v>4</v>
      </c>
      <c r="U338" s="11">
        <v>4</v>
      </c>
      <c r="V338" s="11">
        <v>4</v>
      </c>
      <c r="W338" s="11">
        <v>4</v>
      </c>
      <c r="X338" s="11">
        <v>4</v>
      </c>
      <c r="Y338" s="11">
        <v>4</v>
      </c>
      <c r="Z338" s="11">
        <v>4</v>
      </c>
      <c r="AA338" s="11">
        <v>4</v>
      </c>
      <c r="AB338" s="11">
        <v>4</v>
      </c>
      <c r="AC338" s="11">
        <v>4</v>
      </c>
      <c r="AD338" s="11">
        <v>4</v>
      </c>
      <c r="AE338" s="11">
        <v>4</v>
      </c>
      <c r="AF338" s="11">
        <v>2</v>
      </c>
      <c r="AG338" s="11"/>
      <c r="AH338" s="11"/>
      <c r="AI338" s="11"/>
      <c r="AJ338" s="11"/>
      <c r="AK338" s="11"/>
      <c r="AL338" s="11"/>
      <c r="AM338" s="13"/>
      <c r="AR338" s="43" t="s">
        <v>247</v>
      </c>
    </row>
    <row r="339" spans="1:44">
      <c r="D339" s="31" t="s">
        <v>377</v>
      </c>
      <c r="H339" s="222" t="s">
        <v>246</v>
      </c>
      <c r="I339" s="218" t="s">
        <v>176</v>
      </c>
      <c r="J339" s="11">
        <v>100</v>
      </c>
      <c r="K339" s="11">
        <v>500</v>
      </c>
      <c r="M339" s="13" t="s">
        <v>351</v>
      </c>
      <c r="N339" s="117">
        <v>4</v>
      </c>
      <c r="O339" s="104">
        <v>10.59</v>
      </c>
      <c r="P339" s="116">
        <v>11.14</v>
      </c>
      <c r="Q339" s="448">
        <v>4</v>
      </c>
      <c r="R339" s="448">
        <v>11.28</v>
      </c>
      <c r="S339" s="222">
        <v>2</v>
      </c>
      <c r="T339" s="11">
        <v>2</v>
      </c>
      <c r="U339" s="11">
        <v>2</v>
      </c>
      <c r="V339" s="11">
        <v>2</v>
      </c>
      <c r="W339" s="11">
        <v>2</v>
      </c>
      <c r="X339" s="11">
        <v>2</v>
      </c>
      <c r="Y339" s="11">
        <v>2</v>
      </c>
      <c r="Z339" s="11">
        <v>2</v>
      </c>
      <c r="AA339" s="11">
        <v>2</v>
      </c>
      <c r="AB339" s="11">
        <v>2</v>
      </c>
      <c r="AC339" s="11">
        <v>2</v>
      </c>
      <c r="AD339" s="11">
        <v>2</v>
      </c>
      <c r="AE339" s="11">
        <v>2</v>
      </c>
      <c r="AF339" s="11">
        <v>1</v>
      </c>
      <c r="AG339" s="11"/>
      <c r="AH339" s="11"/>
      <c r="AI339" s="11"/>
      <c r="AJ339" s="11"/>
      <c r="AK339" s="11"/>
      <c r="AL339" s="11"/>
      <c r="AM339" s="13"/>
    </row>
    <row r="340" spans="1:44">
      <c r="H340" s="222" t="s">
        <v>246</v>
      </c>
      <c r="I340" s="218" t="s">
        <v>176</v>
      </c>
      <c r="J340" s="11">
        <v>100</v>
      </c>
      <c r="K340" s="11">
        <v>500</v>
      </c>
      <c r="M340" s="13" t="s">
        <v>352</v>
      </c>
      <c r="N340" s="117">
        <v>4</v>
      </c>
      <c r="O340" s="104">
        <v>11.15</v>
      </c>
      <c r="P340" s="116">
        <v>11.33</v>
      </c>
      <c r="Q340" s="448">
        <v>4</v>
      </c>
      <c r="R340" s="448">
        <v>11.47</v>
      </c>
      <c r="S340" s="222">
        <v>2</v>
      </c>
      <c r="T340" s="11">
        <v>2</v>
      </c>
      <c r="U340" s="11">
        <v>2</v>
      </c>
      <c r="V340" s="11">
        <v>2</v>
      </c>
      <c r="W340" s="11">
        <v>2</v>
      </c>
      <c r="X340" s="11">
        <v>2</v>
      </c>
      <c r="Y340" s="11">
        <v>2</v>
      </c>
      <c r="Z340" s="11">
        <v>2</v>
      </c>
      <c r="AA340" s="11">
        <v>2</v>
      </c>
      <c r="AB340" s="11">
        <v>2</v>
      </c>
      <c r="AC340" s="11">
        <v>2</v>
      </c>
      <c r="AD340" s="11"/>
      <c r="AE340" s="11"/>
      <c r="AF340" s="11"/>
    </row>
    <row r="341" spans="1:44">
      <c r="H341" s="222" t="s">
        <v>246</v>
      </c>
      <c r="I341" s="218" t="s">
        <v>176</v>
      </c>
      <c r="J341" s="11">
        <v>100</v>
      </c>
      <c r="K341" s="11">
        <v>500</v>
      </c>
      <c r="M341" s="13" t="s">
        <v>353</v>
      </c>
      <c r="N341" s="117">
        <v>1</v>
      </c>
      <c r="O341" s="104">
        <v>11.34</v>
      </c>
      <c r="P341" s="116">
        <v>11.51</v>
      </c>
      <c r="Q341" s="448">
        <v>1</v>
      </c>
      <c r="R341" s="448">
        <v>12.06</v>
      </c>
      <c r="S341" s="222">
        <v>0</v>
      </c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44">
      <c r="H342" s="222" t="s">
        <v>246</v>
      </c>
      <c r="I342" s="218" t="s">
        <v>176</v>
      </c>
      <c r="J342" s="11">
        <v>100</v>
      </c>
      <c r="K342" s="11">
        <v>500</v>
      </c>
      <c r="M342" s="13" t="s">
        <v>354</v>
      </c>
      <c r="N342" s="117">
        <v>2</v>
      </c>
      <c r="O342" s="104" t="s">
        <v>61</v>
      </c>
      <c r="P342" s="116">
        <v>12.05</v>
      </c>
      <c r="Q342" s="448">
        <v>2</v>
      </c>
      <c r="R342" s="448">
        <v>12.19</v>
      </c>
      <c r="S342" s="222">
        <v>2</v>
      </c>
      <c r="T342" s="11">
        <v>2</v>
      </c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44">
      <c r="H343" s="222" t="s">
        <v>246</v>
      </c>
      <c r="I343" s="218" t="s">
        <v>176</v>
      </c>
      <c r="J343" s="11">
        <v>100</v>
      </c>
      <c r="K343" s="11">
        <v>500</v>
      </c>
      <c r="M343" s="13" t="s">
        <v>355</v>
      </c>
      <c r="N343" s="117">
        <v>4</v>
      </c>
      <c r="O343" s="104">
        <v>12.06</v>
      </c>
      <c r="P343" s="116">
        <v>12.23</v>
      </c>
      <c r="Q343" s="448">
        <v>4</v>
      </c>
      <c r="R343" s="448">
        <v>12.37</v>
      </c>
      <c r="S343" s="222">
        <v>2</v>
      </c>
      <c r="T343" s="11">
        <v>2</v>
      </c>
      <c r="U343" s="11">
        <v>2</v>
      </c>
      <c r="V343" s="11">
        <v>2</v>
      </c>
      <c r="W343" s="11">
        <v>1</v>
      </c>
      <c r="X343" s="11">
        <v>1</v>
      </c>
      <c r="Y343" s="11">
        <v>1</v>
      </c>
      <c r="Z343" s="11">
        <v>1</v>
      </c>
      <c r="AA343" s="11">
        <v>1</v>
      </c>
      <c r="AB343" s="11">
        <v>1</v>
      </c>
      <c r="AC343" s="11"/>
      <c r="AD343" s="11"/>
      <c r="AE343" s="11"/>
      <c r="AF343" s="11"/>
    </row>
    <row r="344" spans="1:44" s="23" customFormat="1">
      <c r="A344" s="31"/>
      <c r="B344" s="31"/>
      <c r="C344" s="31"/>
      <c r="D344" s="31"/>
      <c r="E344" s="31"/>
      <c r="F344" s="31"/>
      <c r="G344" s="31"/>
      <c r="H344" s="18" t="s">
        <v>246</v>
      </c>
      <c r="I344" s="219" t="s">
        <v>176</v>
      </c>
      <c r="J344" s="28">
        <v>100</v>
      </c>
      <c r="K344" s="28">
        <v>500</v>
      </c>
      <c r="L344" s="53"/>
      <c r="M344" s="19" t="s">
        <v>356</v>
      </c>
      <c r="N344" s="427">
        <v>4</v>
      </c>
      <c r="O344" s="424">
        <v>12.25</v>
      </c>
      <c r="P344" s="426">
        <v>12.39</v>
      </c>
      <c r="Q344" s="460">
        <v>4</v>
      </c>
      <c r="R344" s="460">
        <v>12.49</v>
      </c>
      <c r="S344" s="18">
        <v>3</v>
      </c>
      <c r="T344" s="28">
        <v>3</v>
      </c>
      <c r="U344" s="28">
        <v>2</v>
      </c>
      <c r="V344" s="28">
        <v>2</v>
      </c>
      <c r="W344" s="28">
        <v>2</v>
      </c>
      <c r="X344" s="28">
        <v>2</v>
      </c>
      <c r="Y344" s="28">
        <v>2</v>
      </c>
      <c r="Z344" s="28">
        <v>2</v>
      </c>
      <c r="AA344" s="28">
        <v>2</v>
      </c>
      <c r="AB344" s="28">
        <v>1</v>
      </c>
      <c r="AC344" s="28"/>
      <c r="AD344" s="28"/>
      <c r="AE344" s="28"/>
      <c r="AF344" s="28"/>
      <c r="AM344" s="53"/>
      <c r="AN344" s="20"/>
      <c r="AR344" s="45"/>
    </row>
    <row r="345" spans="1:44">
      <c r="H345" s="222" t="s">
        <v>246</v>
      </c>
      <c r="I345" s="218" t="s">
        <v>176</v>
      </c>
      <c r="J345" s="11">
        <v>100</v>
      </c>
      <c r="K345" s="11">
        <v>500</v>
      </c>
      <c r="L345" s="41">
        <v>75</v>
      </c>
      <c r="M345" s="13" t="s">
        <v>153</v>
      </c>
      <c r="N345" s="11">
        <v>4</v>
      </c>
      <c r="O345" s="11">
        <v>10.37</v>
      </c>
      <c r="P345" s="11">
        <v>11.49</v>
      </c>
      <c r="Q345" s="14">
        <v>4</v>
      </c>
      <c r="R345" s="14">
        <v>11.05</v>
      </c>
      <c r="S345" s="222">
        <v>3</v>
      </c>
      <c r="T345" s="11">
        <v>3</v>
      </c>
      <c r="U345" s="11">
        <v>3</v>
      </c>
      <c r="V345" s="11">
        <v>3</v>
      </c>
      <c r="W345" s="11">
        <v>3</v>
      </c>
      <c r="X345" s="11">
        <v>3</v>
      </c>
      <c r="Y345" s="11">
        <v>3</v>
      </c>
      <c r="Z345" s="11">
        <v>3</v>
      </c>
      <c r="AA345" s="11">
        <v>3</v>
      </c>
      <c r="AB345" s="11">
        <v>2</v>
      </c>
      <c r="AC345" s="11">
        <v>2</v>
      </c>
      <c r="AD345" s="11">
        <v>2</v>
      </c>
      <c r="AE345" s="11">
        <v>2</v>
      </c>
      <c r="AF345" s="11">
        <v>2</v>
      </c>
      <c r="AG345" s="11">
        <v>2</v>
      </c>
      <c r="AH345" s="11">
        <v>0</v>
      </c>
      <c r="AI345" s="11"/>
      <c r="AJ345" s="11"/>
      <c r="AK345" s="11"/>
      <c r="AL345" s="11"/>
      <c r="AM345" s="13"/>
      <c r="AR345" s="43" t="s">
        <v>260</v>
      </c>
    </row>
    <row r="346" spans="1:44">
      <c r="H346" s="222" t="s">
        <v>246</v>
      </c>
      <c r="I346" s="218" t="s">
        <v>176</v>
      </c>
      <c r="J346" s="11">
        <v>100</v>
      </c>
      <c r="K346" s="11">
        <v>500</v>
      </c>
      <c r="M346" s="13" t="s">
        <v>154</v>
      </c>
      <c r="N346" s="11">
        <v>4</v>
      </c>
      <c r="O346" s="11">
        <v>10.52</v>
      </c>
      <c r="P346" s="11">
        <v>11.05</v>
      </c>
      <c r="Q346" s="14">
        <v>4</v>
      </c>
      <c r="R346" s="14">
        <v>11.23</v>
      </c>
      <c r="S346" s="222">
        <v>2</v>
      </c>
      <c r="T346" s="11">
        <v>2</v>
      </c>
      <c r="U346" s="11">
        <v>2</v>
      </c>
      <c r="V346" s="11">
        <v>2</v>
      </c>
      <c r="W346" s="11">
        <v>2</v>
      </c>
      <c r="X346" s="11">
        <v>2</v>
      </c>
      <c r="Y346" s="11">
        <v>2</v>
      </c>
      <c r="Z346" s="11">
        <v>2</v>
      </c>
      <c r="AA346" s="11">
        <v>2</v>
      </c>
      <c r="AB346" s="11">
        <v>2</v>
      </c>
      <c r="AC346" s="11">
        <v>2</v>
      </c>
      <c r="AD346" s="11">
        <v>2</v>
      </c>
      <c r="AE346" s="11">
        <v>2</v>
      </c>
      <c r="AF346" s="11">
        <v>2</v>
      </c>
      <c r="AG346" s="11">
        <v>1</v>
      </c>
      <c r="AH346" s="11">
        <v>1</v>
      </c>
      <c r="AI346" s="11"/>
      <c r="AJ346" s="11"/>
      <c r="AK346" s="11"/>
      <c r="AL346" s="11"/>
      <c r="AM346" s="13"/>
    </row>
    <row r="347" spans="1:44">
      <c r="H347" s="222" t="s">
        <v>246</v>
      </c>
      <c r="I347" s="218" t="s">
        <v>176</v>
      </c>
      <c r="J347" s="11">
        <v>100</v>
      </c>
      <c r="K347" s="11">
        <v>500</v>
      </c>
      <c r="M347" s="13" t="s">
        <v>155</v>
      </c>
      <c r="N347" s="11">
        <v>4</v>
      </c>
      <c r="O347" s="11">
        <v>11.08</v>
      </c>
      <c r="P347" s="11">
        <v>11.2</v>
      </c>
      <c r="Q347" s="14">
        <v>4</v>
      </c>
      <c r="R347" s="14">
        <v>11.34</v>
      </c>
      <c r="S347" s="222">
        <v>2</v>
      </c>
      <c r="T347" s="11">
        <v>2</v>
      </c>
      <c r="U347" s="11">
        <v>2</v>
      </c>
      <c r="V347" s="11">
        <v>2</v>
      </c>
      <c r="W347" s="11">
        <v>2</v>
      </c>
      <c r="X347" s="11">
        <v>2</v>
      </c>
      <c r="Y347" s="11">
        <v>2</v>
      </c>
      <c r="Z347" s="11">
        <v>2</v>
      </c>
      <c r="AA347" s="11">
        <v>2</v>
      </c>
      <c r="AB347" s="11">
        <v>2</v>
      </c>
      <c r="AC347" s="11">
        <v>2</v>
      </c>
      <c r="AD347" s="11">
        <v>2</v>
      </c>
      <c r="AE347" s="11">
        <v>1</v>
      </c>
      <c r="AF347" s="11">
        <v>1</v>
      </c>
      <c r="AG347" s="11"/>
      <c r="AH347" s="11"/>
      <c r="AI347" s="11"/>
      <c r="AJ347" s="11">
        <v>1</v>
      </c>
      <c r="AK347" s="11">
        <v>1</v>
      </c>
      <c r="AL347" s="11">
        <v>0</v>
      </c>
      <c r="AM347" s="13"/>
    </row>
    <row r="348" spans="1:44">
      <c r="H348" s="222" t="s">
        <v>246</v>
      </c>
      <c r="I348" s="218" t="s">
        <v>176</v>
      </c>
      <c r="J348" s="11">
        <v>100</v>
      </c>
      <c r="K348" s="11">
        <v>500</v>
      </c>
      <c r="M348" s="13" t="s">
        <v>156</v>
      </c>
      <c r="N348" s="11">
        <v>4</v>
      </c>
      <c r="O348" s="11">
        <v>11.25</v>
      </c>
      <c r="P348" s="11">
        <v>11.38</v>
      </c>
      <c r="Q348" s="14">
        <v>4</v>
      </c>
      <c r="R348" s="14">
        <v>11.53</v>
      </c>
      <c r="S348" s="222">
        <v>2</v>
      </c>
      <c r="T348" s="11">
        <v>2</v>
      </c>
      <c r="U348" s="11">
        <v>2</v>
      </c>
      <c r="V348" s="11">
        <v>2</v>
      </c>
      <c r="W348" s="11">
        <v>2</v>
      </c>
      <c r="X348" s="11">
        <v>2</v>
      </c>
      <c r="Y348" s="11">
        <v>2</v>
      </c>
      <c r="Z348" s="11">
        <v>2</v>
      </c>
      <c r="AA348" s="11">
        <v>2</v>
      </c>
      <c r="AB348" s="11">
        <v>2</v>
      </c>
      <c r="AC348" s="11">
        <v>2</v>
      </c>
      <c r="AD348" s="11">
        <v>2</v>
      </c>
      <c r="AE348" s="11">
        <v>2</v>
      </c>
      <c r="AF348" s="11">
        <v>2</v>
      </c>
      <c r="AG348" s="11">
        <v>0</v>
      </c>
      <c r="AH348" s="11"/>
      <c r="AI348" s="11"/>
      <c r="AJ348" s="11"/>
      <c r="AK348" s="11"/>
      <c r="AL348" s="11"/>
      <c r="AM348" s="13"/>
    </row>
    <row r="349" spans="1:44">
      <c r="H349" s="222" t="s">
        <v>246</v>
      </c>
      <c r="I349" s="218" t="s">
        <v>176</v>
      </c>
      <c r="J349" s="11">
        <v>100</v>
      </c>
      <c r="K349" s="11">
        <v>500</v>
      </c>
      <c r="M349" s="13" t="s">
        <v>157</v>
      </c>
      <c r="N349" s="11">
        <v>4</v>
      </c>
      <c r="O349" s="11">
        <v>11.4</v>
      </c>
      <c r="P349" s="11">
        <v>11.53</v>
      </c>
      <c r="Q349" s="14">
        <v>4</v>
      </c>
      <c r="R349" s="14">
        <v>12.08</v>
      </c>
      <c r="S349" s="222">
        <v>1</v>
      </c>
      <c r="T349" s="11">
        <v>1</v>
      </c>
      <c r="U349" s="11">
        <v>1</v>
      </c>
      <c r="V349" s="11">
        <v>1</v>
      </c>
      <c r="W349" s="11">
        <v>1</v>
      </c>
      <c r="X349" s="11">
        <v>1</v>
      </c>
      <c r="Y349" s="11">
        <v>1</v>
      </c>
      <c r="Z349" s="11">
        <v>1</v>
      </c>
      <c r="AA349" s="11">
        <v>1</v>
      </c>
      <c r="AB349" s="11">
        <v>1</v>
      </c>
      <c r="AC349" s="11">
        <v>1</v>
      </c>
      <c r="AD349" s="11">
        <v>1</v>
      </c>
      <c r="AE349" s="11">
        <v>0</v>
      </c>
      <c r="AF349" s="11"/>
      <c r="AG349" s="11"/>
      <c r="AH349" s="11"/>
      <c r="AI349" s="11"/>
      <c r="AJ349" s="11"/>
      <c r="AK349" s="11"/>
      <c r="AL349" s="11"/>
      <c r="AM349" s="13"/>
    </row>
    <row r="350" spans="1:44">
      <c r="H350" s="222" t="s">
        <v>246</v>
      </c>
      <c r="I350" s="218" t="s">
        <v>176</v>
      </c>
      <c r="J350" s="11">
        <v>100</v>
      </c>
      <c r="K350" s="11">
        <v>500</v>
      </c>
      <c r="M350" s="13" t="s">
        <v>158</v>
      </c>
      <c r="N350" s="11">
        <v>4</v>
      </c>
      <c r="O350" s="11">
        <v>12</v>
      </c>
      <c r="P350" s="11">
        <v>12.1</v>
      </c>
      <c r="Q350" s="14">
        <v>4</v>
      </c>
      <c r="R350" s="14">
        <v>12.25</v>
      </c>
      <c r="S350" s="222">
        <v>0</v>
      </c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3"/>
    </row>
    <row r="351" spans="1:44">
      <c r="H351" s="222" t="s">
        <v>246</v>
      </c>
      <c r="I351" s="218" t="s">
        <v>176</v>
      </c>
      <c r="J351" s="11">
        <v>100</v>
      </c>
      <c r="K351" s="11">
        <v>500</v>
      </c>
      <c r="M351" s="13" t="s">
        <v>159</v>
      </c>
      <c r="N351" s="11">
        <v>4</v>
      </c>
      <c r="O351" s="11">
        <v>12.12</v>
      </c>
      <c r="P351" s="11">
        <v>12.23</v>
      </c>
      <c r="Q351" s="14">
        <v>4</v>
      </c>
      <c r="R351" s="14">
        <v>12.39</v>
      </c>
      <c r="S351" s="222">
        <v>2</v>
      </c>
      <c r="T351" s="11">
        <v>2</v>
      </c>
      <c r="U351" s="11">
        <v>2</v>
      </c>
      <c r="V351" s="11">
        <v>2</v>
      </c>
      <c r="W351" s="11">
        <v>2</v>
      </c>
      <c r="X351" s="11">
        <v>2</v>
      </c>
      <c r="Y351" s="11">
        <v>2</v>
      </c>
      <c r="Z351" s="11">
        <v>2</v>
      </c>
      <c r="AA351" s="11">
        <v>2</v>
      </c>
      <c r="AB351" s="11">
        <v>2</v>
      </c>
      <c r="AC351" s="11">
        <v>2</v>
      </c>
      <c r="AD351" s="11">
        <v>2</v>
      </c>
      <c r="AE351" s="11">
        <v>2</v>
      </c>
      <c r="AF351" s="11">
        <v>2</v>
      </c>
      <c r="AG351" s="11">
        <v>1</v>
      </c>
      <c r="AH351" s="11"/>
      <c r="AI351" s="11"/>
      <c r="AJ351" s="11">
        <v>1</v>
      </c>
      <c r="AK351" s="11">
        <v>0</v>
      </c>
      <c r="AL351" s="11"/>
      <c r="AM351" s="13"/>
    </row>
    <row r="352" spans="1:44" s="311" customFormat="1" ht="15.75" thickBot="1">
      <c r="A352" s="321"/>
      <c r="B352" s="321"/>
      <c r="C352" s="321"/>
      <c r="D352" s="321"/>
      <c r="E352" s="321"/>
      <c r="F352" s="321"/>
      <c r="G352" s="321"/>
      <c r="H352" s="306" t="s">
        <v>246</v>
      </c>
      <c r="I352" s="325" t="s">
        <v>176</v>
      </c>
      <c r="J352" s="308">
        <v>100</v>
      </c>
      <c r="K352" s="308">
        <v>500</v>
      </c>
      <c r="L352" s="319"/>
      <c r="M352" s="305" t="s">
        <v>160</v>
      </c>
      <c r="N352" s="308">
        <v>3</v>
      </c>
      <c r="O352" s="308">
        <v>12.25</v>
      </c>
      <c r="P352" s="308">
        <v>12.37</v>
      </c>
      <c r="Q352" s="309">
        <v>3</v>
      </c>
      <c r="R352" s="309">
        <v>12.41</v>
      </c>
      <c r="S352" s="306">
        <v>1</v>
      </c>
      <c r="T352" s="308">
        <v>1</v>
      </c>
      <c r="U352" s="308">
        <v>1</v>
      </c>
      <c r="V352" s="308">
        <v>1</v>
      </c>
      <c r="W352" s="308">
        <v>1</v>
      </c>
      <c r="X352" s="308">
        <v>1</v>
      </c>
      <c r="Y352" s="308">
        <v>1</v>
      </c>
      <c r="Z352" s="308">
        <v>1</v>
      </c>
      <c r="AA352" s="308">
        <v>1</v>
      </c>
      <c r="AB352" s="308">
        <v>1</v>
      </c>
      <c r="AC352" s="308">
        <v>1</v>
      </c>
      <c r="AD352" s="308">
        <v>1</v>
      </c>
      <c r="AE352" s="308">
        <v>1</v>
      </c>
      <c r="AF352" s="308">
        <v>0</v>
      </c>
      <c r="AG352" s="308"/>
      <c r="AH352" s="308"/>
      <c r="AI352" s="308"/>
      <c r="AJ352" s="308"/>
      <c r="AK352" s="308"/>
      <c r="AL352" s="308"/>
      <c r="AM352" s="305"/>
      <c r="AN352" s="309"/>
      <c r="AR352" s="303"/>
    </row>
    <row r="353" spans="1:44">
      <c r="A353" s="43">
        <v>23</v>
      </c>
      <c r="B353" s="105">
        <v>45979</v>
      </c>
      <c r="C353" s="31" t="s">
        <v>341</v>
      </c>
      <c r="D353" s="31" t="s">
        <v>599</v>
      </c>
      <c r="F353" s="31" t="s">
        <v>372</v>
      </c>
      <c r="G353" s="104" t="s">
        <v>228</v>
      </c>
      <c r="H353" s="222" t="s">
        <v>274</v>
      </c>
      <c r="I353" s="390" t="s">
        <v>229</v>
      </c>
      <c r="J353" s="22">
        <v>100</v>
      </c>
      <c r="K353" s="22">
        <v>500</v>
      </c>
      <c r="L353" s="41">
        <v>70</v>
      </c>
      <c r="M353" s="13" t="s">
        <v>349</v>
      </c>
      <c r="N353" s="104">
        <v>4</v>
      </c>
      <c r="O353" s="104">
        <v>10.08</v>
      </c>
      <c r="P353" s="104">
        <v>10.25</v>
      </c>
      <c r="Q353" s="14">
        <v>4</v>
      </c>
      <c r="R353" s="14">
        <v>10.4</v>
      </c>
      <c r="S353" s="31">
        <v>1</v>
      </c>
      <c r="T353" s="22">
        <v>1</v>
      </c>
      <c r="U353" s="22">
        <v>1</v>
      </c>
      <c r="V353" s="22">
        <v>1</v>
      </c>
      <c r="W353" s="22">
        <v>1</v>
      </c>
      <c r="X353" s="22">
        <v>1</v>
      </c>
      <c r="Y353" s="22">
        <v>1</v>
      </c>
      <c r="Z353" s="22">
        <v>1</v>
      </c>
      <c r="AA353" s="22">
        <v>1</v>
      </c>
      <c r="AB353" s="22">
        <v>1</v>
      </c>
      <c r="AC353" s="22">
        <v>1</v>
      </c>
      <c r="AD353" s="22">
        <v>1</v>
      </c>
    </row>
    <row r="354" spans="1:44">
      <c r="D354" s="31" t="s">
        <v>600</v>
      </c>
      <c r="G354" s="31" t="s">
        <v>228</v>
      </c>
      <c r="H354" s="31" t="s">
        <v>274</v>
      </c>
      <c r="I354" s="218" t="s">
        <v>229</v>
      </c>
      <c r="J354" s="22">
        <v>100</v>
      </c>
      <c r="K354" s="22">
        <v>500</v>
      </c>
      <c r="M354" s="13" t="s">
        <v>351</v>
      </c>
      <c r="N354" s="104">
        <v>4</v>
      </c>
      <c r="O354" s="104">
        <v>10.25</v>
      </c>
      <c r="P354" s="104">
        <v>10.53</v>
      </c>
      <c r="Q354" s="14">
        <v>4</v>
      </c>
      <c r="R354" s="14">
        <v>11.07</v>
      </c>
      <c r="S354" s="31">
        <v>1</v>
      </c>
      <c r="T354" s="22">
        <v>1</v>
      </c>
      <c r="U354" s="22">
        <v>1</v>
      </c>
      <c r="V354" s="22">
        <v>1</v>
      </c>
      <c r="W354" s="22">
        <v>1</v>
      </c>
      <c r="X354" s="22">
        <v>1</v>
      </c>
      <c r="Y354" s="22">
        <v>1</v>
      </c>
      <c r="Z354" s="22">
        <v>1</v>
      </c>
      <c r="AA354" s="22">
        <v>1</v>
      </c>
      <c r="AB354" s="22">
        <v>1</v>
      </c>
      <c r="AC354" s="22">
        <v>1</v>
      </c>
      <c r="AD354" s="22">
        <v>1</v>
      </c>
      <c r="AE354" s="22">
        <v>1</v>
      </c>
      <c r="AF354" s="22">
        <v>1</v>
      </c>
      <c r="AG354" s="22">
        <v>1</v>
      </c>
    </row>
    <row r="355" spans="1:44">
      <c r="G355" s="31" t="s">
        <v>228</v>
      </c>
      <c r="H355" s="31" t="s">
        <v>274</v>
      </c>
      <c r="I355" s="218" t="s">
        <v>229</v>
      </c>
      <c r="J355" s="22">
        <v>100</v>
      </c>
      <c r="K355" s="22">
        <v>500</v>
      </c>
      <c r="M355" s="13" t="s">
        <v>352</v>
      </c>
      <c r="N355" s="104">
        <v>4</v>
      </c>
      <c r="O355" s="104">
        <v>10.59</v>
      </c>
      <c r="P355" s="104">
        <v>11.13</v>
      </c>
      <c r="Q355" s="14">
        <v>4</v>
      </c>
      <c r="R355" s="14">
        <v>11.27</v>
      </c>
      <c r="S355" s="31">
        <v>3</v>
      </c>
      <c r="T355" s="22">
        <v>3</v>
      </c>
      <c r="U355" s="22">
        <v>3</v>
      </c>
      <c r="V355" s="22">
        <v>3</v>
      </c>
      <c r="X355" s="22">
        <v>3</v>
      </c>
      <c r="Y355" s="22">
        <v>3</v>
      </c>
      <c r="Z355" s="22">
        <v>3</v>
      </c>
      <c r="AA355" s="22">
        <v>3</v>
      </c>
      <c r="AB355" s="22">
        <v>3</v>
      </c>
      <c r="AC355" s="22">
        <v>3</v>
      </c>
      <c r="AD355" s="22">
        <v>3</v>
      </c>
      <c r="AE355" s="22">
        <v>2</v>
      </c>
      <c r="AF355" s="22">
        <v>2</v>
      </c>
    </row>
    <row r="356" spans="1:44">
      <c r="G356" s="31" t="s">
        <v>228</v>
      </c>
      <c r="H356" s="31" t="s">
        <v>274</v>
      </c>
      <c r="I356" s="218" t="s">
        <v>229</v>
      </c>
      <c r="J356" s="22">
        <v>100</v>
      </c>
      <c r="K356" s="22">
        <v>500</v>
      </c>
      <c r="M356" s="13" t="s">
        <v>353</v>
      </c>
      <c r="N356" s="104">
        <v>4</v>
      </c>
      <c r="O356" s="104">
        <v>11.17</v>
      </c>
      <c r="P356" s="118">
        <v>11.3</v>
      </c>
      <c r="Q356" s="14">
        <v>4</v>
      </c>
      <c r="R356" s="14">
        <v>11.43</v>
      </c>
      <c r="S356" s="31">
        <v>2</v>
      </c>
      <c r="T356" s="22">
        <v>2</v>
      </c>
      <c r="U356" s="22">
        <v>2</v>
      </c>
      <c r="V356" s="22">
        <v>2</v>
      </c>
      <c r="W356" s="22">
        <v>2</v>
      </c>
      <c r="X356" s="22">
        <v>2</v>
      </c>
      <c r="Y356" s="22">
        <v>2</v>
      </c>
      <c r="Z356" s="22">
        <v>2</v>
      </c>
      <c r="AA356" s="22">
        <v>2</v>
      </c>
      <c r="AB356" s="22">
        <v>2</v>
      </c>
      <c r="AC356" s="22">
        <v>2</v>
      </c>
      <c r="AD356" s="22">
        <v>2</v>
      </c>
      <c r="AE356" s="22">
        <v>1</v>
      </c>
    </row>
    <row r="357" spans="1:44" s="23" customFormat="1">
      <c r="A357" s="31"/>
      <c r="B357" s="31"/>
      <c r="C357" s="31"/>
      <c r="D357" s="31"/>
      <c r="E357" s="31"/>
      <c r="F357" s="31"/>
      <c r="G357" s="32" t="s">
        <v>228</v>
      </c>
      <c r="H357" s="32" t="s">
        <v>274</v>
      </c>
      <c r="I357" s="219" t="s">
        <v>229</v>
      </c>
      <c r="J357" s="23">
        <v>100</v>
      </c>
      <c r="K357" s="23">
        <v>500</v>
      </c>
      <c r="L357" s="53"/>
      <c r="M357" s="19" t="s">
        <v>354</v>
      </c>
      <c r="N357" s="109">
        <v>3</v>
      </c>
      <c r="O357" s="109">
        <v>11.31</v>
      </c>
      <c r="P357" s="109">
        <v>11.43</v>
      </c>
      <c r="Q357" s="20">
        <v>3</v>
      </c>
      <c r="R357" s="20">
        <v>11.59</v>
      </c>
      <c r="S357" s="32">
        <v>2</v>
      </c>
      <c r="AM357" s="53"/>
      <c r="AN357" s="20"/>
      <c r="AR357" s="45"/>
    </row>
    <row r="358" spans="1:44">
      <c r="G358" s="31" t="s">
        <v>228</v>
      </c>
      <c r="H358" s="31" t="s">
        <v>274</v>
      </c>
      <c r="I358" s="218" t="s">
        <v>229</v>
      </c>
      <c r="J358" s="22">
        <v>100</v>
      </c>
      <c r="K358" s="22">
        <v>500</v>
      </c>
      <c r="M358" s="13" t="s">
        <v>153</v>
      </c>
      <c r="N358" s="11">
        <v>4</v>
      </c>
      <c r="O358" s="11">
        <v>10.07</v>
      </c>
      <c r="P358" s="11">
        <v>10.210000000000001</v>
      </c>
      <c r="Q358" s="14">
        <v>4</v>
      </c>
      <c r="R358" s="14">
        <v>10.36</v>
      </c>
      <c r="S358" s="222">
        <v>3</v>
      </c>
      <c r="T358" s="11">
        <v>3</v>
      </c>
      <c r="U358" s="11">
        <v>3</v>
      </c>
      <c r="V358" s="11">
        <v>3</v>
      </c>
      <c r="W358" s="11">
        <v>3</v>
      </c>
      <c r="X358" s="11">
        <v>3</v>
      </c>
      <c r="Y358" s="11">
        <v>3</v>
      </c>
      <c r="Z358" s="11">
        <v>3</v>
      </c>
      <c r="AA358" s="11">
        <v>3</v>
      </c>
      <c r="AB358" s="11">
        <v>3</v>
      </c>
      <c r="AC358" s="11">
        <v>3</v>
      </c>
      <c r="AD358" s="11">
        <v>3</v>
      </c>
      <c r="AE358" s="11">
        <v>3</v>
      </c>
      <c r="AF358" s="11">
        <v>3</v>
      </c>
      <c r="AG358" s="11">
        <v>3</v>
      </c>
      <c r="AH358" s="11">
        <v>2</v>
      </c>
      <c r="AI358" s="11">
        <v>2</v>
      </c>
      <c r="AJ358" s="11">
        <v>2</v>
      </c>
      <c r="AK358" s="11">
        <v>2</v>
      </c>
      <c r="AL358" s="11">
        <v>2</v>
      </c>
      <c r="AM358" s="13">
        <v>0</v>
      </c>
    </row>
    <row r="359" spans="1:44">
      <c r="G359" s="31" t="s">
        <v>228</v>
      </c>
      <c r="H359" s="31" t="s">
        <v>274</v>
      </c>
      <c r="I359" s="218" t="s">
        <v>229</v>
      </c>
      <c r="J359" s="22">
        <v>100</v>
      </c>
      <c r="K359" s="22">
        <v>500</v>
      </c>
      <c r="M359" s="13" t="s">
        <v>154</v>
      </c>
      <c r="N359" s="11">
        <v>2</v>
      </c>
      <c r="O359" s="11">
        <v>10.24</v>
      </c>
      <c r="P359" s="11">
        <v>10.33</v>
      </c>
      <c r="Q359" s="14">
        <v>2</v>
      </c>
      <c r="R359" s="14">
        <v>10.48</v>
      </c>
      <c r="S359" s="222">
        <v>1</v>
      </c>
      <c r="T359" s="11">
        <v>1</v>
      </c>
      <c r="U359" s="11">
        <v>1</v>
      </c>
      <c r="V359" s="11">
        <v>1</v>
      </c>
      <c r="W359" s="11">
        <v>1</v>
      </c>
      <c r="X359" s="11">
        <v>1</v>
      </c>
      <c r="Y359" s="11">
        <v>1</v>
      </c>
      <c r="Z359" s="11">
        <v>1</v>
      </c>
      <c r="AA359" s="11">
        <v>1</v>
      </c>
      <c r="AB359" s="11">
        <v>1</v>
      </c>
      <c r="AC359" s="11">
        <v>1</v>
      </c>
      <c r="AD359" s="11">
        <v>1</v>
      </c>
      <c r="AE359" s="11">
        <v>1</v>
      </c>
      <c r="AF359" s="11">
        <v>1</v>
      </c>
      <c r="AG359" s="11">
        <v>1</v>
      </c>
      <c r="AH359" s="11">
        <v>1</v>
      </c>
      <c r="AI359" s="11">
        <v>1</v>
      </c>
      <c r="AJ359" s="11">
        <v>1</v>
      </c>
      <c r="AK359" s="11">
        <v>1</v>
      </c>
      <c r="AL359" s="11">
        <v>1</v>
      </c>
      <c r="AM359" s="13"/>
    </row>
    <row r="360" spans="1:44">
      <c r="G360" s="31" t="s">
        <v>228</v>
      </c>
      <c r="H360" s="31" t="s">
        <v>274</v>
      </c>
      <c r="I360" s="218" t="s">
        <v>229</v>
      </c>
      <c r="J360" s="22">
        <v>100</v>
      </c>
      <c r="K360" s="22">
        <v>500</v>
      </c>
      <c r="M360" s="13" t="s">
        <v>155</v>
      </c>
      <c r="N360" s="11">
        <v>3</v>
      </c>
      <c r="O360" s="11">
        <v>10.37</v>
      </c>
      <c r="P360" s="11">
        <v>10.5</v>
      </c>
      <c r="Q360" s="14">
        <v>3</v>
      </c>
      <c r="R360" s="14">
        <v>11.06</v>
      </c>
      <c r="S360" s="222">
        <v>1</v>
      </c>
      <c r="T360" s="11">
        <v>1</v>
      </c>
      <c r="U360" s="11">
        <v>1</v>
      </c>
      <c r="V360" s="11">
        <v>1</v>
      </c>
      <c r="W360" s="11">
        <v>1</v>
      </c>
      <c r="X360" s="11">
        <v>1</v>
      </c>
      <c r="Y360" s="11">
        <v>1</v>
      </c>
      <c r="Z360" s="11">
        <v>1</v>
      </c>
      <c r="AA360" s="11">
        <v>1</v>
      </c>
      <c r="AB360" s="11">
        <v>1</v>
      </c>
      <c r="AC360" s="11">
        <v>1</v>
      </c>
      <c r="AD360" s="11">
        <v>1</v>
      </c>
      <c r="AE360" s="11">
        <v>1</v>
      </c>
      <c r="AF360" s="11">
        <v>1</v>
      </c>
      <c r="AG360" s="11">
        <v>1</v>
      </c>
      <c r="AH360" s="11"/>
      <c r="AI360" s="11"/>
      <c r="AJ360" s="11"/>
      <c r="AK360" s="11"/>
      <c r="AL360" s="11"/>
      <c r="AM360" s="13"/>
    </row>
    <row r="361" spans="1:44">
      <c r="G361" s="31" t="s">
        <v>228</v>
      </c>
      <c r="H361" s="31" t="s">
        <v>274</v>
      </c>
      <c r="I361" s="218" t="s">
        <v>229</v>
      </c>
      <c r="J361" s="22">
        <v>100</v>
      </c>
      <c r="K361" s="22">
        <v>500</v>
      </c>
      <c r="M361" s="13" t="s">
        <v>156</v>
      </c>
      <c r="N361" s="11">
        <v>4</v>
      </c>
      <c r="O361" s="11">
        <v>10.55</v>
      </c>
      <c r="P361" s="11">
        <v>11.1</v>
      </c>
      <c r="Q361" s="14">
        <v>4</v>
      </c>
      <c r="R361" s="14">
        <v>11.25</v>
      </c>
      <c r="S361" s="222">
        <v>0</v>
      </c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3"/>
    </row>
    <row r="362" spans="1:44">
      <c r="G362" s="31" t="s">
        <v>228</v>
      </c>
      <c r="H362" s="31" t="s">
        <v>274</v>
      </c>
      <c r="I362" s="218" t="s">
        <v>229</v>
      </c>
      <c r="J362" s="22">
        <v>100</v>
      </c>
      <c r="K362" s="22">
        <v>500</v>
      </c>
      <c r="M362" s="13" t="s">
        <v>157</v>
      </c>
      <c r="N362" s="11">
        <v>3</v>
      </c>
      <c r="O362" s="11">
        <v>11.24</v>
      </c>
      <c r="P362" s="11">
        <v>11.35</v>
      </c>
      <c r="Q362" s="14">
        <v>3</v>
      </c>
      <c r="R362" s="14">
        <v>11.5</v>
      </c>
      <c r="S362" s="222">
        <v>0</v>
      </c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3"/>
    </row>
    <row r="363" spans="1:44" s="311" customFormat="1" ht="15.75" thickBot="1">
      <c r="A363" s="321"/>
      <c r="B363" s="321"/>
      <c r="C363" s="321"/>
      <c r="D363" s="321"/>
      <c r="E363" s="321"/>
      <c r="F363" s="321"/>
      <c r="G363" s="321" t="s">
        <v>228</v>
      </c>
      <c r="H363" s="321" t="s">
        <v>274</v>
      </c>
      <c r="I363" s="325" t="s">
        <v>229</v>
      </c>
      <c r="J363" s="311">
        <v>100</v>
      </c>
      <c r="K363" s="311">
        <v>500</v>
      </c>
      <c r="L363" s="319"/>
      <c r="M363" s="305" t="s">
        <v>158</v>
      </c>
      <c r="N363" s="308">
        <v>4</v>
      </c>
      <c r="O363" s="308">
        <v>11.4</v>
      </c>
      <c r="P363" s="308">
        <v>11.51</v>
      </c>
      <c r="Q363" s="309">
        <v>4</v>
      </c>
      <c r="R363" s="309">
        <v>12.06</v>
      </c>
      <c r="S363" s="306">
        <v>1</v>
      </c>
      <c r="T363" s="308">
        <v>1</v>
      </c>
      <c r="U363" s="308">
        <v>1</v>
      </c>
      <c r="V363" s="308">
        <v>1</v>
      </c>
      <c r="W363" s="308">
        <v>1</v>
      </c>
      <c r="X363" s="308">
        <v>1</v>
      </c>
      <c r="Y363" s="308">
        <v>1</v>
      </c>
      <c r="Z363" s="308">
        <v>1</v>
      </c>
      <c r="AA363" s="308">
        <v>1</v>
      </c>
      <c r="AB363" s="308">
        <v>1</v>
      </c>
      <c r="AC363" s="308">
        <v>1</v>
      </c>
      <c r="AD363" s="308">
        <v>1</v>
      </c>
      <c r="AE363" s="308">
        <v>1</v>
      </c>
      <c r="AF363" s="308">
        <v>1</v>
      </c>
      <c r="AG363" s="308">
        <v>1</v>
      </c>
      <c r="AH363" s="308">
        <v>1</v>
      </c>
      <c r="AI363" s="308">
        <v>1</v>
      </c>
      <c r="AJ363" s="308">
        <v>1</v>
      </c>
      <c r="AK363" s="308">
        <v>1</v>
      </c>
      <c r="AL363" s="308"/>
      <c r="AM363" s="305"/>
      <c r="AN363" s="309"/>
      <c r="AR363" s="303"/>
    </row>
    <row r="364" spans="1:44" s="86" customFormat="1">
      <c r="A364" s="43">
        <v>24</v>
      </c>
      <c r="B364" s="105">
        <v>45981</v>
      </c>
      <c r="C364" s="31" t="s">
        <v>341</v>
      </c>
      <c r="D364" s="31" t="s">
        <v>601</v>
      </c>
      <c r="E364" s="31"/>
      <c r="F364" s="31" t="s">
        <v>372</v>
      </c>
      <c r="G364" s="104" t="s">
        <v>540</v>
      </c>
      <c r="H364" s="31" t="s">
        <v>274</v>
      </c>
      <c r="I364" s="465" t="s">
        <v>541</v>
      </c>
      <c r="J364" s="22">
        <v>100</v>
      </c>
      <c r="K364" s="22">
        <v>500</v>
      </c>
      <c r="L364" s="41">
        <v>70</v>
      </c>
      <c r="M364" s="46" t="s">
        <v>349</v>
      </c>
      <c r="N364" s="47">
        <v>4</v>
      </c>
      <c r="O364" s="47">
        <v>10.119999999999999</v>
      </c>
      <c r="P364" s="47">
        <v>10.3</v>
      </c>
      <c r="Q364" s="48">
        <v>4</v>
      </c>
      <c r="R364" s="48">
        <v>10.45</v>
      </c>
      <c r="S364" s="26">
        <v>1</v>
      </c>
      <c r="T364" s="47">
        <v>1</v>
      </c>
      <c r="U364" s="47">
        <v>1</v>
      </c>
      <c r="V364" s="47">
        <v>1</v>
      </c>
      <c r="W364" s="47">
        <v>1</v>
      </c>
      <c r="X364" s="47">
        <v>1</v>
      </c>
      <c r="Y364" s="47">
        <v>1</v>
      </c>
      <c r="Z364" s="47">
        <v>1</v>
      </c>
      <c r="AA364" s="47">
        <v>1</v>
      </c>
      <c r="AB364" s="47">
        <v>1</v>
      </c>
      <c r="AC364" s="47">
        <v>1</v>
      </c>
      <c r="AD364" s="47">
        <v>1</v>
      </c>
      <c r="AE364" s="47">
        <v>1</v>
      </c>
      <c r="AF364" s="47">
        <v>1</v>
      </c>
      <c r="AG364" s="47">
        <v>1</v>
      </c>
      <c r="AH364" s="47">
        <v>1</v>
      </c>
      <c r="AI364" s="47">
        <v>1</v>
      </c>
      <c r="AJ364" s="47">
        <v>1</v>
      </c>
      <c r="AK364" s="47">
        <v>1</v>
      </c>
      <c r="AL364" s="47">
        <v>1</v>
      </c>
      <c r="AM364" s="46">
        <v>1</v>
      </c>
      <c r="AN364" s="48">
        <v>1</v>
      </c>
      <c r="AO364" s="47" t="s">
        <v>188</v>
      </c>
      <c r="AP364" s="47" t="s">
        <v>542</v>
      </c>
      <c r="AQ364" s="398" t="s">
        <v>584</v>
      </c>
      <c r="AR364" s="466"/>
    </row>
    <row r="365" spans="1:44">
      <c r="D365" s="31" t="s">
        <v>602</v>
      </c>
      <c r="G365" s="31" t="s">
        <v>540</v>
      </c>
      <c r="H365" s="31" t="s">
        <v>274</v>
      </c>
      <c r="I365" s="218" t="s">
        <v>541</v>
      </c>
      <c r="J365" s="22">
        <v>100</v>
      </c>
      <c r="K365" s="22">
        <v>500</v>
      </c>
      <c r="M365" s="13" t="s">
        <v>351</v>
      </c>
      <c r="N365" s="11">
        <v>4</v>
      </c>
      <c r="O365" s="11">
        <v>10.3</v>
      </c>
      <c r="P365" s="11">
        <v>10.43</v>
      </c>
      <c r="Q365" s="14">
        <v>4</v>
      </c>
      <c r="R365" s="14">
        <v>10.58</v>
      </c>
      <c r="S365" s="222">
        <v>0</v>
      </c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3"/>
      <c r="AO365" s="11"/>
      <c r="AP365" s="11"/>
    </row>
    <row r="366" spans="1:44">
      <c r="G366" s="31" t="s">
        <v>540</v>
      </c>
      <c r="H366" s="31" t="s">
        <v>274</v>
      </c>
      <c r="I366" s="218" t="s">
        <v>541</v>
      </c>
      <c r="J366" s="22">
        <v>100</v>
      </c>
      <c r="K366" s="22">
        <v>500</v>
      </c>
      <c r="M366" s="13" t="s">
        <v>352</v>
      </c>
      <c r="N366" s="11">
        <v>4</v>
      </c>
      <c r="O366" s="11">
        <v>10.47</v>
      </c>
      <c r="P366" s="11">
        <v>10.58</v>
      </c>
      <c r="Q366" s="14">
        <v>4</v>
      </c>
      <c r="R366" s="14">
        <v>11.12</v>
      </c>
      <c r="S366" s="222">
        <v>1</v>
      </c>
      <c r="T366" s="11">
        <v>1</v>
      </c>
      <c r="U366" s="11">
        <v>1</v>
      </c>
      <c r="V366" s="11">
        <v>1</v>
      </c>
      <c r="W366" s="11">
        <v>1</v>
      </c>
      <c r="X366" s="11">
        <v>1</v>
      </c>
      <c r="Y366" s="11">
        <v>1</v>
      </c>
      <c r="Z366" s="11">
        <v>1</v>
      </c>
      <c r="AA366" s="11">
        <v>1</v>
      </c>
      <c r="AB366" s="11">
        <v>1</v>
      </c>
      <c r="AC366" s="11">
        <v>1</v>
      </c>
      <c r="AD366" s="11"/>
      <c r="AE366" s="11"/>
      <c r="AF366" s="11"/>
      <c r="AG366" s="11"/>
      <c r="AH366" s="11"/>
      <c r="AI366" s="11"/>
      <c r="AJ366" s="11"/>
      <c r="AK366" s="11"/>
      <c r="AL366" s="11"/>
      <c r="AM366" s="13"/>
      <c r="AO366" s="11"/>
      <c r="AP366" s="11"/>
    </row>
    <row r="367" spans="1:44">
      <c r="G367" s="31" t="s">
        <v>540</v>
      </c>
      <c r="H367" s="31" t="s">
        <v>274</v>
      </c>
      <c r="I367" s="218" t="s">
        <v>541</v>
      </c>
      <c r="J367" s="22">
        <v>100</v>
      </c>
      <c r="K367" s="22">
        <v>500</v>
      </c>
      <c r="M367" s="13" t="s">
        <v>353</v>
      </c>
      <c r="N367" s="11">
        <v>3</v>
      </c>
      <c r="O367" s="11">
        <v>10.59</v>
      </c>
      <c r="P367" s="11">
        <v>11.1</v>
      </c>
      <c r="Q367" s="14">
        <v>3</v>
      </c>
      <c r="R367" s="14">
        <v>11.26</v>
      </c>
      <c r="S367" s="222">
        <v>2</v>
      </c>
      <c r="T367" s="11">
        <v>2</v>
      </c>
      <c r="U367" s="11">
        <v>2</v>
      </c>
      <c r="V367" s="11">
        <v>2</v>
      </c>
      <c r="W367" s="11">
        <v>2</v>
      </c>
      <c r="X367" s="11">
        <v>2</v>
      </c>
      <c r="Y367" s="11">
        <v>2</v>
      </c>
      <c r="Z367" s="11">
        <v>2</v>
      </c>
      <c r="AA367" s="11">
        <v>2</v>
      </c>
      <c r="AB367" s="11">
        <v>2</v>
      </c>
      <c r="AC367" s="11">
        <v>2</v>
      </c>
      <c r="AD367" s="11">
        <v>2</v>
      </c>
      <c r="AE367" s="11"/>
      <c r="AF367" s="11"/>
      <c r="AG367" s="11"/>
      <c r="AH367" s="11"/>
      <c r="AI367" s="11"/>
      <c r="AJ367" s="11"/>
      <c r="AK367" s="11"/>
      <c r="AL367" s="11"/>
      <c r="AM367" s="13"/>
      <c r="AO367" s="11"/>
      <c r="AP367" s="11"/>
    </row>
    <row r="368" spans="1:44">
      <c r="G368" s="31" t="s">
        <v>540</v>
      </c>
      <c r="H368" s="31" t="s">
        <v>274</v>
      </c>
      <c r="I368" s="218" t="s">
        <v>541</v>
      </c>
      <c r="J368" s="22">
        <v>100</v>
      </c>
      <c r="K368" s="22">
        <v>500</v>
      </c>
      <c r="M368" s="13" t="s">
        <v>354</v>
      </c>
      <c r="N368" s="11">
        <v>3</v>
      </c>
      <c r="O368" s="11">
        <v>11.1</v>
      </c>
      <c r="P368" s="11">
        <v>11.26</v>
      </c>
      <c r="Q368" s="14">
        <v>3</v>
      </c>
      <c r="R368" s="14">
        <v>11.38</v>
      </c>
      <c r="S368" s="222">
        <v>1</v>
      </c>
      <c r="T368" s="11">
        <v>1</v>
      </c>
      <c r="U368" s="11">
        <v>1</v>
      </c>
      <c r="V368" s="11">
        <v>1</v>
      </c>
      <c r="W368" s="11">
        <v>1</v>
      </c>
      <c r="X368" s="11">
        <v>1</v>
      </c>
      <c r="Y368" s="11">
        <v>1</v>
      </c>
      <c r="Z368" s="11">
        <v>1</v>
      </c>
      <c r="AA368" s="11">
        <v>1</v>
      </c>
      <c r="AB368" s="11">
        <v>1</v>
      </c>
      <c r="AC368" s="11">
        <v>1</v>
      </c>
      <c r="AD368" s="11">
        <v>1</v>
      </c>
      <c r="AE368" s="11">
        <v>1</v>
      </c>
      <c r="AF368" s="11"/>
      <c r="AG368" s="11"/>
      <c r="AH368" s="11"/>
      <c r="AI368" s="11"/>
      <c r="AJ368" s="11"/>
      <c r="AK368" s="11"/>
      <c r="AL368" s="11"/>
      <c r="AM368" s="13"/>
      <c r="AO368" s="11"/>
      <c r="AP368" s="11"/>
    </row>
    <row r="369" spans="1:44">
      <c r="G369" s="31" t="s">
        <v>540</v>
      </c>
      <c r="H369" s="31" t="s">
        <v>274</v>
      </c>
      <c r="I369" s="218" t="s">
        <v>541</v>
      </c>
      <c r="J369" s="22">
        <v>100</v>
      </c>
      <c r="K369" s="22">
        <v>500</v>
      </c>
      <c r="M369" s="13" t="s">
        <v>355</v>
      </c>
      <c r="N369" s="11">
        <v>4</v>
      </c>
      <c r="O369" s="11">
        <v>11.26</v>
      </c>
      <c r="P369" s="11">
        <v>11.43</v>
      </c>
      <c r="Q369" s="14">
        <v>4</v>
      </c>
      <c r="R369" s="14">
        <v>11.54</v>
      </c>
      <c r="S369" s="222">
        <v>0</v>
      </c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3"/>
      <c r="AO369" s="11"/>
      <c r="AP369" s="11"/>
    </row>
    <row r="370" spans="1:44" s="23" customFormat="1">
      <c r="A370" s="31"/>
      <c r="B370" s="31"/>
      <c r="C370" s="31"/>
      <c r="D370" s="31"/>
      <c r="E370" s="31"/>
      <c r="F370" s="31"/>
      <c r="G370" s="32" t="s">
        <v>540</v>
      </c>
      <c r="H370" s="32" t="s">
        <v>274</v>
      </c>
      <c r="I370" s="219" t="s">
        <v>541</v>
      </c>
      <c r="J370" s="23">
        <v>100</v>
      </c>
      <c r="K370" s="23">
        <v>500</v>
      </c>
      <c r="L370" s="53"/>
      <c r="M370" s="19" t="s">
        <v>356</v>
      </c>
      <c r="N370" s="28">
        <v>3</v>
      </c>
      <c r="O370" s="28">
        <v>11.43</v>
      </c>
      <c r="P370" s="28">
        <v>11.52</v>
      </c>
      <c r="Q370" s="20">
        <v>3</v>
      </c>
      <c r="R370" s="20">
        <v>12.06</v>
      </c>
      <c r="S370" s="18">
        <v>0</v>
      </c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19"/>
      <c r="AN370" s="20"/>
      <c r="AO370" s="28"/>
      <c r="AP370" s="28"/>
      <c r="AR370" s="45"/>
    </row>
    <row r="371" spans="1:44">
      <c r="G371" s="31" t="s">
        <v>540</v>
      </c>
      <c r="H371" s="31" t="s">
        <v>274</v>
      </c>
      <c r="I371" s="218" t="s">
        <v>541</v>
      </c>
      <c r="J371" s="22">
        <v>100</v>
      </c>
      <c r="K371" s="22">
        <v>500</v>
      </c>
      <c r="M371" s="13" t="s">
        <v>153</v>
      </c>
      <c r="N371" s="11">
        <v>3</v>
      </c>
      <c r="O371" s="11">
        <v>10.15</v>
      </c>
      <c r="P371" s="11">
        <v>10.27</v>
      </c>
      <c r="Q371" s="14">
        <v>3</v>
      </c>
      <c r="R371" s="14">
        <v>10.42</v>
      </c>
      <c r="S371" s="222">
        <v>0</v>
      </c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3"/>
    </row>
    <row r="372" spans="1:44">
      <c r="G372" s="31" t="s">
        <v>540</v>
      </c>
      <c r="H372" s="31" t="s">
        <v>274</v>
      </c>
      <c r="I372" s="218" t="s">
        <v>541</v>
      </c>
      <c r="J372" s="22">
        <v>100</v>
      </c>
      <c r="K372" s="22">
        <v>500</v>
      </c>
      <c r="M372" s="13" t="s">
        <v>154</v>
      </c>
      <c r="N372" s="11">
        <v>2</v>
      </c>
      <c r="O372" s="11">
        <v>10.32</v>
      </c>
      <c r="P372" s="11">
        <v>10.38</v>
      </c>
      <c r="Q372" s="14">
        <v>2</v>
      </c>
      <c r="R372" s="14">
        <v>10.53</v>
      </c>
      <c r="S372" s="222">
        <v>2</v>
      </c>
      <c r="T372" s="11">
        <v>2</v>
      </c>
      <c r="U372" s="11">
        <v>2</v>
      </c>
      <c r="V372" s="11">
        <v>2</v>
      </c>
      <c r="W372" s="11">
        <v>2</v>
      </c>
      <c r="X372" s="11">
        <v>2</v>
      </c>
      <c r="Y372" s="11">
        <v>2</v>
      </c>
      <c r="Z372" s="11">
        <v>2</v>
      </c>
      <c r="AA372" s="11">
        <v>2</v>
      </c>
      <c r="AB372" s="11">
        <v>2</v>
      </c>
      <c r="AC372" s="11">
        <v>2</v>
      </c>
      <c r="AD372" s="11">
        <v>2</v>
      </c>
      <c r="AE372" s="11">
        <v>2</v>
      </c>
      <c r="AF372" s="11"/>
      <c r="AG372" s="11"/>
      <c r="AH372" s="11"/>
      <c r="AI372" s="11"/>
      <c r="AJ372" s="11"/>
      <c r="AK372" s="11"/>
      <c r="AL372" s="11"/>
      <c r="AM372" s="13"/>
    </row>
    <row r="373" spans="1:44">
      <c r="G373" s="31" t="s">
        <v>540</v>
      </c>
      <c r="H373" s="31" t="s">
        <v>274</v>
      </c>
      <c r="I373" s="218" t="s">
        <v>541</v>
      </c>
      <c r="J373" s="22">
        <v>100</v>
      </c>
      <c r="K373" s="22">
        <v>500</v>
      </c>
      <c r="M373" s="13" t="s">
        <v>155</v>
      </c>
      <c r="N373" s="11">
        <v>1</v>
      </c>
      <c r="O373" s="11">
        <v>10.4</v>
      </c>
      <c r="P373" s="11">
        <v>10.46</v>
      </c>
      <c r="Q373" s="14">
        <v>1</v>
      </c>
      <c r="R373" s="14">
        <v>11.01</v>
      </c>
      <c r="S373" s="222">
        <v>0</v>
      </c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3"/>
    </row>
    <row r="374" spans="1:44">
      <c r="G374" s="31" t="s">
        <v>540</v>
      </c>
      <c r="H374" s="31" t="s">
        <v>274</v>
      </c>
      <c r="I374" s="218" t="s">
        <v>541</v>
      </c>
      <c r="J374" s="22">
        <v>100</v>
      </c>
      <c r="K374" s="22">
        <v>500</v>
      </c>
      <c r="M374" s="13" t="s">
        <v>156</v>
      </c>
      <c r="N374" s="11">
        <v>3</v>
      </c>
      <c r="O374" s="11">
        <v>10.48</v>
      </c>
      <c r="P374" s="11">
        <v>11</v>
      </c>
      <c r="Q374" s="14">
        <v>3</v>
      </c>
      <c r="R374" s="14">
        <v>11.14</v>
      </c>
      <c r="S374" s="222">
        <v>1</v>
      </c>
      <c r="T374" s="11">
        <v>1</v>
      </c>
      <c r="U374" s="11">
        <v>1</v>
      </c>
      <c r="V374" s="11">
        <v>1</v>
      </c>
      <c r="W374" s="11">
        <v>1</v>
      </c>
      <c r="X374" s="11">
        <v>1</v>
      </c>
      <c r="Y374" s="11">
        <v>1</v>
      </c>
      <c r="Z374" s="11">
        <v>1</v>
      </c>
      <c r="AA374" s="11">
        <v>1</v>
      </c>
      <c r="AB374" s="11">
        <v>1</v>
      </c>
      <c r="AC374" s="11">
        <v>1</v>
      </c>
      <c r="AD374" s="11"/>
      <c r="AE374" s="11"/>
      <c r="AF374" s="11"/>
      <c r="AG374" s="11"/>
      <c r="AH374" s="11"/>
      <c r="AI374" s="11"/>
      <c r="AJ374" s="11"/>
      <c r="AK374" s="11"/>
      <c r="AL374" s="11"/>
      <c r="AM374" s="13"/>
    </row>
    <row r="375" spans="1:44">
      <c r="G375" s="31" t="s">
        <v>540</v>
      </c>
      <c r="H375" s="31" t="s">
        <v>274</v>
      </c>
      <c r="I375" s="218" t="s">
        <v>541</v>
      </c>
      <c r="J375" s="22">
        <v>100</v>
      </c>
      <c r="K375" s="22">
        <v>500</v>
      </c>
      <c r="M375" s="13" t="s">
        <v>157</v>
      </c>
      <c r="N375" s="11">
        <v>2</v>
      </c>
      <c r="O375" s="11">
        <v>11.03</v>
      </c>
      <c r="P375" s="11">
        <v>11.09</v>
      </c>
      <c r="Q375" s="14">
        <v>2</v>
      </c>
      <c r="R375" s="14">
        <v>11.25</v>
      </c>
      <c r="S375" s="222">
        <v>2</v>
      </c>
      <c r="T375" s="11">
        <v>2</v>
      </c>
      <c r="U375" s="11">
        <v>2</v>
      </c>
      <c r="V375" s="11">
        <v>2</v>
      </c>
      <c r="W375" s="11">
        <v>2</v>
      </c>
      <c r="X375" s="11">
        <v>2</v>
      </c>
      <c r="Y375" s="11">
        <v>2</v>
      </c>
      <c r="Z375" s="11">
        <v>2</v>
      </c>
      <c r="AA375" s="11">
        <v>2</v>
      </c>
      <c r="AB375" s="11">
        <v>2</v>
      </c>
      <c r="AC375" s="11">
        <v>2</v>
      </c>
      <c r="AD375" s="11">
        <v>2</v>
      </c>
      <c r="AE375" s="11">
        <v>2</v>
      </c>
      <c r="AF375" s="11">
        <v>2</v>
      </c>
      <c r="AG375" s="11">
        <v>2</v>
      </c>
      <c r="AH375" s="11">
        <v>2</v>
      </c>
      <c r="AI375" s="11">
        <v>2</v>
      </c>
      <c r="AJ375" s="11">
        <v>2</v>
      </c>
      <c r="AK375" s="11">
        <v>2</v>
      </c>
      <c r="AL375" s="11">
        <v>2</v>
      </c>
      <c r="AM375" s="13">
        <v>0</v>
      </c>
    </row>
    <row r="376" spans="1:44">
      <c r="G376" s="31" t="s">
        <v>540</v>
      </c>
      <c r="H376" s="31" t="s">
        <v>274</v>
      </c>
      <c r="I376" s="218" t="s">
        <v>541</v>
      </c>
      <c r="J376" s="22">
        <v>100</v>
      </c>
      <c r="K376" s="22">
        <v>500</v>
      </c>
      <c r="M376" s="13" t="s">
        <v>158</v>
      </c>
      <c r="N376" s="11">
        <v>3</v>
      </c>
      <c r="O376" s="11">
        <v>11.13</v>
      </c>
      <c r="P376" s="11">
        <v>11.21</v>
      </c>
      <c r="Q376" s="14">
        <v>3</v>
      </c>
      <c r="R376" s="14">
        <v>11.37</v>
      </c>
      <c r="S376" s="222">
        <v>1</v>
      </c>
      <c r="T376" s="11">
        <v>1</v>
      </c>
      <c r="U376" s="11">
        <v>1</v>
      </c>
      <c r="V376" s="11">
        <v>1</v>
      </c>
      <c r="W376" s="11">
        <v>1</v>
      </c>
      <c r="X376" s="11">
        <v>1</v>
      </c>
      <c r="Y376" s="11">
        <v>1</v>
      </c>
      <c r="Z376" s="11">
        <v>1</v>
      </c>
      <c r="AA376" s="11">
        <v>1</v>
      </c>
      <c r="AB376" s="11">
        <v>1</v>
      </c>
      <c r="AC376" s="11">
        <v>1</v>
      </c>
      <c r="AD376" s="11">
        <v>1</v>
      </c>
      <c r="AE376" s="11">
        <v>1</v>
      </c>
      <c r="AF376" s="11">
        <v>1</v>
      </c>
      <c r="AG376" s="11"/>
      <c r="AH376" s="11"/>
      <c r="AI376" s="11"/>
      <c r="AJ376" s="11"/>
      <c r="AK376" s="11"/>
      <c r="AL376" s="11"/>
      <c r="AM376" s="13"/>
    </row>
    <row r="377" spans="1:44">
      <c r="G377" s="31" t="s">
        <v>540</v>
      </c>
      <c r="H377" s="31" t="s">
        <v>274</v>
      </c>
      <c r="I377" s="218" t="s">
        <v>541</v>
      </c>
      <c r="J377" s="22">
        <v>100</v>
      </c>
      <c r="K377" s="22">
        <v>500</v>
      </c>
      <c r="M377" s="13" t="s">
        <v>159</v>
      </c>
      <c r="N377" s="11">
        <v>3</v>
      </c>
      <c r="O377" s="11">
        <v>11.26</v>
      </c>
      <c r="P377" s="11">
        <v>11.35</v>
      </c>
      <c r="Q377" s="14">
        <v>3</v>
      </c>
      <c r="R377" s="14">
        <v>11.53</v>
      </c>
      <c r="S377" s="222">
        <v>0</v>
      </c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3"/>
    </row>
    <row r="378" spans="1:44" s="311" customFormat="1" ht="15.75" thickBot="1">
      <c r="A378" s="321"/>
      <c r="B378" s="321"/>
      <c r="C378" s="321"/>
      <c r="D378" s="321"/>
      <c r="E378" s="321"/>
      <c r="F378" s="321"/>
      <c r="G378" s="321" t="s">
        <v>540</v>
      </c>
      <c r="H378" s="321" t="s">
        <v>274</v>
      </c>
      <c r="I378" s="325" t="s">
        <v>541</v>
      </c>
      <c r="J378" s="311">
        <v>100</v>
      </c>
      <c r="K378" s="311">
        <v>500</v>
      </c>
      <c r="L378" s="319"/>
      <c r="M378" s="305" t="s">
        <v>160</v>
      </c>
      <c r="N378" s="308">
        <v>2</v>
      </c>
      <c r="O378" s="308">
        <v>12.45</v>
      </c>
      <c r="P378" s="308">
        <v>11.58</v>
      </c>
      <c r="Q378" s="309">
        <v>2</v>
      </c>
      <c r="R378" s="309">
        <v>12.05</v>
      </c>
      <c r="S378" s="306">
        <v>0</v>
      </c>
      <c r="T378" s="308"/>
      <c r="U378" s="308"/>
      <c r="V378" s="308"/>
      <c r="W378" s="308"/>
      <c r="X378" s="308"/>
      <c r="Y378" s="308"/>
      <c r="Z378" s="308"/>
      <c r="AA378" s="308"/>
      <c r="AB378" s="308"/>
      <c r="AC378" s="308"/>
      <c r="AD378" s="308"/>
      <c r="AE378" s="308"/>
      <c r="AF378" s="308"/>
      <c r="AG378" s="308"/>
      <c r="AH378" s="308"/>
      <c r="AI378" s="308"/>
      <c r="AJ378" s="308"/>
      <c r="AK378" s="308"/>
      <c r="AL378" s="308"/>
      <c r="AM378" s="305"/>
      <c r="AN378" s="309"/>
      <c r="AR378" s="303"/>
    </row>
    <row r="379" spans="1:44" s="86" customFormat="1">
      <c r="A379" s="43">
        <v>25</v>
      </c>
      <c r="B379" s="105">
        <v>45986</v>
      </c>
      <c r="C379" s="31" t="s">
        <v>603</v>
      </c>
      <c r="D379" s="31" t="s">
        <v>604</v>
      </c>
      <c r="E379" s="31"/>
      <c r="F379" s="31" t="s">
        <v>372</v>
      </c>
      <c r="G379" s="104" t="s">
        <v>543</v>
      </c>
      <c r="H379" s="31" t="s">
        <v>274</v>
      </c>
      <c r="I379" s="218" t="s">
        <v>544</v>
      </c>
      <c r="J379" s="11">
        <v>100</v>
      </c>
      <c r="K379" s="11">
        <v>500</v>
      </c>
      <c r="L379" s="41">
        <v>70</v>
      </c>
      <c r="M379" s="46" t="s">
        <v>349</v>
      </c>
      <c r="N379" s="47">
        <v>4</v>
      </c>
      <c r="O379" s="47">
        <v>10.050000000000001</v>
      </c>
      <c r="P379" s="47">
        <v>10.17</v>
      </c>
      <c r="Q379" s="48">
        <v>4</v>
      </c>
      <c r="R379" s="48">
        <v>10.33</v>
      </c>
      <c r="S379" s="26">
        <v>2</v>
      </c>
      <c r="T379" s="47">
        <v>2</v>
      </c>
      <c r="U379" s="47">
        <v>2</v>
      </c>
      <c r="V379" s="47">
        <v>2</v>
      </c>
      <c r="W379" s="47">
        <v>2</v>
      </c>
      <c r="X379" s="47">
        <v>2</v>
      </c>
      <c r="Y379" s="47">
        <v>2</v>
      </c>
      <c r="Z379" s="47">
        <v>2</v>
      </c>
      <c r="AA379" s="47">
        <v>2</v>
      </c>
      <c r="AB379" s="47">
        <v>2</v>
      </c>
      <c r="AC379" s="47">
        <v>2</v>
      </c>
      <c r="AD379" s="47">
        <v>2</v>
      </c>
      <c r="AE379" s="47">
        <v>2</v>
      </c>
      <c r="AF379" s="47">
        <v>2</v>
      </c>
      <c r="AG379" s="47">
        <v>2</v>
      </c>
      <c r="AH379" s="47">
        <v>2</v>
      </c>
      <c r="AI379" s="47">
        <v>2</v>
      </c>
      <c r="AJ379" s="47">
        <v>2</v>
      </c>
      <c r="AK379" s="47">
        <v>2</v>
      </c>
      <c r="AL379" s="47">
        <v>2</v>
      </c>
      <c r="AM379" s="46">
        <v>2</v>
      </c>
      <c r="AN379" s="48">
        <v>2</v>
      </c>
      <c r="AO379" s="47" t="s">
        <v>188</v>
      </c>
      <c r="AP379" s="47" t="s">
        <v>542</v>
      </c>
      <c r="AQ379" s="398" t="s">
        <v>590</v>
      </c>
      <c r="AR379" s="466"/>
    </row>
    <row r="380" spans="1:44">
      <c r="D380" s="31" t="s">
        <v>605</v>
      </c>
      <c r="G380" s="31" t="s">
        <v>543</v>
      </c>
      <c r="H380" s="31" t="s">
        <v>274</v>
      </c>
      <c r="I380" s="218" t="s">
        <v>544</v>
      </c>
      <c r="J380" s="11">
        <v>100</v>
      </c>
      <c r="K380" s="11">
        <v>500</v>
      </c>
      <c r="M380" s="13" t="s">
        <v>351</v>
      </c>
      <c r="N380" s="11">
        <v>4</v>
      </c>
      <c r="O380" s="11">
        <v>10.18</v>
      </c>
      <c r="P380" s="11">
        <v>10.31</v>
      </c>
      <c r="Q380" s="14">
        <v>4</v>
      </c>
      <c r="R380" s="14">
        <v>10.46</v>
      </c>
      <c r="S380" s="222">
        <v>0</v>
      </c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3"/>
      <c r="AO380" s="11"/>
      <c r="AP380" s="11"/>
    </row>
    <row r="381" spans="1:44">
      <c r="G381" s="31" t="s">
        <v>543</v>
      </c>
      <c r="H381" s="31" t="s">
        <v>274</v>
      </c>
      <c r="I381" s="218" t="s">
        <v>544</v>
      </c>
      <c r="J381" s="11">
        <v>100</v>
      </c>
      <c r="K381" s="11">
        <v>500</v>
      </c>
      <c r="M381" s="13" t="s">
        <v>352</v>
      </c>
      <c r="N381" s="11">
        <v>4</v>
      </c>
      <c r="O381" s="11">
        <v>10.36</v>
      </c>
      <c r="P381" s="11">
        <v>10.49</v>
      </c>
      <c r="Q381" s="14">
        <v>4</v>
      </c>
      <c r="R381" s="14">
        <v>11.04</v>
      </c>
      <c r="S381" s="222">
        <v>2</v>
      </c>
      <c r="T381" s="11">
        <v>2</v>
      </c>
      <c r="U381" s="11">
        <v>2</v>
      </c>
      <c r="V381" s="11">
        <v>2</v>
      </c>
      <c r="W381" s="11">
        <v>2</v>
      </c>
      <c r="X381" s="11">
        <v>2</v>
      </c>
      <c r="Y381" s="11">
        <v>2</v>
      </c>
      <c r="Z381" s="11">
        <v>2</v>
      </c>
      <c r="AA381" s="11">
        <v>2</v>
      </c>
      <c r="AB381" s="11">
        <v>2</v>
      </c>
      <c r="AC381" s="11">
        <v>2</v>
      </c>
      <c r="AD381" s="11">
        <v>2</v>
      </c>
      <c r="AE381" s="11">
        <v>2</v>
      </c>
      <c r="AF381" s="11"/>
      <c r="AG381" s="11"/>
      <c r="AH381" s="11"/>
      <c r="AI381" s="11"/>
      <c r="AJ381" s="11"/>
      <c r="AK381" s="11"/>
      <c r="AL381" s="11"/>
      <c r="AM381" s="13"/>
      <c r="AO381" s="11"/>
      <c r="AP381" s="11"/>
    </row>
    <row r="382" spans="1:44">
      <c r="G382" s="31" t="s">
        <v>543</v>
      </c>
      <c r="H382" s="31" t="s">
        <v>274</v>
      </c>
      <c r="I382" s="218" t="s">
        <v>544</v>
      </c>
      <c r="J382" s="11">
        <v>100</v>
      </c>
      <c r="K382" s="11">
        <v>500</v>
      </c>
      <c r="M382" s="13" t="s">
        <v>353</v>
      </c>
      <c r="N382" s="11">
        <v>4</v>
      </c>
      <c r="O382" s="11">
        <v>10.5</v>
      </c>
      <c r="P382" s="11">
        <v>11.04</v>
      </c>
      <c r="Q382" s="14">
        <v>4</v>
      </c>
      <c r="R382" s="14">
        <v>11.18</v>
      </c>
      <c r="S382" s="222">
        <v>1</v>
      </c>
      <c r="T382" s="11">
        <v>1</v>
      </c>
      <c r="U382" s="11">
        <v>1</v>
      </c>
      <c r="V382" s="11">
        <v>1</v>
      </c>
      <c r="W382" s="11">
        <v>1</v>
      </c>
      <c r="X382" s="11">
        <v>1</v>
      </c>
      <c r="Y382" s="11">
        <v>1</v>
      </c>
      <c r="Z382" s="11">
        <v>1</v>
      </c>
      <c r="AA382" s="11">
        <v>1</v>
      </c>
      <c r="AB382" s="11">
        <v>1</v>
      </c>
      <c r="AC382" s="11">
        <v>1</v>
      </c>
      <c r="AD382" s="11">
        <v>1</v>
      </c>
      <c r="AE382" s="11">
        <v>1</v>
      </c>
      <c r="AF382" s="11"/>
      <c r="AG382" s="11"/>
      <c r="AH382" s="11"/>
      <c r="AI382" s="11"/>
      <c r="AJ382" s="11"/>
      <c r="AK382" s="11"/>
      <c r="AL382" s="11"/>
      <c r="AM382" s="13"/>
      <c r="AO382" s="11"/>
      <c r="AP382" s="11"/>
    </row>
    <row r="383" spans="1:44" s="86" customFormat="1">
      <c r="A383" s="31"/>
      <c r="B383" s="31"/>
      <c r="C383" s="31"/>
      <c r="D383" s="31"/>
      <c r="E383" s="31"/>
      <c r="F383" s="31"/>
      <c r="G383" s="31" t="s">
        <v>543</v>
      </c>
      <c r="H383" s="31" t="s">
        <v>274</v>
      </c>
      <c r="I383" s="218" t="s">
        <v>544</v>
      </c>
      <c r="J383" s="11">
        <v>100</v>
      </c>
      <c r="K383" s="11">
        <v>500</v>
      </c>
      <c r="L383" s="41"/>
      <c r="M383" s="46" t="s">
        <v>354</v>
      </c>
      <c r="N383" s="47">
        <v>4</v>
      </c>
      <c r="O383" s="47">
        <v>11.05</v>
      </c>
      <c r="P383" s="47">
        <v>11.24</v>
      </c>
      <c r="Q383" s="48">
        <v>4</v>
      </c>
      <c r="R383" s="48">
        <v>11.39</v>
      </c>
      <c r="S383" s="26">
        <v>3</v>
      </c>
      <c r="T383" s="47">
        <v>3</v>
      </c>
      <c r="U383" s="47">
        <v>3</v>
      </c>
      <c r="V383" s="47">
        <v>3</v>
      </c>
      <c r="W383" s="47">
        <v>3</v>
      </c>
      <c r="X383" s="47">
        <v>2</v>
      </c>
      <c r="Y383" s="47">
        <v>2</v>
      </c>
      <c r="Z383" s="47">
        <v>2</v>
      </c>
      <c r="AA383" s="47">
        <v>2</v>
      </c>
      <c r="AB383" s="47">
        <v>2</v>
      </c>
      <c r="AC383" s="47">
        <v>2</v>
      </c>
      <c r="AD383" s="47">
        <v>2</v>
      </c>
      <c r="AE383" s="47">
        <v>1</v>
      </c>
      <c r="AF383" s="47">
        <v>1</v>
      </c>
      <c r="AG383" s="47">
        <v>1</v>
      </c>
      <c r="AH383" s="47">
        <v>1</v>
      </c>
      <c r="AI383" s="47">
        <v>1</v>
      </c>
      <c r="AJ383" s="47">
        <v>1</v>
      </c>
      <c r="AK383" s="47">
        <v>1</v>
      </c>
      <c r="AL383" s="47">
        <v>1</v>
      </c>
      <c r="AM383" s="46">
        <v>1</v>
      </c>
      <c r="AN383" s="48">
        <v>1</v>
      </c>
      <c r="AO383" s="47" t="s">
        <v>188</v>
      </c>
      <c r="AP383" s="47" t="s">
        <v>226</v>
      </c>
      <c r="AQ383" s="398" t="s">
        <v>591</v>
      </c>
      <c r="AR383" s="466"/>
    </row>
    <row r="384" spans="1:44" s="86" customFormat="1">
      <c r="A384" s="31"/>
      <c r="B384" s="31"/>
      <c r="C384" s="31"/>
      <c r="D384" s="31"/>
      <c r="E384" s="31"/>
      <c r="F384" s="31"/>
      <c r="G384" s="31" t="s">
        <v>543</v>
      </c>
      <c r="H384" s="31" t="s">
        <v>274</v>
      </c>
      <c r="I384" s="218" t="s">
        <v>544</v>
      </c>
      <c r="J384" s="11">
        <v>100</v>
      </c>
      <c r="K384" s="11">
        <v>500</v>
      </c>
      <c r="L384" s="41"/>
      <c r="M384" s="46" t="s">
        <v>355</v>
      </c>
      <c r="N384" s="47">
        <v>4</v>
      </c>
      <c r="O384" s="47">
        <v>11.25</v>
      </c>
      <c r="P384" s="47">
        <v>11.45</v>
      </c>
      <c r="Q384" s="48">
        <v>4</v>
      </c>
      <c r="R384" s="48">
        <v>12.01</v>
      </c>
      <c r="S384" s="26">
        <v>3</v>
      </c>
      <c r="T384" s="47">
        <v>3</v>
      </c>
      <c r="U384" s="47">
        <v>3</v>
      </c>
      <c r="V384" s="47">
        <v>3</v>
      </c>
      <c r="W384" s="47">
        <v>3</v>
      </c>
      <c r="X384" s="47">
        <v>3</v>
      </c>
      <c r="Y384" s="47">
        <v>3</v>
      </c>
      <c r="Z384" s="47">
        <v>3</v>
      </c>
      <c r="AA384" s="47">
        <v>3</v>
      </c>
      <c r="AB384" s="47">
        <v>3</v>
      </c>
      <c r="AC384" s="47">
        <v>3</v>
      </c>
      <c r="AD384" s="47">
        <v>3</v>
      </c>
      <c r="AE384" s="47">
        <v>3</v>
      </c>
      <c r="AF384" s="47">
        <v>3</v>
      </c>
      <c r="AG384" s="47">
        <v>3</v>
      </c>
      <c r="AH384" s="47">
        <v>3</v>
      </c>
      <c r="AI384" s="47">
        <v>3</v>
      </c>
      <c r="AJ384" s="47">
        <v>2</v>
      </c>
      <c r="AK384" s="47">
        <v>2</v>
      </c>
      <c r="AL384" s="47">
        <v>1</v>
      </c>
      <c r="AM384" s="46">
        <v>1</v>
      </c>
      <c r="AN384" s="48">
        <v>1</v>
      </c>
      <c r="AO384" s="47" t="s">
        <v>188</v>
      </c>
      <c r="AP384" s="47" t="s">
        <v>542</v>
      </c>
      <c r="AQ384" s="398" t="s">
        <v>592</v>
      </c>
      <c r="AR384" s="466"/>
    </row>
    <row r="385" spans="1:44" s="23" customFormat="1">
      <c r="A385" s="31"/>
      <c r="B385" s="31"/>
      <c r="C385" s="31"/>
      <c r="D385" s="31"/>
      <c r="E385" s="31"/>
      <c r="F385" s="31"/>
      <c r="G385" s="32" t="s">
        <v>543</v>
      </c>
      <c r="H385" s="32" t="s">
        <v>274</v>
      </c>
      <c r="I385" s="219" t="s">
        <v>544</v>
      </c>
      <c r="J385" s="28">
        <v>100</v>
      </c>
      <c r="K385" s="28">
        <v>500</v>
      </c>
      <c r="L385" s="53"/>
      <c r="M385" s="19" t="s">
        <v>356</v>
      </c>
      <c r="N385" s="28">
        <v>4</v>
      </c>
      <c r="O385" s="28">
        <v>11.46</v>
      </c>
      <c r="P385" s="28">
        <v>11.59</v>
      </c>
      <c r="Q385" s="20">
        <v>4</v>
      </c>
      <c r="R385" s="20">
        <v>12.13</v>
      </c>
      <c r="S385" s="18">
        <v>2</v>
      </c>
      <c r="T385" s="28">
        <v>2</v>
      </c>
      <c r="U385" s="28">
        <v>2</v>
      </c>
      <c r="V385" s="28">
        <v>2</v>
      </c>
      <c r="W385" s="28">
        <v>2</v>
      </c>
      <c r="X385" s="28">
        <v>2</v>
      </c>
      <c r="Y385" s="28">
        <v>2</v>
      </c>
      <c r="Z385" s="28">
        <v>2</v>
      </c>
      <c r="AA385" s="28">
        <v>2</v>
      </c>
      <c r="AB385" s="28">
        <v>2</v>
      </c>
      <c r="AC385" s="28">
        <v>2</v>
      </c>
      <c r="AD385" s="28">
        <v>2</v>
      </c>
      <c r="AE385" s="28">
        <v>2</v>
      </c>
      <c r="AF385" s="28"/>
      <c r="AG385" s="28"/>
      <c r="AH385" s="28"/>
      <c r="AI385" s="28"/>
      <c r="AJ385" s="28"/>
      <c r="AK385" s="28"/>
      <c r="AL385" s="28"/>
      <c r="AM385" s="19"/>
      <c r="AN385" s="20"/>
      <c r="AO385" s="28"/>
      <c r="AP385" s="28"/>
      <c r="AR385" s="45"/>
    </row>
    <row r="386" spans="1:44">
      <c r="G386" s="31" t="s">
        <v>543</v>
      </c>
      <c r="H386" s="31" t="s">
        <v>274</v>
      </c>
      <c r="I386" s="218" t="s">
        <v>544</v>
      </c>
      <c r="J386" s="11">
        <v>100</v>
      </c>
      <c r="K386" s="11">
        <v>500</v>
      </c>
      <c r="M386" s="13" t="s">
        <v>153</v>
      </c>
      <c r="N386" s="11">
        <v>4</v>
      </c>
      <c r="O386" s="11">
        <v>10.06</v>
      </c>
      <c r="P386" s="11">
        <v>10.16</v>
      </c>
      <c r="Q386" s="14">
        <v>4</v>
      </c>
      <c r="R386" s="14">
        <v>10.34</v>
      </c>
      <c r="S386" s="222">
        <v>2</v>
      </c>
      <c r="T386" s="11">
        <v>2</v>
      </c>
      <c r="U386" s="11">
        <v>2</v>
      </c>
      <c r="V386" s="11">
        <v>2</v>
      </c>
      <c r="W386" s="11">
        <v>2</v>
      </c>
      <c r="X386" s="11">
        <v>2</v>
      </c>
      <c r="Y386" s="11">
        <v>2</v>
      </c>
      <c r="Z386" s="11">
        <v>2</v>
      </c>
      <c r="AA386" s="11">
        <v>2</v>
      </c>
      <c r="AB386" s="11">
        <v>2</v>
      </c>
      <c r="AC386" s="11">
        <v>2</v>
      </c>
      <c r="AD386" s="11">
        <v>2</v>
      </c>
      <c r="AE386" s="11">
        <v>1</v>
      </c>
      <c r="AF386" s="11">
        <v>1</v>
      </c>
      <c r="AG386" s="11">
        <v>1</v>
      </c>
      <c r="AH386" s="11">
        <v>1</v>
      </c>
      <c r="AI386" s="11">
        <v>1</v>
      </c>
      <c r="AJ386" s="11">
        <v>1</v>
      </c>
      <c r="AK386" s="11">
        <v>1</v>
      </c>
      <c r="AL386" s="11"/>
      <c r="AM386" s="13"/>
    </row>
    <row r="387" spans="1:44" s="86" customFormat="1">
      <c r="A387" s="31"/>
      <c r="B387" s="31"/>
      <c r="C387" s="31"/>
      <c r="D387" s="31"/>
      <c r="E387" s="31"/>
      <c r="F387" s="31"/>
      <c r="G387" s="31" t="s">
        <v>543</v>
      </c>
      <c r="H387" s="31" t="s">
        <v>274</v>
      </c>
      <c r="I387" s="218" t="s">
        <v>544</v>
      </c>
      <c r="J387" s="11">
        <v>100</v>
      </c>
      <c r="K387" s="11">
        <v>500</v>
      </c>
      <c r="L387" s="41"/>
      <c r="M387" s="46" t="s">
        <v>154</v>
      </c>
      <c r="N387" s="47">
        <v>3</v>
      </c>
      <c r="O387" s="47">
        <v>10.19</v>
      </c>
      <c r="P387" s="47">
        <v>10.25</v>
      </c>
      <c r="Q387" s="48">
        <v>3</v>
      </c>
      <c r="R387" s="48">
        <v>10.44</v>
      </c>
      <c r="S387" s="26">
        <v>3</v>
      </c>
      <c r="T387" s="47">
        <v>3</v>
      </c>
      <c r="U387" s="47">
        <v>3</v>
      </c>
      <c r="V387" s="47">
        <v>3</v>
      </c>
      <c r="W387" s="47">
        <v>3</v>
      </c>
      <c r="X387" s="47">
        <v>3</v>
      </c>
      <c r="Y387" s="47">
        <v>3</v>
      </c>
      <c r="Z387" s="47">
        <v>3</v>
      </c>
      <c r="AA387" s="47">
        <v>3</v>
      </c>
      <c r="AB387" s="47">
        <v>3</v>
      </c>
      <c r="AC387" s="47">
        <v>3</v>
      </c>
      <c r="AD387" s="47">
        <v>3</v>
      </c>
      <c r="AE387" s="47">
        <v>3</v>
      </c>
      <c r="AF387" s="47">
        <v>3</v>
      </c>
      <c r="AG387" s="47">
        <v>3</v>
      </c>
      <c r="AH387" s="47">
        <v>3</v>
      </c>
      <c r="AI387" s="47">
        <v>2</v>
      </c>
      <c r="AJ387" s="47">
        <v>2</v>
      </c>
      <c r="AK387" s="47">
        <v>2</v>
      </c>
      <c r="AL387" s="47">
        <v>1</v>
      </c>
      <c r="AM387" s="46">
        <v>1</v>
      </c>
      <c r="AN387" s="48">
        <v>1</v>
      </c>
      <c r="AO387" s="47" t="s">
        <v>188</v>
      </c>
      <c r="AP387" s="86" t="s">
        <v>226</v>
      </c>
      <c r="AQ387" s="398" t="s">
        <v>585</v>
      </c>
      <c r="AR387" s="466"/>
    </row>
    <row r="388" spans="1:44" s="86" customFormat="1">
      <c r="A388" s="31"/>
      <c r="B388" s="31"/>
      <c r="C388" s="31"/>
      <c r="D388" s="31"/>
      <c r="E388" s="31"/>
      <c r="F388" s="31"/>
      <c r="G388" s="31" t="s">
        <v>543</v>
      </c>
      <c r="H388" s="31" t="s">
        <v>274</v>
      </c>
      <c r="I388" s="218" t="s">
        <v>544</v>
      </c>
      <c r="J388" s="11">
        <v>100</v>
      </c>
      <c r="K388" s="11">
        <v>500</v>
      </c>
      <c r="L388" s="41"/>
      <c r="M388" s="46" t="s">
        <v>155</v>
      </c>
      <c r="N388" s="47">
        <v>4</v>
      </c>
      <c r="O388" s="47">
        <v>10.35</v>
      </c>
      <c r="P388" s="47">
        <v>10.45</v>
      </c>
      <c r="Q388" s="48">
        <v>4</v>
      </c>
      <c r="R388" s="48">
        <v>11.01</v>
      </c>
      <c r="S388" s="26">
        <v>2</v>
      </c>
      <c r="T388" s="47">
        <v>2</v>
      </c>
      <c r="U388" s="47">
        <v>2</v>
      </c>
      <c r="V388" s="47">
        <v>2</v>
      </c>
      <c r="W388" s="47">
        <v>2</v>
      </c>
      <c r="X388" s="47">
        <v>2</v>
      </c>
      <c r="Y388" s="47">
        <v>2</v>
      </c>
      <c r="Z388" s="47">
        <v>2</v>
      </c>
      <c r="AA388" s="47">
        <v>2</v>
      </c>
      <c r="AB388" s="47">
        <v>2</v>
      </c>
      <c r="AC388" s="47">
        <v>2</v>
      </c>
      <c r="AD388" s="47">
        <v>2</v>
      </c>
      <c r="AE388" s="47">
        <v>2</v>
      </c>
      <c r="AF388" s="47">
        <v>1</v>
      </c>
      <c r="AG388" s="47">
        <v>1</v>
      </c>
      <c r="AH388" s="47">
        <v>1</v>
      </c>
      <c r="AI388" s="47">
        <v>1</v>
      </c>
      <c r="AJ388" s="47">
        <v>1</v>
      </c>
      <c r="AK388" s="47">
        <v>1</v>
      </c>
      <c r="AL388" s="47">
        <v>1</v>
      </c>
      <c r="AM388" s="46">
        <v>1</v>
      </c>
      <c r="AN388" s="48">
        <v>1</v>
      </c>
      <c r="AO388" s="47" t="s">
        <v>188</v>
      </c>
      <c r="AP388" s="86" t="s">
        <v>226</v>
      </c>
      <c r="AQ388" s="398" t="s">
        <v>593</v>
      </c>
      <c r="AR388" s="466"/>
    </row>
    <row r="389" spans="1:44">
      <c r="G389" s="31" t="s">
        <v>543</v>
      </c>
      <c r="H389" s="31" t="s">
        <v>274</v>
      </c>
      <c r="I389" s="218" t="s">
        <v>544</v>
      </c>
      <c r="J389" s="11">
        <v>100</v>
      </c>
      <c r="K389" s="11">
        <v>500</v>
      </c>
      <c r="M389" s="13" t="s">
        <v>156</v>
      </c>
      <c r="N389" s="11">
        <v>2</v>
      </c>
      <c r="O389" s="11">
        <v>10.48</v>
      </c>
      <c r="P389" s="11">
        <v>11.59</v>
      </c>
      <c r="Q389" s="14">
        <v>2</v>
      </c>
      <c r="R389" s="14">
        <v>11.13</v>
      </c>
      <c r="S389" s="222">
        <v>2</v>
      </c>
      <c r="T389" s="11">
        <v>2</v>
      </c>
      <c r="U389" s="11">
        <v>2</v>
      </c>
      <c r="V389" s="11">
        <v>2</v>
      </c>
      <c r="W389" s="11">
        <v>2</v>
      </c>
      <c r="X389" s="11">
        <v>2</v>
      </c>
      <c r="Y389" s="11">
        <v>2</v>
      </c>
      <c r="Z389" s="11">
        <v>2</v>
      </c>
      <c r="AA389" s="11">
        <v>2</v>
      </c>
      <c r="AB389" s="11">
        <v>2</v>
      </c>
      <c r="AC389" s="11">
        <v>2</v>
      </c>
      <c r="AD389" s="11">
        <v>2</v>
      </c>
      <c r="AE389" s="11">
        <v>2</v>
      </c>
      <c r="AF389" s="11">
        <v>2</v>
      </c>
      <c r="AG389" s="11">
        <v>2</v>
      </c>
      <c r="AH389" s="11">
        <v>2</v>
      </c>
      <c r="AI389" s="11">
        <v>1</v>
      </c>
      <c r="AJ389" s="11">
        <v>1</v>
      </c>
      <c r="AK389" s="11">
        <v>1</v>
      </c>
      <c r="AL389" s="11"/>
      <c r="AM389" s="13"/>
    </row>
    <row r="390" spans="1:44">
      <c r="G390" s="31" t="s">
        <v>543</v>
      </c>
      <c r="H390" s="31" t="s">
        <v>274</v>
      </c>
      <c r="I390" s="218" t="s">
        <v>544</v>
      </c>
      <c r="J390" s="11">
        <v>100</v>
      </c>
      <c r="K390" s="11">
        <v>500</v>
      </c>
      <c r="M390" s="13" t="s">
        <v>157</v>
      </c>
      <c r="N390" s="11">
        <v>2</v>
      </c>
      <c r="O390" s="11">
        <v>11.1</v>
      </c>
      <c r="P390" s="11">
        <v>11.23</v>
      </c>
      <c r="Q390" s="14">
        <v>2</v>
      </c>
      <c r="R390" s="14">
        <v>11.37</v>
      </c>
      <c r="S390" s="222">
        <v>2</v>
      </c>
      <c r="T390" s="11">
        <v>2</v>
      </c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3"/>
    </row>
    <row r="391" spans="1:44">
      <c r="G391" s="31" t="s">
        <v>543</v>
      </c>
      <c r="H391" s="31" t="s">
        <v>274</v>
      </c>
      <c r="I391" s="218" t="s">
        <v>544</v>
      </c>
      <c r="J391" s="11">
        <v>100</v>
      </c>
      <c r="K391" s="11">
        <v>500</v>
      </c>
      <c r="M391" s="13" t="s">
        <v>158</v>
      </c>
      <c r="N391" s="11">
        <v>2</v>
      </c>
      <c r="O391" s="11">
        <v>11.26</v>
      </c>
      <c r="P391" s="11">
        <v>11.32</v>
      </c>
      <c r="Q391" s="14">
        <v>2</v>
      </c>
      <c r="R391" s="14">
        <v>11.48</v>
      </c>
      <c r="S391" s="222">
        <v>1</v>
      </c>
      <c r="T391" s="11">
        <v>1</v>
      </c>
      <c r="U391" s="11">
        <v>1</v>
      </c>
      <c r="V391" s="11">
        <v>1</v>
      </c>
      <c r="W391" s="11">
        <v>1</v>
      </c>
      <c r="X391" s="11">
        <v>1</v>
      </c>
      <c r="Y391" s="11">
        <v>1</v>
      </c>
      <c r="Z391" s="11">
        <v>1</v>
      </c>
      <c r="AA391" s="11">
        <v>1</v>
      </c>
      <c r="AB391" s="11">
        <v>1</v>
      </c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3"/>
    </row>
    <row r="392" spans="1:44" s="311" customFormat="1" ht="15.75" thickBot="1">
      <c r="A392" s="321"/>
      <c r="B392" s="321"/>
      <c r="C392" s="321"/>
      <c r="D392" s="321"/>
      <c r="E392" s="321"/>
      <c r="F392" s="321"/>
      <c r="G392" s="321" t="s">
        <v>543</v>
      </c>
      <c r="H392" s="321" t="s">
        <v>274</v>
      </c>
      <c r="I392" s="325" t="s">
        <v>544</v>
      </c>
      <c r="J392" s="308">
        <v>100</v>
      </c>
      <c r="K392" s="308">
        <v>500</v>
      </c>
      <c r="L392" s="319"/>
      <c r="M392" s="305" t="s">
        <v>159</v>
      </c>
      <c r="N392" s="308">
        <v>3</v>
      </c>
      <c r="O392" s="308">
        <v>11.37</v>
      </c>
      <c r="P392" s="308">
        <v>11.49</v>
      </c>
      <c r="Q392" s="309">
        <v>3</v>
      </c>
      <c r="R392" s="309">
        <v>12.03</v>
      </c>
      <c r="S392" s="306">
        <v>1</v>
      </c>
      <c r="T392" s="308">
        <v>1</v>
      </c>
      <c r="U392" s="308">
        <v>1</v>
      </c>
      <c r="V392" s="308">
        <v>1</v>
      </c>
      <c r="W392" s="308">
        <v>1</v>
      </c>
      <c r="X392" s="308">
        <v>1</v>
      </c>
      <c r="Y392" s="308">
        <v>1</v>
      </c>
      <c r="Z392" s="308">
        <v>1</v>
      </c>
      <c r="AA392" s="308">
        <v>1</v>
      </c>
      <c r="AB392" s="308">
        <v>1</v>
      </c>
      <c r="AC392" s="308">
        <v>1</v>
      </c>
      <c r="AD392" s="308">
        <v>1</v>
      </c>
      <c r="AE392" s="308">
        <v>1</v>
      </c>
      <c r="AF392" s="308">
        <v>1</v>
      </c>
      <c r="AG392" s="308">
        <v>1</v>
      </c>
      <c r="AH392" s="308">
        <v>1</v>
      </c>
      <c r="AI392" s="308">
        <v>1</v>
      </c>
      <c r="AJ392" s="308"/>
      <c r="AK392" s="308"/>
      <c r="AL392" s="308"/>
      <c r="AM392" s="305"/>
      <c r="AN392" s="309"/>
      <c r="AR392" s="303"/>
    </row>
    <row r="393" spans="1:44">
      <c r="A393" s="225">
        <v>26</v>
      </c>
      <c r="B393" s="105">
        <v>45988</v>
      </c>
      <c r="C393" s="31" t="s">
        <v>341</v>
      </c>
      <c r="D393" s="31" t="s">
        <v>606</v>
      </c>
      <c r="F393" s="31" t="s">
        <v>372</v>
      </c>
      <c r="H393" s="31" t="s">
        <v>274</v>
      </c>
      <c r="I393" s="117" t="s">
        <v>546</v>
      </c>
      <c r="J393" s="11">
        <v>100</v>
      </c>
      <c r="K393" s="11">
        <v>500</v>
      </c>
      <c r="L393" s="41">
        <v>70</v>
      </c>
      <c r="M393" s="13" t="s">
        <v>349</v>
      </c>
      <c r="N393" s="11">
        <v>4</v>
      </c>
      <c r="O393" s="11">
        <v>10.17</v>
      </c>
      <c r="P393" s="11">
        <v>10.29</v>
      </c>
      <c r="Q393" s="14">
        <v>4</v>
      </c>
      <c r="R393" s="14">
        <v>10.44</v>
      </c>
      <c r="S393" s="222">
        <v>1</v>
      </c>
      <c r="T393" s="11">
        <v>1</v>
      </c>
      <c r="U393" s="11">
        <v>1</v>
      </c>
      <c r="V393" s="11">
        <v>1</v>
      </c>
      <c r="W393" s="11">
        <v>1</v>
      </c>
      <c r="X393" s="11">
        <v>1</v>
      </c>
      <c r="Y393" s="11">
        <v>1</v>
      </c>
      <c r="Z393" s="11">
        <v>1</v>
      </c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3"/>
      <c r="AO393" s="11"/>
      <c r="AP393" s="11"/>
    </row>
    <row r="394" spans="1:44">
      <c r="D394" s="31" t="s">
        <v>607</v>
      </c>
      <c r="H394" s="31" t="s">
        <v>274</v>
      </c>
      <c r="I394" s="117" t="s">
        <v>546</v>
      </c>
      <c r="J394" s="11">
        <v>100</v>
      </c>
      <c r="K394" s="11">
        <v>500</v>
      </c>
      <c r="M394" s="13" t="s">
        <v>351</v>
      </c>
      <c r="N394" s="11">
        <v>4</v>
      </c>
      <c r="O394" s="11">
        <v>10.36</v>
      </c>
      <c r="P394" s="11">
        <v>10.54</v>
      </c>
      <c r="Q394" s="14">
        <v>4</v>
      </c>
      <c r="R394" s="14">
        <v>11.1</v>
      </c>
      <c r="S394" s="222">
        <v>3</v>
      </c>
      <c r="T394" s="11">
        <v>3</v>
      </c>
      <c r="U394" s="11">
        <v>3</v>
      </c>
      <c r="V394" s="11">
        <v>3</v>
      </c>
      <c r="W394" s="11">
        <v>3</v>
      </c>
      <c r="X394" s="11">
        <v>3</v>
      </c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3"/>
      <c r="AO394" s="11"/>
      <c r="AP394" s="11"/>
    </row>
    <row r="395" spans="1:44">
      <c r="H395" s="31" t="s">
        <v>274</v>
      </c>
      <c r="I395" s="117" t="s">
        <v>546</v>
      </c>
      <c r="J395" s="11">
        <v>100</v>
      </c>
      <c r="K395" s="11">
        <v>500</v>
      </c>
      <c r="M395" s="13" t="s">
        <v>352</v>
      </c>
      <c r="N395" s="11">
        <v>4</v>
      </c>
      <c r="O395" s="11">
        <v>11.04</v>
      </c>
      <c r="P395" s="11">
        <v>11.21</v>
      </c>
      <c r="Q395" s="14">
        <v>4</v>
      </c>
      <c r="R395" s="14">
        <v>11.35</v>
      </c>
      <c r="S395" s="222">
        <v>2</v>
      </c>
      <c r="T395" s="11">
        <v>2</v>
      </c>
      <c r="U395" s="11">
        <v>2</v>
      </c>
      <c r="V395" s="11">
        <v>2</v>
      </c>
      <c r="W395" s="11">
        <v>2</v>
      </c>
      <c r="X395" s="11">
        <v>2</v>
      </c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3"/>
      <c r="AO395" s="11"/>
      <c r="AP395" s="11"/>
    </row>
    <row r="396" spans="1:44">
      <c r="H396" s="31" t="s">
        <v>274</v>
      </c>
      <c r="I396" s="117" t="s">
        <v>546</v>
      </c>
      <c r="J396" s="11">
        <v>100</v>
      </c>
      <c r="K396" s="11">
        <v>500</v>
      </c>
      <c r="M396" s="13" t="s">
        <v>353</v>
      </c>
      <c r="N396" s="11">
        <v>4</v>
      </c>
      <c r="O396" s="11">
        <v>11.28</v>
      </c>
      <c r="P396" s="11">
        <v>11.39</v>
      </c>
      <c r="Q396" s="14">
        <v>4</v>
      </c>
      <c r="R396" s="14">
        <v>11.56</v>
      </c>
      <c r="S396" s="222">
        <v>0</v>
      </c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3"/>
      <c r="AO396" s="11"/>
      <c r="AP396" s="11"/>
    </row>
    <row r="397" spans="1:44">
      <c r="H397" s="31" t="s">
        <v>274</v>
      </c>
      <c r="I397" s="117" t="s">
        <v>546</v>
      </c>
      <c r="J397" s="11">
        <v>100</v>
      </c>
      <c r="K397" s="11">
        <v>500</v>
      </c>
      <c r="M397" s="13" t="s">
        <v>354</v>
      </c>
      <c r="N397" s="11">
        <v>4</v>
      </c>
      <c r="O397" s="11">
        <v>11.48</v>
      </c>
      <c r="P397" s="11">
        <v>12.01</v>
      </c>
      <c r="Q397" s="14">
        <v>4</v>
      </c>
      <c r="R397" s="14">
        <v>12.15</v>
      </c>
      <c r="S397" s="222">
        <v>1</v>
      </c>
      <c r="T397" s="11">
        <v>1</v>
      </c>
      <c r="U397" s="11">
        <v>1</v>
      </c>
      <c r="V397" s="11">
        <v>1</v>
      </c>
      <c r="W397" s="11">
        <v>1</v>
      </c>
      <c r="X397" s="11">
        <v>1</v>
      </c>
      <c r="Y397" s="11">
        <v>1</v>
      </c>
      <c r="Z397" s="11">
        <v>1</v>
      </c>
      <c r="AA397" s="11">
        <v>1</v>
      </c>
      <c r="AB397" s="11">
        <v>1</v>
      </c>
      <c r="AC397" s="11">
        <v>1</v>
      </c>
      <c r="AD397" s="11">
        <v>1</v>
      </c>
      <c r="AE397" s="11">
        <v>1</v>
      </c>
      <c r="AF397" s="11">
        <v>1</v>
      </c>
      <c r="AG397" s="11"/>
      <c r="AH397" s="11"/>
      <c r="AI397" s="11"/>
      <c r="AJ397" s="11"/>
      <c r="AK397" s="11"/>
      <c r="AL397" s="11"/>
      <c r="AM397" s="13"/>
      <c r="AO397" s="11"/>
      <c r="AP397" s="11"/>
    </row>
    <row r="398" spans="1:44" s="23" customFormat="1">
      <c r="A398" s="31"/>
      <c r="B398" s="31"/>
      <c r="C398" s="31"/>
      <c r="D398" s="31"/>
      <c r="E398" s="31"/>
      <c r="F398" s="31"/>
      <c r="G398" s="32"/>
      <c r="H398" s="32" t="s">
        <v>274</v>
      </c>
      <c r="I398" s="123" t="s">
        <v>546</v>
      </c>
      <c r="J398" s="28">
        <v>100</v>
      </c>
      <c r="K398" s="28">
        <v>500</v>
      </c>
      <c r="L398" s="53"/>
      <c r="M398" s="19" t="s">
        <v>355</v>
      </c>
      <c r="N398" s="28">
        <v>4</v>
      </c>
      <c r="O398" s="28">
        <v>12.07</v>
      </c>
      <c r="P398" s="28">
        <v>12.23</v>
      </c>
      <c r="Q398" s="20">
        <v>4</v>
      </c>
      <c r="R398" s="20">
        <v>12.36</v>
      </c>
      <c r="S398" s="18">
        <v>2</v>
      </c>
      <c r="T398" s="28">
        <v>2</v>
      </c>
      <c r="U398" s="28">
        <v>2</v>
      </c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19"/>
      <c r="AN398" s="20"/>
      <c r="AO398" s="28"/>
      <c r="AP398" s="28"/>
      <c r="AR398" s="45"/>
    </row>
    <row r="399" spans="1:44">
      <c r="H399" s="31" t="s">
        <v>274</v>
      </c>
      <c r="I399" s="117" t="s">
        <v>546</v>
      </c>
      <c r="J399" s="11">
        <v>100</v>
      </c>
      <c r="K399" s="11">
        <v>500</v>
      </c>
      <c r="M399" s="13" t="s">
        <v>153</v>
      </c>
      <c r="N399" s="11">
        <v>3</v>
      </c>
      <c r="O399" s="11">
        <v>10.15</v>
      </c>
      <c r="P399" s="11">
        <v>10.24</v>
      </c>
      <c r="Q399" s="14">
        <v>3</v>
      </c>
      <c r="R399" s="14">
        <v>10.41</v>
      </c>
      <c r="S399" s="222">
        <v>2</v>
      </c>
      <c r="T399" s="11">
        <v>2</v>
      </c>
      <c r="U399" s="11">
        <v>2</v>
      </c>
      <c r="V399" s="11">
        <v>2</v>
      </c>
      <c r="W399" s="11">
        <v>2</v>
      </c>
      <c r="X399" s="11">
        <v>2</v>
      </c>
      <c r="Y399" s="11">
        <v>2</v>
      </c>
      <c r="Z399" s="11">
        <v>2</v>
      </c>
      <c r="AA399" s="11">
        <v>2</v>
      </c>
      <c r="AB399" s="11">
        <v>1</v>
      </c>
      <c r="AC399" s="11">
        <v>1</v>
      </c>
      <c r="AD399" s="11">
        <v>1</v>
      </c>
      <c r="AE399" s="11">
        <v>1</v>
      </c>
      <c r="AF399" s="11">
        <v>1</v>
      </c>
      <c r="AG399" s="11">
        <v>1</v>
      </c>
      <c r="AH399" s="11">
        <v>1</v>
      </c>
      <c r="AI399" s="11">
        <v>1</v>
      </c>
      <c r="AJ399" s="11">
        <v>1</v>
      </c>
      <c r="AK399" s="11">
        <v>1</v>
      </c>
      <c r="AL399" s="11"/>
      <c r="AM399" s="13"/>
      <c r="AP399" s="231"/>
    </row>
    <row r="400" spans="1:44">
      <c r="H400" s="31" t="s">
        <v>274</v>
      </c>
      <c r="I400" s="117" t="s">
        <v>546</v>
      </c>
      <c r="J400" s="11">
        <v>100</v>
      </c>
      <c r="K400" s="11">
        <v>500</v>
      </c>
      <c r="M400" s="46" t="s">
        <v>154</v>
      </c>
      <c r="N400" s="47">
        <v>3</v>
      </c>
      <c r="O400" s="47">
        <v>10.28</v>
      </c>
      <c r="P400" s="47">
        <v>10.36</v>
      </c>
      <c r="Q400" s="48">
        <v>3</v>
      </c>
      <c r="R400" s="48">
        <v>10.52</v>
      </c>
      <c r="S400" s="26">
        <v>2</v>
      </c>
      <c r="T400" s="47">
        <v>2</v>
      </c>
      <c r="U400" s="47">
        <v>2</v>
      </c>
      <c r="V400" s="47">
        <v>2</v>
      </c>
      <c r="W400" s="47">
        <v>2</v>
      </c>
      <c r="X400" s="47">
        <v>2</v>
      </c>
      <c r="Y400" s="47">
        <v>2</v>
      </c>
      <c r="Z400" s="47">
        <v>2</v>
      </c>
      <c r="AA400" s="47">
        <v>2</v>
      </c>
      <c r="AB400" s="47">
        <v>2</v>
      </c>
      <c r="AC400" s="47">
        <v>2</v>
      </c>
      <c r="AD400" s="47">
        <v>2</v>
      </c>
      <c r="AE400" s="47">
        <v>2</v>
      </c>
      <c r="AF400" s="47">
        <v>2</v>
      </c>
      <c r="AG400" s="47">
        <v>2</v>
      </c>
      <c r="AH400" s="47">
        <v>2</v>
      </c>
      <c r="AI400" s="47">
        <v>2</v>
      </c>
      <c r="AJ400" s="47">
        <v>2</v>
      </c>
      <c r="AK400" s="47">
        <v>2</v>
      </c>
      <c r="AL400" s="47">
        <v>2</v>
      </c>
      <c r="AM400" s="46">
        <v>1</v>
      </c>
      <c r="AN400" s="48">
        <v>1</v>
      </c>
      <c r="AO400" s="47" t="s">
        <v>188</v>
      </c>
      <c r="AP400" s="367" t="s">
        <v>542</v>
      </c>
      <c r="AQ400" s="398" t="s">
        <v>586</v>
      </c>
    </row>
    <row r="401" spans="1:44">
      <c r="H401" s="31" t="s">
        <v>274</v>
      </c>
      <c r="I401" s="117" t="s">
        <v>546</v>
      </c>
      <c r="J401" s="11">
        <v>100</v>
      </c>
      <c r="K401" s="11">
        <v>500</v>
      </c>
      <c r="M401" s="46" t="s">
        <v>155</v>
      </c>
      <c r="N401" s="47">
        <v>3</v>
      </c>
      <c r="O401" s="47">
        <v>10.38</v>
      </c>
      <c r="P401" s="47">
        <v>10.53</v>
      </c>
      <c r="Q401" s="48">
        <v>3</v>
      </c>
      <c r="R401" s="48">
        <v>11.09</v>
      </c>
      <c r="S401" s="26">
        <v>2</v>
      </c>
      <c r="T401" s="47">
        <v>2</v>
      </c>
      <c r="U401" s="47">
        <v>2</v>
      </c>
      <c r="V401" s="47">
        <v>2</v>
      </c>
      <c r="W401" s="47">
        <v>2</v>
      </c>
      <c r="X401" s="47">
        <v>2</v>
      </c>
      <c r="Y401" s="47">
        <v>2</v>
      </c>
      <c r="Z401" s="47">
        <v>2</v>
      </c>
      <c r="AA401" s="47">
        <v>2</v>
      </c>
      <c r="AB401" s="47">
        <v>2</v>
      </c>
      <c r="AC401" s="47">
        <v>2</v>
      </c>
      <c r="AD401" s="47">
        <v>2</v>
      </c>
      <c r="AE401" s="47">
        <v>2</v>
      </c>
      <c r="AF401" s="47">
        <v>2</v>
      </c>
      <c r="AG401" s="47">
        <v>2</v>
      </c>
      <c r="AH401" s="47">
        <v>2</v>
      </c>
      <c r="AI401" s="47">
        <v>2</v>
      </c>
      <c r="AJ401" s="47">
        <v>2</v>
      </c>
      <c r="AK401" s="47">
        <v>1</v>
      </c>
      <c r="AL401" s="47">
        <v>1</v>
      </c>
      <c r="AM401" s="46">
        <v>1</v>
      </c>
      <c r="AN401" s="48">
        <v>1</v>
      </c>
      <c r="AO401" s="47" t="s">
        <v>188</v>
      </c>
      <c r="AP401" s="367" t="s">
        <v>542</v>
      </c>
      <c r="AQ401" s="398" t="s">
        <v>594</v>
      </c>
    </row>
    <row r="402" spans="1:44">
      <c r="H402" s="31" t="s">
        <v>274</v>
      </c>
      <c r="I402" s="117" t="s">
        <v>546</v>
      </c>
      <c r="J402" s="11">
        <v>100</v>
      </c>
      <c r="K402" s="11">
        <v>500</v>
      </c>
      <c r="M402" s="46" t="s">
        <v>156</v>
      </c>
      <c r="N402" s="47">
        <v>3</v>
      </c>
      <c r="O402" s="47">
        <v>11.02</v>
      </c>
      <c r="P402" s="47">
        <v>11.12</v>
      </c>
      <c r="Q402" s="48">
        <v>3</v>
      </c>
      <c r="R402" s="48">
        <v>11.26</v>
      </c>
      <c r="S402" s="26">
        <v>2</v>
      </c>
      <c r="T402" s="47">
        <v>2</v>
      </c>
      <c r="U402" s="47">
        <v>2</v>
      </c>
      <c r="V402" s="47">
        <v>2</v>
      </c>
      <c r="W402" s="47">
        <v>2</v>
      </c>
      <c r="X402" s="47">
        <v>2</v>
      </c>
      <c r="Y402" s="47">
        <v>2</v>
      </c>
      <c r="Z402" s="47">
        <v>2</v>
      </c>
      <c r="AA402" s="47">
        <v>2</v>
      </c>
      <c r="AB402" s="47">
        <v>2</v>
      </c>
      <c r="AC402" s="47">
        <v>2</v>
      </c>
      <c r="AD402" s="47">
        <v>2</v>
      </c>
      <c r="AE402" s="47">
        <v>2</v>
      </c>
      <c r="AF402" s="47">
        <v>2</v>
      </c>
      <c r="AG402" s="47">
        <v>2</v>
      </c>
      <c r="AH402" s="47">
        <v>2</v>
      </c>
      <c r="AI402" s="47">
        <v>2</v>
      </c>
      <c r="AJ402" s="47">
        <v>2</v>
      </c>
      <c r="AK402" s="47">
        <v>2</v>
      </c>
      <c r="AL402" s="47">
        <v>1</v>
      </c>
      <c r="AM402" s="46">
        <v>1</v>
      </c>
      <c r="AN402" s="48">
        <v>1</v>
      </c>
      <c r="AO402" s="47" t="s">
        <v>188</v>
      </c>
      <c r="AP402" s="367" t="s">
        <v>226</v>
      </c>
      <c r="AQ402" s="398" t="s">
        <v>587</v>
      </c>
    </row>
    <row r="403" spans="1:44">
      <c r="H403" s="31" t="s">
        <v>274</v>
      </c>
      <c r="I403" s="117" t="s">
        <v>546</v>
      </c>
      <c r="J403" s="11">
        <v>100</v>
      </c>
      <c r="K403" s="11">
        <v>500</v>
      </c>
      <c r="M403" s="46" t="s">
        <v>157</v>
      </c>
      <c r="N403" s="47">
        <v>3</v>
      </c>
      <c r="O403" s="47">
        <v>11.24</v>
      </c>
      <c r="P403" s="47">
        <v>11.37</v>
      </c>
      <c r="Q403" s="48">
        <v>3</v>
      </c>
      <c r="R403" s="48">
        <v>11.53</v>
      </c>
      <c r="S403" s="26">
        <v>2</v>
      </c>
      <c r="T403" s="47">
        <v>2</v>
      </c>
      <c r="U403" s="47">
        <v>2</v>
      </c>
      <c r="V403" s="47">
        <v>2</v>
      </c>
      <c r="W403" s="47">
        <v>2</v>
      </c>
      <c r="X403" s="47">
        <v>2</v>
      </c>
      <c r="Y403" s="47">
        <v>2</v>
      </c>
      <c r="Z403" s="47">
        <v>2</v>
      </c>
      <c r="AA403" s="47">
        <v>2</v>
      </c>
      <c r="AB403" s="47">
        <v>2</v>
      </c>
      <c r="AC403" s="47">
        <v>2</v>
      </c>
      <c r="AD403" s="47">
        <v>2</v>
      </c>
      <c r="AE403" s="47">
        <v>2</v>
      </c>
      <c r="AF403" s="47">
        <v>2</v>
      </c>
      <c r="AG403" s="47">
        <v>2</v>
      </c>
      <c r="AH403" s="47">
        <v>2</v>
      </c>
      <c r="AI403" s="47">
        <v>2</v>
      </c>
      <c r="AJ403" s="47">
        <v>2</v>
      </c>
      <c r="AK403" s="47">
        <v>2</v>
      </c>
      <c r="AL403" s="47">
        <v>1</v>
      </c>
      <c r="AM403" s="46">
        <v>1</v>
      </c>
      <c r="AN403" s="48">
        <v>1</v>
      </c>
      <c r="AO403" s="47" t="s">
        <v>188</v>
      </c>
      <c r="AP403" s="367" t="s">
        <v>226</v>
      </c>
      <c r="AQ403" s="398" t="s">
        <v>588</v>
      </c>
    </row>
    <row r="404" spans="1:44">
      <c r="H404" s="31" t="s">
        <v>274</v>
      </c>
      <c r="I404" s="117" t="s">
        <v>546</v>
      </c>
      <c r="J404" s="11">
        <v>100</v>
      </c>
      <c r="K404" s="11">
        <v>500</v>
      </c>
      <c r="M404" s="46" t="s">
        <v>158</v>
      </c>
      <c r="N404" s="47">
        <v>3</v>
      </c>
      <c r="O404" s="47">
        <v>11.42</v>
      </c>
      <c r="P404" s="47">
        <v>11.52</v>
      </c>
      <c r="Q404" s="48">
        <v>3</v>
      </c>
      <c r="R404" s="48">
        <v>12.07</v>
      </c>
      <c r="S404" s="26">
        <v>3</v>
      </c>
      <c r="T404" s="47">
        <v>3</v>
      </c>
      <c r="U404" s="47">
        <v>3</v>
      </c>
      <c r="V404" s="47">
        <v>3</v>
      </c>
      <c r="W404" s="47">
        <v>1</v>
      </c>
      <c r="X404" s="47">
        <v>1</v>
      </c>
      <c r="Y404" s="47">
        <v>1</v>
      </c>
      <c r="Z404" s="47">
        <v>1</v>
      </c>
      <c r="AA404" s="47">
        <v>1</v>
      </c>
      <c r="AB404" s="47">
        <v>1</v>
      </c>
      <c r="AC404" s="47">
        <v>1</v>
      </c>
      <c r="AD404" s="47">
        <v>1</v>
      </c>
      <c r="AE404" s="47">
        <v>1</v>
      </c>
      <c r="AF404" s="47">
        <v>1</v>
      </c>
      <c r="AG404" s="47">
        <v>1</v>
      </c>
      <c r="AH404" s="47">
        <v>1</v>
      </c>
      <c r="AI404" s="47">
        <v>1</v>
      </c>
      <c r="AJ404" s="47">
        <v>1</v>
      </c>
      <c r="AK404" s="47">
        <v>1</v>
      </c>
      <c r="AL404" s="47">
        <v>1</v>
      </c>
      <c r="AM404" s="46">
        <v>1</v>
      </c>
      <c r="AN404" s="48">
        <v>1</v>
      </c>
      <c r="AO404" s="47" t="s">
        <v>188</v>
      </c>
      <c r="AP404" s="367" t="s">
        <v>226</v>
      </c>
      <c r="AQ404" s="398" t="s">
        <v>589</v>
      </c>
    </row>
    <row r="405" spans="1:44">
      <c r="H405" s="31" t="s">
        <v>274</v>
      </c>
      <c r="I405" s="117" t="s">
        <v>546</v>
      </c>
      <c r="J405" s="11">
        <v>100</v>
      </c>
      <c r="K405" s="11">
        <v>500</v>
      </c>
      <c r="M405" s="46" t="s">
        <v>159</v>
      </c>
      <c r="N405" s="47">
        <v>1</v>
      </c>
      <c r="O405" s="47">
        <v>11.54</v>
      </c>
      <c r="P405" s="47">
        <v>12.02</v>
      </c>
      <c r="Q405" s="48">
        <v>1</v>
      </c>
      <c r="R405" s="48">
        <v>12.13</v>
      </c>
      <c r="S405" s="26">
        <v>2</v>
      </c>
      <c r="T405" s="47">
        <v>2</v>
      </c>
      <c r="U405" s="47">
        <v>2</v>
      </c>
      <c r="V405" s="47">
        <v>2</v>
      </c>
      <c r="W405" s="47">
        <v>2</v>
      </c>
      <c r="X405" s="47">
        <v>2</v>
      </c>
      <c r="Y405" s="47">
        <v>2</v>
      </c>
      <c r="Z405" s="47">
        <v>2</v>
      </c>
      <c r="AA405" s="47">
        <v>2</v>
      </c>
      <c r="AB405" s="47">
        <v>2</v>
      </c>
      <c r="AC405" s="47">
        <v>2</v>
      </c>
      <c r="AD405" s="47">
        <v>2</v>
      </c>
      <c r="AE405" s="47">
        <v>2</v>
      </c>
      <c r="AF405" s="47">
        <v>2</v>
      </c>
      <c r="AG405" s="47">
        <v>2</v>
      </c>
      <c r="AH405" s="47">
        <v>2</v>
      </c>
      <c r="AI405" s="47">
        <v>2</v>
      </c>
      <c r="AJ405" s="47">
        <v>2</v>
      </c>
      <c r="AK405" s="47">
        <v>2</v>
      </c>
      <c r="AL405" s="47">
        <v>1</v>
      </c>
      <c r="AM405" s="46">
        <v>1</v>
      </c>
      <c r="AN405" s="48">
        <v>1</v>
      </c>
      <c r="AO405" s="47" t="s">
        <v>188</v>
      </c>
      <c r="AP405" s="367" t="s">
        <v>226</v>
      </c>
      <c r="AQ405" s="398" t="s">
        <v>595</v>
      </c>
    </row>
    <row r="406" spans="1:44" s="23" customFormat="1">
      <c r="A406" s="31"/>
      <c r="B406" s="31"/>
      <c r="C406" s="31"/>
      <c r="D406" s="31"/>
      <c r="E406" s="31"/>
      <c r="F406" s="31"/>
      <c r="G406" s="32"/>
      <c r="H406" s="32" t="s">
        <v>274</v>
      </c>
      <c r="I406" s="123" t="s">
        <v>546</v>
      </c>
      <c r="J406" s="28">
        <v>100</v>
      </c>
      <c r="K406" s="28">
        <v>500</v>
      </c>
      <c r="L406" s="53"/>
      <c r="M406" s="19" t="s">
        <v>160</v>
      </c>
      <c r="N406" s="28">
        <v>2</v>
      </c>
      <c r="O406" s="28">
        <v>12.06</v>
      </c>
      <c r="P406" s="28">
        <v>12.18</v>
      </c>
      <c r="Q406" s="20">
        <v>2</v>
      </c>
      <c r="R406" s="20">
        <v>12.35</v>
      </c>
      <c r="S406" s="18">
        <v>0</v>
      </c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19"/>
      <c r="AN406" s="20"/>
      <c r="AP406" s="468"/>
      <c r="AR406" s="45"/>
    </row>
    <row r="407" spans="1:44">
      <c r="H407" s="31" t="s">
        <v>274</v>
      </c>
      <c r="I407" s="117" t="s">
        <v>546</v>
      </c>
      <c r="J407" s="11">
        <v>100</v>
      </c>
      <c r="K407" s="11">
        <v>500</v>
      </c>
      <c r="M407" s="46" t="s">
        <v>144</v>
      </c>
      <c r="N407" s="47">
        <v>5</v>
      </c>
      <c r="O407" s="47" t="s">
        <v>61</v>
      </c>
      <c r="P407" s="47" t="s">
        <v>61</v>
      </c>
      <c r="Q407" s="48">
        <v>5</v>
      </c>
      <c r="R407" s="48">
        <v>10.49</v>
      </c>
      <c r="S407" s="26">
        <v>1</v>
      </c>
      <c r="T407" s="47">
        <v>1</v>
      </c>
      <c r="U407" s="47">
        <v>1</v>
      </c>
      <c r="V407" s="47">
        <v>1</v>
      </c>
      <c r="W407" s="47">
        <v>1</v>
      </c>
      <c r="X407" s="47">
        <v>1</v>
      </c>
      <c r="Y407" s="47">
        <v>1</v>
      </c>
      <c r="Z407" s="47">
        <v>1</v>
      </c>
      <c r="AA407" s="47">
        <v>1</v>
      </c>
      <c r="AB407" s="47">
        <v>1</v>
      </c>
      <c r="AC407" s="47">
        <v>1</v>
      </c>
      <c r="AD407" s="47">
        <v>1</v>
      </c>
      <c r="AE407" s="47">
        <v>1</v>
      </c>
      <c r="AF407" s="47">
        <v>1</v>
      </c>
      <c r="AG407" s="47">
        <v>1</v>
      </c>
      <c r="AH407" s="47">
        <v>1</v>
      </c>
      <c r="AI407" s="47">
        <v>1</v>
      </c>
      <c r="AJ407" s="47">
        <v>1</v>
      </c>
      <c r="AK407" s="47">
        <v>1</v>
      </c>
      <c r="AL407" s="47">
        <v>1</v>
      </c>
      <c r="AM407" s="46">
        <v>1</v>
      </c>
      <c r="AN407" s="48">
        <v>1</v>
      </c>
      <c r="AO407" s="47" t="s">
        <v>188</v>
      </c>
      <c r="AP407" s="367" t="s">
        <v>542</v>
      </c>
      <c r="AQ407" s="398" t="s">
        <v>596</v>
      </c>
    </row>
    <row r="408" spans="1:44">
      <c r="H408" s="31" t="s">
        <v>274</v>
      </c>
      <c r="I408" s="117" t="s">
        <v>546</v>
      </c>
      <c r="J408" s="11">
        <v>100</v>
      </c>
      <c r="K408" s="11">
        <v>500</v>
      </c>
      <c r="M408" s="13" t="s">
        <v>145</v>
      </c>
      <c r="N408" s="11">
        <v>4</v>
      </c>
      <c r="O408" s="11" t="s">
        <v>61</v>
      </c>
      <c r="P408" s="11" t="s">
        <v>61</v>
      </c>
      <c r="Q408" s="14">
        <v>4</v>
      </c>
      <c r="R408" s="14">
        <v>11.02</v>
      </c>
      <c r="S408" s="222">
        <v>1</v>
      </c>
      <c r="T408" s="11">
        <v>1</v>
      </c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3"/>
    </row>
    <row r="409" spans="1:44">
      <c r="H409" s="31" t="s">
        <v>274</v>
      </c>
      <c r="I409" s="117" t="s">
        <v>546</v>
      </c>
      <c r="J409" s="11">
        <v>100</v>
      </c>
      <c r="K409" s="11">
        <v>500</v>
      </c>
      <c r="M409" s="46" t="s">
        <v>146</v>
      </c>
      <c r="N409" s="47">
        <v>5</v>
      </c>
      <c r="O409" s="47" t="s">
        <v>61</v>
      </c>
      <c r="P409" s="47" t="s">
        <v>61</v>
      </c>
      <c r="Q409" s="48">
        <v>5</v>
      </c>
      <c r="R409" s="48">
        <v>11.37</v>
      </c>
      <c r="S409" s="26">
        <v>4</v>
      </c>
      <c r="T409" s="47">
        <v>4</v>
      </c>
      <c r="U409" s="47">
        <v>4</v>
      </c>
      <c r="V409" s="47">
        <v>4</v>
      </c>
      <c r="W409" s="47">
        <v>4</v>
      </c>
      <c r="X409" s="47">
        <v>4</v>
      </c>
      <c r="Y409" s="47">
        <v>4</v>
      </c>
      <c r="Z409" s="47">
        <v>4</v>
      </c>
      <c r="AA409" s="47">
        <v>1</v>
      </c>
      <c r="AB409" s="47">
        <v>1</v>
      </c>
      <c r="AC409" s="47">
        <v>1</v>
      </c>
      <c r="AD409" s="47">
        <v>1</v>
      </c>
      <c r="AE409" s="47">
        <v>1</v>
      </c>
      <c r="AF409" s="47">
        <v>1</v>
      </c>
      <c r="AG409" s="47">
        <v>1</v>
      </c>
      <c r="AH409" s="47">
        <v>1</v>
      </c>
      <c r="AI409" s="47">
        <v>1</v>
      </c>
      <c r="AJ409" s="47">
        <v>1</v>
      </c>
      <c r="AK409" s="47">
        <v>1</v>
      </c>
      <c r="AL409" s="47">
        <v>1</v>
      </c>
      <c r="AM409" s="46">
        <v>1</v>
      </c>
      <c r="AN409" s="48">
        <v>1</v>
      </c>
      <c r="AO409" s="47" t="s">
        <v>188</v>
      </c>
      <c r="AP409" s="86" t="s">
        <v>226</v>
      </c>
      <c r="AQ409" s="398" t="s">
        <v>597</v>
      </c>
    </row>
    <row r="410" spans="1:44">
      <c r="H410" s="31" t="s">
        <v>274</v>
      </c>
      <c r="I410" s="117" t="s">
        <v>546</v>
      </c>
      <c r="J410" s="11">
        <v>100</v>
      </c>
      <c r="K410" s="11">
        <v>500</v>
      </c>
      <c r="M410" s="13" t="s">
        <v>147</v>
      </c>
      <c r="N410" s="11">
        <v>5</v>
      </c>
      <c r="O410" s="11" t="s">
        <v>61</v>
      </c>
      <c r="P410" s="11" t="s">
        <v>61</v>
      </c>
      <c r="Q410" s="14">
        <v>5</v>
      </c>
      <c r="R410" s="14">
        <v>11.55</v>
      </c>
      <c r="S410" s="222">
        <v>4</v>
      </c>
      <c r="T410" s="11">
        <v>4</v>
      </c>
      <c r="U410" s="11">
        <v>4</v>
      </c>
      <c r="V410" s="11">
        <v>4</v>
      </c>
      <c r="W410" s="11">
        <v>4</v>
      </c>
      <c r="X410" s="11">
        <v>1</v>
      </c>
      <c r="Y410" s="11">
        <v>1</v>
      </c>
      <c r="Z410" s="11">
        <v>1</v>
      </c>
      <c r="AA410" s="11">
        <v>1</v>
      </c>
      <c r="AB410" s="11">
        <v>1</v>
      </c>
      <c r="AC410" s="11">
        <v>1</v>
      </c>
      <c r="AD410" s="11">
        <v>1</v>
      </c>
      <c r="AE410" s="11">
        <v>1</v>
      </c>
      <c r="AF410" s="11">
        <v>1</v>
      </c>
      <c r="AG410" s="11">
        <v>1</v>
      </c>
      <c r="AH410" s="11"/>
      <c r="AI410" s="11"/>
      <c r="AJ410" s="11"/>
      <c r="AK410" s="11"/>
      <c r="AL410" s="11"/>
      <c r="AM410" s="13"/>
    </row>
    <row r="411" spans="1:44">
      <c r="H411" s="31" t="s">
        <v>274</v>
      </c>
      <c r="I411" s="117" t="s">
        <v>546</v>
      </c>
      <c r="J411" s="11">
        <v>100</v>
      </c>
      <c r="K411" s="11">
        <v>500</v>
      </c>
      <c r="M411" s="13" t="s">
        <v>148</v>
      </c>
      <c r="N411" s="11">
        <v>5</v>
      </c>
      <c r="O411" s="11" t="s">
        <v>61</v>
      </c>
      <c r="P411" s="11" t="s">
        <v>61</v>
      </c>
      <c r="Q411" s="14">
        <v>5</v>
      </c>
      <c r="R411" s="14">
        <v>12.13</v>
      </c>
      <c r="S411" s="222">
        <v>2</v>
      </c>
      <c r="T411" s="11">
        <v>2</v>
      </c>
      <c r="U411" s="11">
        <v>2</v>
      </c>
      <c r="V411" s="11">
        <v>2</v>
      </c>
      <c r="W411" s="11">
        <v>2</v>
      </c>
      <c r="X411" s="11">
        <v>2</v>
      </c>
      <c r="Y411" s="11">
        <v>2</v>
      </c>
      <c r="Z411" s="11">
        <v>2</v>
      </c>
      <c r="AA411" s="11">
        <v>2</v>
      </c>
      <c r="AB411" s="11">
        <v>2</v>
      </c>
      <c r="AC411" s="11">
        <v>2</v>
      </c>
      <c r="AD411" s="11">
        <v>2</v>
      </c>
      <c r="AE411" s="11">
        <v>2</v>
      </c>
      <c r="AF411" s="11">
        <v>2</v>
      </c>
      <c r="AG411" s="11">
        <v>2</v>
      </c>
      <c r="AH411" s="11"/>
      <c r="AI411" s="11"/>
      <c r="AJ411" s="11"/>
      <c r="AK411" s="11"/>
      <c r="AL411" s="11"/>
      <c r="AM411" s="13"/>
    </row>
    <row r="412" spans="1:44" s="311" customFormat="1" ht="15.75" thickBot="1">
      <c r="A412" s="321"/>
      <c r="B412" s="321"/>
      <c r="C412" s="321"/>
      <c r="D412" s="321"/>
      <c r="E412" s="321"/>
      <c r="F412" s="321"/>
      <c r="G412" s="321"/>
      <c r="H412" s="321" t="s">
        <v>274</v>
      </c>
      <c r="I412" s="467" t="s">
        <v>546</v>
      </c>
      <c r="J412" s="308">
        <v>100</v>
      </c>
      <c r="K412" s="308">
        <v>500</v>
      </c>
      <c r="L412" s="319"/>
      <c r="M412" s="305" t="s">
        <v>149</v>
      </c>
      <c r="N412" s="308">
        <v>5</v>
      </c>
      <c r="O412" s="308" t="s">
        <v>61</v>
      </c>
      <c r="P412" s="308" t="s">
        <v>61</v>
      </c>
      <c r="Q412" s="309">
        <v>5</v>
      </c>
      <c r="R412" s="309">
        <v>12.35</v>
      </c>
      <c r="S412" s="306">
        <v>1</v>
      </c>
      <c r="T412" s="308">
        <v>1</v>
      </c>
      <c r="U412" s="308">
        <v>1</v>
      </c>
      <c r="V412" s="308">
        <v>1</v>
      </c>
      <c r="W412" s="308">
        <v>1</v>
      </c>
      <c r="X412" s="308">
        <v>1</v>
      </c>
      <c r="Y412" s="308">
        <v>1</v>
      </c>
      <c r="Z412" s="308">
        <v>1</v>
      </c>
      <c r="AA412" s="308">
        <v>1</v>
      </c>
      <c r="AB412" s="308">
        <v>1</v>
      </c>
      <c r="AC412" s="308">
        <v>1</v>
      </c>
      <c r="AD412" s="308">
        <v>1</v>
      </c>
      <c r="AE412" s="308"/>
      <c r="AF412" s="308"/>
      <c r="AG412" s="308"/>
      <c r="AH412" s="308"/>
      <c r="AI412" s="308"/>
      <c r="AJ412" s="308"/>
      <c r="AK412" s="308"/>
      <c r="AL412" s="308"/>
      <c r="AM412" s="305"/>
      <c r="AN412" s="309"/>
      <c r="AR412" s="303"/>
    </row>
  </sheetData>
  <autoFilter ref="A2:BA412" xr:uid="{EF22A593-A5CE-4EF3-9A14-8353C1210CED}"/>
  <mergeCells count="44">
    <mergeCell ref="AR78:AR82"/>
    <mergeCell ref="AR1:AR2"/>
    <mergeCell ref="AA1:AA2"/>
    <mergeCell ref="U1:U2"/>
    <mergeCell ref="A1:A2"/>
    <mergeCell ref="B1:B2"/>
    <mergeCell ref="G1:G2"/>
    <mergeCell ref="J1:L1"/>
    <mergeCell ref="M1:M2"/>
    <mergeCell ref="N1:N2"/>
    <mergeCell ref="O1:P1"/>
    <mergeCell ref="Q1:Q2"/>
    <mergeCell ref="R1:R2"/>
    <mergeCell ref="S1:S2"/>
    <mergeCell ref="T1:T2"/>
    <mergeCell ref="F1:F2"/>
    <mergeCell ref="AG1:AG2"/>
    <mergeCell ref="AQ16:AQ20"/>
    <mergeCell ref="AQ21:AQ23"/>
    <mergeCell ref="H1:H2"/>
    <mergeCell ref="V1:V2"/>
    <mergeCell ref="X1:X2"/>
    <mergeCell ref="Y1:Y2"/>
    <mergeCell ref="Z1:Z2"/>
    <mergeCell ref="AQ1:AQ2"/>
    <mergeCell ref="AF1:AF2"/>
    <mergeCell ref="AP1:AP2"/>
    <mergeCell ref="AO1:AO2"/>
    <mergeCell ref="D1:D2"/>
    <mergeCell ref="W1:W2"/>
    <mergeCell ref="AQ47:AQ53"/>
    <mergeCell ref="C1:C2"/>
    <mergeCell ref="AM1:AM2"/>
    <mergeCell ref="AB1:AB2"/>
    <mergeCell ref="AC1:AC2"/>
    <mergeCell ref="AD1:AD2"/>
    <mergeCell ref="AE1:AE2"/>
    <mergeCell ref="AH1:AH2"/>
    <mergeCell ref="AI1:AI2"/>
    <mergeCell ref="AJ1:AJ2"/>
    <mergeCell ref="AK1:AK2"/>
    <mergeCell ref="AL1:AL2"/>
    <mergeCell ref="AN1:AN2"/>
    <mergeCell ref="AQ3:AQ8"/>
  </mergeCells>
  <phoneticPr fontId="11" type="noConversion"/>
  <conditionalFormatting sqref="W3:X130">
    <cfRule type="duplicateValues" dxfId="1" priority="1"/>
    <cfRule type="uniqueValues" dxfId="0" priority="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5100-3A00-42D1-8CE1-09ED3866D751}">
  <sheetPr>
    <pageSetUpPr fitToPage="1"/>
  </sheetPr>
  <dimension ref="A1:K41"/>
  <sheetViews>
    <sheetView zoomScale="115" zoomScaleNormal="115" workbookViewId="0">
      <selection activeCell="H46" sqref="H46"/>
    </sheetView>
  </sheetViews>
  <sheetFormatPr defaultColWidth="8.85546875" defaultRowHeight="15"/>
  <cols>
    <col min="1" max="1" width="12.7109375" style="95" customWidth="1"/>
    <col min="2" max="2" width="25.7109375" style="11" customWidth="1"/>
    <col min="3" max="3" width="11.28515625" style="11" customWidth="1"/>
    <col min="4" max="4" width="9.85546875" style="11" customWidth="1"/>
    <col min="5" max="5" width="28" style="11" customWidth="1"/>
    <col min="6" max="6" width="21.5703125" style="11" customWidth="1"/>
    <col min="7" max="7" width="14.140625" style="11" customWidth="1"/>
    <col min="8" max="8" width="40.5703125" style="11" customWidth="1"/>
    <col min="9" max="9" width="21.5703125" style="11" customWidth="1"/>
    <col min="10" max="10" width="16.5703125" style="11" customWidth="1"/>
    <col min="11" max="11" width="27.28515625" style="11" customWidth="1"/>
    <col min="12" max="16384" width="8.85546875" style="11"/>
  </cols>
  <sheetData>
    <row r="1" spans="1:11" ht="30">
      <c r="A1" s="356" t="s">
        <v>378</v>
      </c>
      <c r="B1" s="357" t="s">
        <v>379</v>
      </c>
      <c r="C1" s="358" t="s">
        <v>380</v>
      </c>
      <c r="D1" s="726" t="s">
        <v>381</v>
      </c>
      <c r="E1" s="727"/>
      <c r="F1" s="227" t="s">
        <v>382</v>
      </c>
      <c r="G1" s="227" t="s">
        <v>383</v>
      </c>
      <c r="H1" s="221" t="s">
        <v>384</v>
      </c>
    </row>
    <row r="2" spans="1:11">
      <c r="A2" s="728" t="s">
        <v>276</v>
      </c>
      <c r="B2" s="221">
        <v>9</v>
      </c>
      <c r="C2" s="729">
        <f>'raw data'!AZ3</f>
        <v>482</v>
      </c>
      <c r="D2" s="362" t="s">
        <v>220</v>
      </c>
      <c r="E2" s="363">
        <v>4</v>
      </c>
      <c r="F2" s="292">
        <f>(E2*100)/C2</f>
        <v>0.82987551867219922</v>
      </c>
      <c r="G2" s="292">
        <f>(E3*100)/C2</f>
        <v>1.4522821576763485</v>
      </c>
      <c r="H2" s="221">
        <v>4</v>
      </c>
    </row>
    <row r="3" spans="1:11">
      <c r="A3" s="728"/>
      <c r="B3" s="18"/>
      <c r="C3" s="729"/>
      <c r="D3" s="291" t="s">
        <v>226</v>
      </c>
      <c r="E3" s="29">
        <v>7</v>
      </c>
      <c r="F3" s="18"/>
      <c r="G3" s="18"/>
      <c r="H3" s="18"/>
    </row>
    <row r="4" spans="1:11">
      <c r="A4" s="728" t="s">
        <v>246</v>
      </c>
      <c r="B4" s="221">
        <v>7</v>
      </c>
      <c r="C4" s="729">
        <f>'raw data'!AV3</f>
        <v>450</v>
      </c>
      <c r="D4" s="362" t="s">
        <v>220</v>
      </c>
      <c r="E4" s="363">
        <v>5</v>
      </c>
      <c r="F4" s="292">
        <f>(E4*100)/C4</f>
        <v>1.1111111111111112</v>
      </c>
      <c r="G4" s="292">
        <f>(E5*100)/C4</f>
        <v>0.66666666666666663</v>
      </c>
      <c r="H4" s="221">
        <v>3</v>
      </c>
    </row>
    <row r="5" spans="1:11">
      <c r="A5" s="728"/>
      <c r="B5" s="18"/>
      <c r="C5" s="729"/>
      <c r="D5" s="291" t="s">
        <v>226</v>
      </c>
      <c r="E5" s="29">
        <v>3</v>
      </c>
      <c r="F5" s="18"/>
      <c r="G5" s="18"/>
      <c r="H5" s="18"/>
    </row>
    <row r="6" spans="1:11">
      <c r="A6" s="728" t="s">
        <v>274</v>
      </c>
      <c r="B6" s="221">
        <v>6</v>
      </c>
      <c r="C6" s="729">
        <f>'raw data'!AX3</f>
        <v>484</v>
      </c>
      <c r="D6" s="362" t="s">
        <v>220</v>
      </c>
      <c r="E6" s="363">
        <v>6</v>
      </c>
      <c r="F6" s="292">
        <f>(E6*100)/C6</f>
        <v>1.2396694214876034</v>
      </c>
      <c r="G6" s="292">
        <f>(E7*100)/C6</f>
        <v>1.2396694214876034</v>
      </c>
      <c r="H6" s="221">
        <v>5</v>
      </c>
    </row>
    <row r="7" spans="1:11">
      <c r="A7" s="728"/>
      <c r="B7" s="18"/>
      <c r="C7" s="729"/>
      <c r="D7" s="291" t="s">
        <v>226</v>
      </c>
      <c r="E7" s="29">
        <v>6</v>
      </c>
      <c r="F7" s="18"/>
      <c r="G7" s="18"/>
      <c r="H7" s="18"/>
    </row>
    <row r="8" spans="1:11">
      <c r="A8" s="359" t="s">
        <v>385</v>
      </c>
      <c r="B8" s="290">
        <f>SUM(B2,B4,B6)</f>
        <v>22</v>
      </c>
      <c r="C8" s="360">
        <f>SUM(C2:C6)</f>
        <v>1416</v>
      </c>
      <c r="D8" s="361"/>
      <c r="E8" s="290">
        <f>SUM(E2:E7)</f>
        <v>31</v>
      </c>
      <c r="H8" s="405">
        <f>SUM(H2:H6)</f>
        <v>12</v>
      </c>
    </row>
    <row r="9" spans="1:11">
      <c r="A9" s="11"/>
    </row>
    <row r="10" spans="1:11" ht="16.5" hidden="1">
      <c r="A10" s="36" t="s">
        <v>386</v>
      </c>
      <c r="B10" s="36" t="s">
        <v>49</v>
      </c>
      <c r="C10" s="36" t="s">
        <v>220</v>
      </c>
      <c r="D10" s="36" t="s">
        <v>226</v>
      </c>
      <c r="E10" s="36" t="s">
        <v>180</v>
      </c>
      <c r="F10" s="36" t="s">
        <v>387</v>
      </c>
      <c r="G10" s="278" t="s">
        <v>388</v>
      </c>
      <c r="H10" s="269" t="s">
        <v>9</v>
      </c>
      <c r="I10" s="404" t="s">
        <v>389</v>
      </c>
      <c r="J10" s="29" t="s">
        <v>390</v>
      </c>
      <c r="K10" s="29" t="s">
        <v>9</v>
      </c>
    </row>
    <row r="11" spans="1:11" ht="16.5" hidden="1">
      <c r="A11" s="37">
        <v>45916</v>
      </c>
      <c r="B11" s="284" t="s">
        <v>69</v>
      </c>
      <c r="C11" s="29">
        <v>0</v>
      </c>
      <c r="D11" s="224">
        <v>1</v>
      </c>
      <c r="E11" s="30" t="s">
        <v>189</v>
      </c>
      <c r="F11" s="276">
        <v>45922</v>
      </c>
      <c r="G11" s="29" t="s">
        <v>245</v>
      </c>
      <c r="H11" s="271" t="s">
        <v>391</v>
      </c>
      <c r="I11" s="270" t="s">
        <v>392</v>
      </c>
      <c r="J11" s="29" t="s">
        <v>61</v>
      </c>
      <c r="K11" s="29"/>
    </row>
    <row r="12" spans="1:11" ht="16.5" hidden="1">
      <c r="A12" s="37">
        <v>45918</v>
      </c>
      <c r="B12" s="287" t="s">
        <v>84</v>
      </c>
      <c r="C12" s="224">
        <v>1</v>
      </c>
      <c r="D12" s="29">
        <v>0</v>
      </c>
      <c r="E12" s="30" t="s">
        <v>196</v>
      </c>
      <c r="F12" s="276">
        <v>45926</v>
      </c>
      <c r="G12" s="29" t="s">
        <v>245</v>
      </c>
      <c r="H12" s="271" t="s">
        <v>393</v>
      </c>
      <c r="I12" s="270" t="s">
        <v>392</v>
      </c>
      <c r="J12" s="29" t="s">
        <v>61</v>
      </c>
      <c r="K12" s="29"/>
    </row>
    <row r="13" spans="1:11" ht="16.5" hidden="1">
      <c r="A13" s="37">
        <v>45923</v>
      </c>
      <c r="B13" s="284" t="s">
        <v>93</v>
      </c>
      <c r="C13" s="29">
        <v>0</v>
      </c>
      <c r="D13" s="224">
        <v>1</v>
      </c>
      <c r="E13" s="30" t="s">
        <v>203</v>
      </c>
      <c r="F13" s="276">
        <v>45930</v>
      </c>
      <c r="G13" s="29" t="s">
        <v>294</v>
      </c>
      <c r="H13" s="271" t="s">
        <v>394</v>
      </c>
      <c r="I13" s="270" t="s">
        <v>392</v>
      </c>
      <c r="J13" s="29" t="s">
        <v>61</v>
      </c>
      <c r="K13" s="29"/>
    </row>
    <row r="14" spans="1:11" ht="16.5" hidden="1">
      <c r="A14" s="37">
        <v>45923</v>
      </c>
      <c r="B14" s="288" t="s">
        <v>93</v>
      </c>
      <c r="C14" s="221">
        <v>0</v>
      </c>
      <c r="D14" s="227">
        <v>1</v>
      </c>
      <c r="E14" s="217" t="s">
        <v>395</v>
      </c>
      <c r="F14" s="277">
        <v>45930</v>
      </c>
      <c r="G14" s="29" t="s">
        <v>294</v>
      </c>
      <c r="H14" s="271" t="s">
        <v>394</v>
      </c>
      <c r="I14" s="270" t="s">
        <v>392</v>
      </c>
      <c r="J14" s="29" t="s">
        <v>61</v>
      </c>
      <c r="K14" s="29"/>
    </row>
    <row r="15" spans="1:11" ht="16.5" hidden="1">
      <c r="A15" s="232">
        <v>45926</v>
      </c>
      <c r="B15" s="192" t="s">
        <v>96</v>
      </c>
      <c r="C15" s="29">
        <v>0</v>
      </c>
      <c r="D15" s="224">
        <v>1</v>
      </c>
      <c r="E15" s="30" t="s">
        <v>396</v>
      </c>
      <c r="F15" s="276">
        <v>45930</v>
      </c>
      <c r="G15" s="29" t="s">
        <v>294</v>
      </c>
      <c r="H15" s="271" t="s">
        <v>394</v>
      </c>
      <c r="I15" s="270" t="s">
        <v>392</v>
      </c>
      <c r="J15" s="29" t="s">
        <v>61</v>
      </c>
      <c r="K15" s="29"/>
    </row>
    <row r="16" spans="1:11" hidden="1">
      <c r="A16" s="232">
        <v>45926</v>
      </c>
      <c r="B16" s="192" t="s">
        <v>96</v>
      </c>
      <c r="C16" s="224">
        <v>1</v>
      </c>
      <c r="D16" s="29">
        <v>0</v>
      </c>
      <c r="E16" s="399" t="s">
        <v>397</v>
      </c>
      <c r="F16" s="338" t="s">
        <v>398</v>
      </c>
      <c r="G16" s="29" t="s">
        <v>294</v>
      </c>
      <c r="H16" s="344" t="s">
        <v>399</v>
      </c>
      <c r="I16" s="343" t="s">
        <v>400</v>
      </c>
      <c r="J16" s="29">
        <v>1</v>
      </c>
      <c r="K16" s="29"/>
    </row>
    <row r="17" spans="1:11" ht="16.5" hidden="1">
      <c r="A17" s="232">
        <v>45926</v>
      </c>
      <c r="B17" s="192" t="s">
        <v>96</v>
      </c>
      <c r="C17" s="29">
        <v>0</v>
      </c>
      <c r="D17" s="224">
        <v>1</v>
      </c>
      <c r="E17" s="30" t="s">
        <v>401</v>
      </c>
      <c r="F17" s="276">
        <v>45930</v>
      </c>
      <c r="G17" s="29" t="s">
        <v>294</v>
      </c>
      <c r="H17" s="271" t="s">
        <v>402</v>
      </c>
      <c r="I17" s="270" t="s">
        <v>392</v>
      </c>
      <c r="J17" s="29" t="s">
        <v>61</v>
      </c>
      <c r="K17" s="29"/>
    </row>
    <row r="18" spans="1:11" ht="16.5" hidden="1">
      <c r="A18" s="232">
        <v>45932</v>
      </c>
      <c r="B18" s="284" t="s">
        <v>110</v>
      </c>
      <c r="C18" s="29">
        <v>0</v>
      </c>
      <c r="D18" s="224">
        <v>1</v>
      </c>
      <c r="E18" s="30" t="s">
        <v>208</v>
      </c>
      <c r="F18" s="276">
        <v>45932</v>
      </c>
      <c r="G18" s="29" t="s">
        <v>294</v>
      </c>
      <c r="H18" s="271" t="s">
        <v>402</v>
      </c>
      <c r="I18" s="270" t="s">
        <v>392</v>
      </c>
      <c r="J18" s="29" t="s">
        <v>61</v>
      </c>
      <c r="K18" s="29"/>
    </row>
    <row r="19" spans="1:11" ht="15" hidden="1" customHeight="1">
      <c r="A19" s="232">
        <v>45933</v>
      </c>
      <c r="B19" s="285" t="s">
        <v>112</v>
      </c>
      <c r="C19" s="29">
        <v>0</v>
      </c>
      <c r="D19" s="224">
        <v>1</v>
      </c>
      <c r="E19" s="30" t="s">
        <v>403</v>
      </c>
      <c r="F19" s="276" t="s">
        <v>61</v>
      </c>
      <c r="G19" s="29" t="s">
        <v>294</v>
      </c>
      <c r="H19" s="272" t="s">
        <v>404</v>
      </c>
      <c r="I19" s="275" t="s">
        <v>405</v>
      </c>
      <c r="J19" s="29" t="s">
        <v>61</v>
      </c>
      <c r="K19" s="29"/>
    </row>
    <row r="20" spans="1:11" ht="16.5" hidden="1">
      <c r="A20" s="232">
        <v>45933</v>
      </c>
      <c r="B20" s="285" t="s">
        <v>112</v>
      </c>
      <c r="C20" s="29">
        <v>0</v>
      </c>
      <c r="D20" s="224">
        <v>1</v>
      </c>
      <c r="E20" s="30" t="s">
        <v>406</v>
      </c>
      <c r="F20" s="276">
        <v>45940</v>
      </c>
      <c r="G20" s="29" t="s">
        <v>294</v>
      </c>
      <c r="H20" s="271" t="s">
        <v>394</v>
      </c>
      <c r="I20" s="270" t="s">
        <v>392</v>
      </c>
      <c r="J20" s="29" t="s">
        <v>61</v>
      </c>
      <c r="K20" s="29"/>
    </row>
    <row r="21" spans="1:11" hidden="1">
      <c r="A21" s="232">
        <v>45933</v>
      </c>
      <c r="B21" s="285" t="s">
        <v>112</v>
      </c>
      <c r="C21" s="224">
        <v>1</v>
      </c>
      <c r="D21" s="29">
        <v>0</v>
      </c>
      <c r="E21" s="399" t="s">
        <v>407</v>
      </c>
      <c r="F21" s="338" t="s">
        <v>398</v>
      </c>
      <c r="G21" s="29" t="s">
        <v>294</v>
      </c>
      <c r="H21" s="342" t="s">
        <v>408</v>
      </c>
      <c r="I21" s="343" t="s">
        <v>409</v>
      </c>
      <c r="J21" s="29">
        <v>2</v>
      </c>
      <c r="K21" s="29"/>
    </row>
    <row r="22" spans="1:11" ht="16.5" hidden="1">
      <c r="A22" s="232">
        <v>45937</v>
      </c>
      <c r="B22" s="287" t="s">
        <v>101</v>
      </c>
      <c r="C22" s="29">
        <v>0</v>
      </c>
      <c r="D22" s="224">
        <v>1</v>
      </c>
      <c r="E22" s="30" t="s">
        <v>410</v>
      </c>
      <c r="F22" s="276">
        <v>45940</v>
      </c>
      <c r="G22" s="29" t="s">
        <v>245</v>
      </c>
      <c r="H22" s="271" t="s">
        <v>411</v>
      </c>
      <c r="I22" s="270" t="s">
        <v>392</v>
      </c>
      <c r="J22" s="29" t="s">
        <v>61</v>
      </c>
      <c r="K22" s="29"/>
    </row>
    <row r="23" spans="1:11" ht="16.5" hidden="1">
      <c r="A23" s="232">
        <v>45937</v>
      </c>
      <c r="B23" s="287" t="s">
        <v>101</v>
      </c>
      <c r="C23" s="29">
        <v>0</v>
      </c>
      <c r="D23" s="224">
        <v>1</v>
      </c>
      <c r="E23" s="30" t="s">
        <v>412</v>
      </c>
      <c r="F23" s="276">
        <v>45940</v>
      </c>
      <c r="G23" s="29" t="s">
        <v>245</v>
      </c>
      <c r="H23" s="271" t="s">
        <v>411</v>
      </c>
      <c r="I23" s="270" t="s">
        <v>392</v>
      </c>
      <c r="J23" s="29" t="s">
        <v>61</v>
      </c>
      <c r="K23" s="29"/>
    </row>
    <row r="24" spans="1:11" hidden="1">
      <c r="A24" s="274">
        <v>45940</v>
      </c>
      <c r="B24" s="288" t="s">
        <v>129</v>
      </c>
      <c r="C24" s="227">
        <v>1</v>
      </c>
      <c r="D24" s="221">
        <v>0</v>
      </c>
      <c r="E24" s="401" t="s">
        <v>413</v>
      </c>
      <c r="F24" s="339" t="s">
        <v>398</v>
      </c>
      <c r="G24" s="29" t="s">
        <v>245</v>
      </c>
      <c r="H24" s="340" t="s">
        <v>414</v>
      </c>
      <c r="I24" s="341" t="s">
        <v>415</v>
      </c>
      <c r="J24" s="29">
        <v>3</v>
      </c>
      <c r="K24" s="29"/>
    </row>
    <row r="25" spans="1:11" ht="16.5" hidden="1">
      <c r="A25" s="37">
        <v>45944</v>
      </c>
      <c r="B25" s="289" t="s">
        <v>132</v>
      </c>
      <c r="C25" s="29">
        <v>0</v>
      </c>
      <c r="D25" s="224">
        <v>1</v>
      </c>
      <c r="E25" s="30" t="s">
        <v>416</v>
      </c>
      <c r="F25" s="276">
        <v>45947</v>
      </c>
      <c r="G25" s="29" t="s">
        <v>245</v>
      </c>
      <c r="H25" s="233" t="s">
        <v>411</v>
      </c>
      <c r="I25" s="270" t="s">
        <v>392</v>
      </c>
      <c r="J25" s="29" t="s">
        <v>61</v>
      </c>
      <c r="K25" s="29"/>
    </row>
    <row r="26" spans="1:11" ht="16.5" hidden="1">
      <c r="A26" s="37">
        <v>45944</v>
      </c>
      <c r="B26" s="289" t="s">
        <v>132</v>
      </c>
      <c r="C26" s="29">
        <v>0</v>
      </c>
      <c r="D26" s="224">
        <v>1</v>
      </c>
      <c r="E26" s="30" t="s">
        <v>417</v>
      </c>
      <c r="F26" s="276">
        <v>45947</v>
      </c>
      <c r="G26" s="29" t="s">
        <v>245</v>
      </c>
      <c r="H26" s="30" t="s">
        <v>411</v>
      </c>
      <c r="I26" s="270" t="s">
        <v>392</v>
      </c>
      <c r="J26" s="29" t="s">
        <v>61</v>
      </c>
      <c r="K26" s="29"/>
    </row>
    <row r="27" spans="1:11" hidden="1">
      <c r="A27" s="37">
        <v>45946</v>
      </c>
      <c r="B27" s="284" t="s">
        <v>418</v>
      </c>
      <c r="C27" s="29">
        <v>0</v>
      </c>
      <c r="D27" s="224">
        <v>1</v>
      </c>
      <c r="E27" s="30" t="s">
        <v>217</v>
      </c>
      <c r="F27" s="286">
        <v>45951</v>
      </c>
      <c r="G27" s="29" t="s">
        <v>245</v>
      </c>
      <c r="H27" s="30" t="s">
        <v>419</v>
      </c>
      <c r="I27" s="29" t="s">
        <v>392</v>
      </c>
      <c r="J27" s="29" t="s">
        <v>61</v>
      </c>
      <c r="K27" s="29"/>
    </row>
    <row r="28" spans="1:11" hidden="1">
      <c r="A28" s="37">
        <v>45950</v>
      </c>
      <c r="B28" s="284" t="s">
        <v>138</v>
      </c>
      <c r="C28" s="224">
        <v>1</v>
      </c>
      <c r="D28" s="29">
        <v>0</v>
      </c>
      <c r="E28" s="399" t="s">
        <v>420</v>
      </c>
      <c r="F28" s="345" t="s">
        <v>398</v>
      </c>
      <c r="G28" s="29" t="s">
        <v>421</v>
      </c>
      <c r="H28" s="399" t="s">
        <v>422</v>
      </c>
      <c r="I28" s="400" t="s">
        <v>423</v>
      </c>
      <c r="J28" s="29">
        <v>4</v>
      </c>
      <c r="K28" s="723" t="s">
        <v>424</v>
      </c>
    </row>
    <row r="29" spans="1:11" hidden="1">
      <c r="A29" s="37">
        <v>45950</v>
      </c>
      <c r="B29" s="284" t="s">
        <v>138</v>
      </c>
      <c r="C29" s="224">
        <v>1</v>
      </c>
      <c r="D29" s="29">
        <v>0</v>
      </c>
      <c r="E29" s="399" t="s">
        <v>425</v>
      </c>
      <c r="F29" s="345" t="s">
        <v>398</v>
      </c>
      <c r="G29" s="29" t="s">
        <v>421</v>
      </c>
      <c r="H29" s="399" t="s">
        <v>426</v>
      </c>
      <c r="I29" s="400" t="s">
        <v>423</v>
      </c>
      <c r="J29" s="29">
        <v>4</v>
      </c>
      <c r="K29" s="724"/>
    </row>
    <row r="30" spans="1:11" hidden="1">
      <c r="A30" s="37">
        <v>45950</v>
      </c>
      <c r="B30" s="284" t="s">
        <v>138</v>
      </c>
      <c r="C30" s="224">
        <v>1</v>
      </c>
      <c r="D30" s="29">
        <v>0</v>
      </c>
      <c r="E30" s="399" t="s">
        <v>427</v>
      </c>
      <c r="F30" s="345" t="s">
        <v>398</v>
      </c>
      <c r="G30" s="29" t="s">
        <v>421</v>
      </c>
      <c r="H30" s="399" t="s">
        <v>422</v>
      </c>
      <c r="I30" s="400" t="s">
        <v>423</v>
      </c>
      <c r="J30" s="29">
        <v>4</v>
      </c>
      <c r="K30" s="724"/>
    </row>
    <row r="31" spans="1:11" hidden="1">
      <c r="A31" s="37">
        <v>45950</v>
      </c>
      <c r="B31" s="284" t="s">
        <v>138</v>
      </c>
      <c r="C31" s="224">
        <v>1</v>
      </c>
      <c r="D31" s="29">
        <v>0</v>
      </c>
      <c r="E31" s="399" t="s">
        <v>428</v>
      </c>
      <c r="F31" s="345" t="s">
        <v>398</v>
      </c>
      <c r="G31" s="29" t="s">
        <v>421</v>
      </c>
      <c r="H31" s="399" t="s">
        <v>422</v>
      </c>
      <c r="I31" s="400" t="s">
        <v>423</v>
      </c>
      <c r="J31" s="29">
        <v>4</v>
      </c>
      <c r="K31" s="724"/>
    </row>
    <row r="32" spans="1:11" ht="16.5" hidden="1">
      <c r="A32" s="37">
        <v>45950</v>
      </c>
      <c r="B32" s="284" t="s">
        <v>138</v>
      </c>
      <c r="C32" s="29">
        <v>0</v>
      </c>
      <c r="D32" s="224">
        <v>1</v>
      </c>
      <c r="E32" s="30" t="s">
        <v>429</v>
      </c>
      <c r="F32" s="286">
        <v>45953</v>
      </c>
      <c r="G32" s="29" t="s">
        <v>421</v>
      </c>
      <c r="H32" s="30" t="s">
        <v>140</v>
      </c>
      <c r="I32" s="270" t="s">
        <v>392</v>
      </c>
      <c r="J32" s="29" t="s">
        <v>61</v>
      </c>
      <c r="K32" s="724"/>
    </row>
    <row r="33" spans="1:11" hidden="1">
      <c r="A33" s="37">
        <v>45950</v>
      </c>
      <c r="B33" s="284" t="s">
        <v>138</v>
      </c>
      <c r="C33" s="224">
        <v>1</v>
      </c>
      <c r="D33" s="29">
        <v>0</v>
      </c>
      <c r="E33" s="399" t="s">
        <v>430</v>
      </c>
      <c r="F33" s="345" t="s">
        <v>398</v>
      </c>
      <c r="G33" s="29" t="s">
        <v>421</v>
      </c>
      <c r="H33" s="399" t="s">
        <v>422</v>
      </c>
      <c r="I33" s="400" t="s">
        <v>423</v>
      </c>
      <c r="J33" s="29">
        <v>4</v>
      </c>
      <c r="K33" s="725"/>
    </row>
    <row r="34" spans="1:11" ht="16.5" hidden="1">
      <c r="A34" s="37">
        <v>45952</v>
      </c>
      <c r="B34" s="285" t="s">
        <v>143</v>
      </c>
      <c r="C34" s="224">
        <v>1</v>
      </c>
      <c r="D34" s="29">
        <v>0</v>
      </c>
      <c r="E34" s="30" t="s">
        <v>431</v>
      </c>
      <c r="F34" s="402" t="s">
        <v>398</v>
      </c>
      <c r="G34" s="29" t="s">
        <v>421</v>
      </c>
      <c r="H34" s="30" t="s">
        <v>432</v>
      </c>
      <c r="I34" s="275" t="s">
        <v>405</v>
      </c>
      <c r="J34" s="29" t="s">
        <v>61</v>
      </c>
      <c r="K34" s="29"/>
    </row>
    <row r="35" spans="1:11" hidden="1">
      <c r="A35" s="286">
        <v>45960</v>
      </c>
      <c r="B35" s="403" t="s">
        <v>168</v>
      </c>
      <c r="C35" s="224">
        <v>1</v>
      </c>
      <c r="D35" s="29">
        <v>0</v>
      </c>
      <c r="E35" s="399" t="s">
        <v>433</v>
      </c>
      <c r="F35" s="345" t="s">
        <v>398</v>
      </c>
      <c r="G35" s="29"/>
      <c r="H35" s="399" t="s">
        <v>422</v>
      </c>
      <c r="I35" s="400" t="s">
        <v>434</v>
      </c>
      <c r="J35" s="29">
        <v>5</v>
      </c>
      <c r="K35" s="29"/>
    </row>
    <row r="36" spans="1:11" hidden="1">
      <c r="A36" s="286">
        <v>45964</v>
      </c>
      <c r="B36" s="403" t="s">
        <v>172</v>
      </c>
      <c r="C36" s="29">
        <v>0</v>
      </c>
      <c r="D36" s="224">
        <v>1</v>
      </c>
      <c r="E36" s="30" t="s">
        <v>435</v>
      </c>
      <c r="F36" s="286">
        <v>45970</v>
      </c>
      <c r="G36" s="29"/>
      <c r="H36" s="30" t="s">
        <v>436</v>
      </c>
      <c r="I36" s="29" t="s">
        <v>392</v>
      </c>
      <c r="J36" s="29" t="s">
        <v>61</v>
      </c>
      <c r="K36" s="29"/>
    </row>
    <row r="37" spans="1:11" hidden="1">
      <c r="A37" s="286">
        <v>45964</v>
      </c>
      <c r="B37" s="403" t="s">
        <v>172</v>
      </c>
      <c r="C37" s="224">
        <v>1</v>
      </c>
      <c r="D37" s="29">
        <v>0</v>
      </c>
      <c r="E37" s="399" t="s">
        <v>437</v>
      </c>
      <c r="F37" s="345" t="s">
        <v>398</v>
      </c>
      <c r="G37" s="29"/>
      <c r="H37" s="399" t="s">
        <v>422</v>
      </c>
      <c r="I37" s="400" t="s">
        <v>438</v>
      </c>
      <c r="J37" s="29">
        <v>6</v>
      </c>
      <c r="K37" s="723" t="s">
        <v>439</v>
      </c>
    </row>
    <row r="38" spans="1:11" hidden="1">
      <c r="A38" s="286">
        <v>45964</v>
      </c>
      <c r="B38" s="403" t="s">
        <v>172</v>
      </c>
      <c r="C38" s="224">
        <v>1</v>
      </c>
      <c r="D38" s="29">
        <v>0</v>
      </c>
      <c r="E38" s="399" t="s">
        <v>440</v>
      </c>
      <c r="F38" s="345" t="s">
        <v>398</v>
      </c>
      <c r="G38" s="29"/>
      <c r="H38" s="399" t="s">
        <v>422</v>
      </c>
      <c r="I38" s="400" t="s">
        <v>438</v>
      </c>
      <c r="J38" s="29">
        <v>6</v>
      </c>
      <c r="K38" s="724"/>
    </row>
    <row r="39" spans="1:11" hidden="1">
      <c r="A39" s="286">
        <v>45964</v>
      </c>
      <c r="B39" s="403" t="s">
        <v>172</v>
      </c>
      <c r="C39" s="224">
        <v>1</v>
      </c>
      <c r="D39" s="29">
        <v>0</v>
      </c>
      <c r="E39" s="399" t="s">
        <v>441</v>
      </c>
      <c r="F39" s="345" t="s">
        <v>398</v>
      </c>
      <c r="G39" s="29"/>
      <c r="H39" s="399" t="s">
        <v>422</v>
      </c>
      <c r="I39" s="400" t="s">
        <v>438</v>
      </c>
      <c r="J39" s="29">
        <v>6</v>
      </c>
      <c r="K39" s="725"/>
    </row>
    <row r="40" spans="1:11" hidden="1">
      <c r="A40" s="286">
        <v>45968</v>
      </c>
      <c r="B40" s="285" t="s">
        <v>175</v>
      </c>
      <c r="C40" s="224">
        <v>1</v>
      </c>
      <c r="D40" s="29">
        <v>0</v>
      </c>
      <c r="E40" s="399" t="s">
        <v>442</v>
      </c>
      <c r="F40" s="345" t="s">
        <v>398</v>
      </c>
      <c r="G40" s="29"/>
      <c r="H40" s="399" t="s">
        <v>422</v>
      </c>
      <c r="I40" s="400" t="s">
        <v>443</v>
      </c>
      <c r="J40" s="29">
        <v>7</v>
      </c>
      <c r="K40" s="29"/>
    </row>
    <row r="41" spans="1:11" hidden="1">
      <c r="A41" s="286">
        <v>45968</v>
      </c>
      <c r="B41" s="285" t="s">
        <v>175</v>
      </c>
      <c r="C41" s="224">
        <v>1</v>
      </c>
      <c r="D41" s="29">
        <v>0</v>
      </c>
      <c r="E41" s="399" t="s">
        <v>444</v>
      </c>
      <c r="F41" s="345" t="s">
        <v>398</v>
      </c>
      <c r="G41" s="29"/>
      <c r="H41" s="399" t="s">
        <v>422</v>
      </c>
      <c r="I41" s="400" t="s">
        <v>443</v>
      </c>
      <c r="J41" s="29">
        <v>7</v>
      </c>
      <c r="K41" s="29"/>
    </row>
  </sheetData>
  <mergeCells count="9">
    <mergeCell ref="K28:K33"/>
    <mergeCell ref="K37:K39"/>
    <mergeCell ref="D1:E1"/>
    <mergeCell ref="A2:A3"/>
    <mergeCell ref="A4:A5"/>
    <mergeCell ref="A6:A7"/>
    <mergeCell ref="C2:C3"/>
    <mergeCell ref="C4:C5"/>
    <mergeCell ref="C6:C7"/>
  </mergeCells>
  <phoneticPr fontId="11" type="noConversion"/>
  <pageMargins left="0.25" right="0.25" top="0.75" bottom="0.75" header="0.3" footer="0.3"/>
  <pageSetup paperSize="9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F44D-AEB2-420B-ABC9-4FD5BDEAAFCC}">
  <sheetPr>
    <tabColor theme="5" tint="0.59999389629810485"/>
    <pageSetUpPr fitToPage="1"/>
  </sheetPr>
  <dimension ref="A1:AB11"/>
  <sheetViews>
    <sheetView topLeftCell="G1" zoomScaleNormal="100" workbookViewId="0">
      <selection activeCell="AA3" sqref="AA3"/>
    </sheetView>
  </sheetViews>
  <sheetFormatPr defaultColWidth="8.85546875" defaultRowHeight="15"/>
  <cols>
    <col min="1" max="1" width="5.28515625" style="11" customWidth="1"/>
    <col min="2" max="2" width="10.7109375" style="11" customWidth="1"/>
    <col min="3" max="3" width="8.85546875" style="11"/>
    <col min="4" max="4" width="12.28515625" style="11" bestFit="1" customWidth="1"/>
    <col min="5" max="18" width="11.28515625" style="11" bestFit="1" customWidth="1"/>
    <col min="19" max="26" width="10.28515625" style="11" bestFit="1" customWidth="1"/>
    <col min="27" max="16384" width="8.85546875" style="11"/>
  </cols>
  <sheetData>
    <row r="1" spans="1:28" s="33" customFormat="1" ht="22.35" customHeight="1">
      <c r="A1" s="734" t="s">
        <v>516</v>
      </c>
      <c r="B1" s="735" t="s">
        <v>38</v>
      </c>
      <c r="C1" s="737" t="s">
        <v>517</v>
      </c>
      <c r="D1" s="741" t="s">
        <v>14</v>
      </c>
      <c r="E1" s="730" t="s">
        <v>518</v>
      </c>
      <c r="F1" s="730" t="s">
        <v>519</v>
      </c>
      <c r="G1" s="730" t="s">
        <v>520</v>
      </c>
      <c r="H1" s="730" t="s">
        <v>521</v>
      </c>
      <c r="I1" s="732" t="s">
        <v>522</v>
      </c>
      <c r="J1" s="730" t="s">
        <v>523</v>
      </c>
      <c r="K1" s="732" t="s">
        <v>524</v>
      </c>
      <c r="L1" s="732" t="s">
        <v>525</v>
      </c>
      <c r="M1" s="732" t="s">
        <v>526</v>
      </c>
      <c r="N1" s="732" t="s">
        <v>527</v>
      </c>
      <c r="O1" s="730" t="s">
        <v>528</v>
      </c>
      <c r="P1" s="730" t="s">
        <v>529</v>
      </c>
      <c r="Q1" s="730" t="s">
        <v>530</v>
      </c>
      <c r="R1" s="732" t="s">
        <v>531</v>
      </c>
      <c r="S1" s="732" t="s">
        <v>532</v>
      </c>
      <c r="T1" s="732" t="s">
        <v>533</v>
      </c>
      <c r="U1" s="743" t="s">
        <v>534</v>
      </c>
      <c r="V1" s="732" t="s">
        <v>535</v>
      </c>
      <c r="W1" s="730" t="s">
        <v>536</v>
      </c>
      <c r="X1" s="730" t="s">
        <v>537</v>
      </c>
      <c r="Y1" s="745" t="s">
        <v>47</v>
      </c>
      <c r="Z1" s="739" t="s">
        <v>48</v>
      </c>
      <c r="AA1" s="33" t="s">
        <v>883</v>
      </c>
      <c r="AB1" s="33" t="s">
        <v>884</v>
      </c>
    </row>
    <row r="2" spans="1:28" s="33" customFormat="1" ht="22.35" customHeight="1">
      <c r="A2" s="604"/>
      <c r="B2" s="736"/>
      <c r="C2" s="738"/>
      <c r="D2" s="742"/>
      <c r="E2" s="731"/>
      <c r="F2" s="731"/>
      <c r="G2" s="731"/>
      <c r="H2" s="731"/>
      <c r="I2" s="733"/>
      <c r="J2" s="731"/>
      <c r="K2" s="733"/>
      <c r="L2" s="733"/>
      <c r="M2" s="733"/>
      <c r="N2" s="733"/>
      <c r="O2" s="731"/>
      <c r="P2" s="731"/>
      <c r="Q2" s="731"/>
      <c r="R2" s="733"/>
      <c r="S2" s="733"/>
      <c r="T2" s="733"/>
      <c r="U2" s="744"/>
      <c r="V2" s="733"/>
      <c r="W2" s="731"/>
      <c r="X2" s="731"/>
      <c r="Y2" s="746"/>
      <c r="Z2" s="740"/>
    </row>
    <row r="3" spans="1:28" s="247" customFormat="1" ht="25.15" customHeight="1">
      <c r="A3" s="245">
        <v>1</v>
      </c>
      <c r="B3" s="245" t="s">
        <v>276</v>
      </c>
      <c r="C3" s="246">
        <f>'raw data'!AZ3</f>
        <v>482</v>
      </c>
      <c r="D3" s="245">
        <f>'raw data'!AZ4</f>
        <v>482</v>
      </c>
      <c r="E3" s="245">
        <f>'raw data'!AZ5</f>
        <v>230</v>
      </c>
      <c r="F3" s="245">
        <f>'raw data'!AZ6</f>
        <v>213</v>
      </c>
      <c r="G3" s="245">
        <f>'raw data'!AZ7</f>
        <v>199</v>
      </c>
      <c r="H3" s="245">
        <f>'raw data'!AZ8</f>
        <v>179</v>
      </c>
      <c r="I3" s="245">
        <f>'raw data'!AZ9</f>
        <v>174</v>
      </c>
      <c r="J3" s="245">
        <f>'raw data'!AZ10</f>
        <v>173</v>
      </c>
      <c r="K3" s="245">
        <f>'raw data'!AZ11</f>
        <v>169</v>
      </c>
      <c r="L3" s="245">
        <f>'raw data'!AZ12</f>
        <v>169</v>
      </c>
      <c r="M3" s="245">
        <f>'raw data'!AZ13</f>
        <v>164</v>
      </c>
      <c r="N3" s="245">
        <f>'raw data'!AZ14</f>
        <v>157</v>
      </c>
      <c r="O3" s="245">
        <f>'raw data'!AZ15</f>
        <v>147</v>
      </c>
      <c r="P3" s="245">
        <f>'raw data'!AZ16</f>
        <v>131</v>
      </c>
      <c r="Q3" s="245">
        <f>'raw data'!AZ17</f>
        <v>114</v>
      </c>
      <c r="R3" s="245">
        <f>'raw data'!AZ18</f>
        <v>79</v>
      </c>
      <c r="S3" s="245">
        <f>'raw data'!AZ19</f>
        <v>54</v>
      </c>
      <c r="T3" s="245">
        <f>'raw data'!AZ20</f>
        <v>38</v>
      </c>
      <c r="U3" s="245">
        <f>'raw data'!AZ21</f>
        <v>36</v>
      </c>
      <c r="V3" s="245">
        <f>'raw data'!AZ22</f>
        <v>29</v>
      </c>
      <c r="W3" s="245">
        <f>'raw data'!AZ23</f>
        <v>19</v>
      </c>
      <c r="X3" s="245">
        <f>'raw data'!AZ24</f>
        <v>14</v>
      </c>
      <c r="Y3" s="245">
        <f>'raw data'!AZ25</f>
        <v>11</v>
      </c>
      <c r="Z3" s="245">
        <f>'raw data'!AZ26</f>
        <v>11</v>
      </c>
    </row>
    <row r="4" spans="1:28" s="247" customFormat="1" ht="25.15" customHeight="1">
      <c r="A4" s="248"/>
      <c r="B4" s="248"/>
      <c r="C4" s="249"/>
      <c r="D4" s="250" t="s">
        <v>538</v>
      </c>
      <c r="E4" s="250" t="s">
        <v>538</v>
      </c>
      <c r="F4" s="250" t="s">
        <v>538</v>
      </c>
      <c r="G4" s="250" t="s">
        <v>538</v>
      </c>
      <c r="H4" s="250" t="s">
        <v>538</v>
      </c>
      <c r="I4" s="250" t="s">
        <v>538</v>
      </c>
      <c r="J4" s="250" t="s">
        <v>538</v>
      </c>
      <c r="K4" s="250" t="s">
        <v>538</v>
      </c>
      <c r="L4" s="250" t="s">
        <v>538</v>
      </c>
      <c r="M4" s="250" t="s">
        <v>538</v>
      </c>
      <c r="N4" s="250" t="s">
        <v>538</v>
      </c>
      <c r="O4" s="250" t="s">
        <v>538</v>
      </c>
      <c r="P4" s="250" t="s">
        <v>538</v>
      </c>
      <c r="Q4" s="250" t="s">
        <v>538</v>
      </c>
      <c r="R4" s="250" t="s">
        <v>538</v>
      </c>
      <c r="S4" s="250" t="s">
        <v>538</v>
      </c>
      <c r="T4" s="250" t="s">
        <v>538</v>
      </c>
      <c r="U4" s="250" t="s">
        <v>538</v>
      </c>
      <c r="V4" s="250" t="s">
        <v>538</v>
      </c>
      <c r="W4" s="250" t="s">
        <v>538</v>
      </c>
      <c r="X4" s="250" t="s">
        <v>538</v>
      </c>
      <c r="Y4" s="250" t="s">
        <v>538</v>
      </c>
      <c r="Z4" s="250" t="s">
        <v>538</v>
      </c>
    </row>
    <row r="5" spans="1:28" s="247" customFormat="1" ht="25.15" customHeight="1">
      <c r="A5" s="251"/>
      <c r="B5" s="251"/>
      <c r="C5" s="252"/>
      <c r="D5" s="253">
        <f>'raw data'!BA4</f>
        <v>100</v>
      </c>
      <c r="E5" s="253">
        <f>'raw data'!BA5</f>
        <v>47.717842323651453</v>
      </c>
      <c r="F5" s="253">
        <f>'raw data'!BA6</f>
        <v>44.190871369294605</v>
      </c>
      <c r="G5" s="253">
        <f>'raw data'!BA7</f>
        <v>41.286307053941911</v>
      </c>
      <c r="H5" s="253">
        <f>'raw data'!BA8</f>
        <v>37.136929460580916</v>
      </c>
      <c r="I5" s="253">
        <f>'raw data'!BA9</f>
        <v>36.099585062240664</v>
      </c>
      <c r="J5" s="253">
        <f>'raw data'!BA10</f>
        <v>35.892116182572614</v>
      </c>
      <c r="K5" s="253">
        <f>'raw data'!BA11</f>
        <v>35.062240663900418</v>
      </c>
      <c r="L5" s="253">
        <f>'raw data'!BA12</f>
        <v>35.062240663900418</v>
      </c>
      <c r="M5" s="253">
        <f>'raw data'!BA13</f>
        <v>34.024896265560166</v>
      </c>
      <c r="N5" s="253">
        <f>'raw data'!BA14</f>
        <v>32.572614107883815</v>
      </c>
      <c r="O5" s="253">
        <f>'raw data'!BA15</f>
        <v>30.497925311203318</v>
      </c>
      <c r="P5" s="253">
        <f>'raw data'!BA16</f>
        <v>27.178423236514522</v>
      </c>
      <c r="Q5" s="253">
        <f>'raw data'!BA17</f>
        <v>23.651452282157678</v>
      </c>
      <c r="R5" s="253">
        <f>'raw data'!BA18</f>
        <v>16.390041493775932</v>
      </c>
      <c r="S5" s="253">
        <f>'raw data'!BA19</f>
        <v>11.203319502074688</v>
      </c>
      <c r="T5" s="253">
        <f>'raw data'!BA20</f>
        <v>7.8838174273858925</v>
      </c>
      <c r="U5" s="253">
        <f>'raw data'!BA21</f>
        <v>7.4688796680497926</v>
      </c>
      <c r="V5" s="253">
        <f>'raw data'!BA22</f>
        <v>6.0165975103734439</v>
      </c>
      <c r="W5" s="253">
        <f>'raw data'!BA23</f>
        <v>3.9419087136929463</v>
      </c>
      <c r="X5" s="253">
        <f>'raw data'!BA24</f>
        <v>2.904564315352697</v>
      </c>
      <c r="Y5" s="253">
        <f>'raw data'!BA25</f>
        <v>2.2821576763485476</v>
      </c>
      <c r="Z5" s="254">
        <f>'raw data'!BA26</f>
        <v>2.2821576763485476</v>
      </c>
    </row>
    <row r="6" spans="1:28" s="247" customFormat="1" ht="25.15" customHeight="1">
      <c r="A6" s="245">
        <v>2</v>
      </c>
      <c r="B6" s="245" t="s">
        <v>246</v>
      </c>
      <c r="C6" s="246">
        <f>'raw data'!AV3</f>
        <v>450</v>
      </c>
      <c r="D6" s="245">
        <f>'raw data'!AV4</f>
        <v>450</v>
      </c>
      <c r="E6" s="246">
        <f>'raw data'!AV5</f>
        <v>203</v>
      </c>
      <c r="F6" s="245">
        <f>'raw data'!AV6</f>
        <v>185</v>
      </c>
      <c r="G6" s="245">
        <f>'raw data'!AV7</f>
        <v>169</v>
      </c>
      <c r="H6" s="245">
        <f>'raw data'!AV8</f>
        <v>156</v>
      </c>
      <c r="I6" s="245">
        <f>'raw data'!AV9</f>
        <v>145</v>
      </c>
      <c r="J6" s="245">
        <f>'raw data'!AV10</f>
        <v>144</v>
      </c>
      <c r="K6" s="245">
        <f>'raw data'!AV11</f>
        <v>143</v>
      </c>
      <c r="L6" s="245">
        <f>'raw data'!AV12</f>
        <v>140</v>
      </c>
      <c r="M6" s="245">
        <f>'raw data'!AV13</f>
        <v>135</v>
      </c>
      <c r="N6" s="245">
        <f>'raw data'!AV14</f>
        <v>134</v>
      </c>
      <c r="O6" s="245">
        <f>'raw data'!AV15</f>
        <v>120</v>
      </c>
      <c r="P6" s="245">
        <f>'raw data'!AV16</f>
        <v>110</v>
      </c>
      <c r="Q6" s="245">
        <f>'raw data'!AV17</f>
        <v>102</v>
      </c>
      <c r="R6" s="245">
        <f>'raw data'!AV18</f>
        <v>64</v>
      </c>
      <c r="S6" s="245">
        <f>'raw data'!AV19</f>
        <v>39</v>
      </c>
      <c r="T6" s="245">
        <f>'raw data'!AV20</f>
        <v>24</v>
      </c>
      <c r="U6" s="245">
        <f>'raw data'!AV21</f>
        <v>22</v>
      </c>
      <c r="V6" s="245">
        <f>'raw data'!AV22</f>
        <v>20</v>
      </c>
      <c r="W6" s="245">
        <f>'raw data'!AV23</f>
        <v>11</v>
      </c>
      <c r="X6" s="245">
        <f>'raw data'!AV24</f>
        <v>8</v>
      </c>
      <c r="Y6" s="245">
        <f>'raw data'!AV25</f>
        <v>8</v>
      </c>
      <c r="Z6" s="245">
        <f>'raw data'!AV26</f>
        <v>8</v>
      </c>
    </row>
    <row r="7" spans="1:28" s="247" customFormat="1" ht="25.15" customHeight="1">
      <c r="A7" s="248"/>
      <c r="B7" s="248"/>
      <c r="C7" s="249"/>
      <c r="D7" s="250" t="s">
        <v>538</v>
      </c>
      <c r="E7" s="250" t="s">
        <v>538</v>
      </c>
      <c r="F7" s="250" t="s">
        <v>538</v>
      </c>
      <c r="G7" s="250" t="s">
        <v>538</v>
      </c>
      <c r="H7" s="250" t="s">
        <v>538</v>
      </c>
      <c r="I7" s="250" t="s">
        <v>538</v>
      </c>
      <c r="J7" s="250" t="s">
        <v>538</v>
      </c>
      <c r="K7" s="250" t="s">
        <v>538</v>
      </c>
      <c r="L7" s="250" t="s">
        <v>538</v>
      </c>
      <c r="M7" s="250" t="s">
        <v>538</v>
      </c>
      <c r="N7" s="250" t="s">
        <v>538</v>
      </c>
      <c r="O7" s="250" t="s">
        <v>538</v>
      </c>
      <c r="P7" s="250" t="s">
        <v>538</v>
      </c>
      <c r="Q7" s="250" t="s">
        <v>538</v>
      </c>
      <c r="R7" s="250" t="s">
        <v>538</v>
      </c>
      <c r="S7" s="250" t="s">
        <v>538</v>
      </c>
      <c r="T7" s="250" t="s">
        <v>538</v>
      </c>
      <c r="U7" s="250" t="s">
        <v>538</v>
      </c>
      <c r="V7" s="250" t="s">
        <v>538</v>
      </c>
      <c r="W7" s="250" t="s">
        <v>538</v>
      </c>
      <c r="X7" s="250" t="s">
        <v>538</v>
      </c>
      <c r="Y7" s="250" t="s">
        <v>538</v>
      </c>
      <c r="Z7" s="250" t="s">
        <v>538</v>
      </c>
    </row>
    <row r="8" spans="1:28" s="247" customFormat="1" ht="25.15" customHeight="1">
      <c r="A8" s="251"/>
      <c r="B8" s="251"/>
      <c r="C8" s="252"/>
      <c r="D8" s="253">
        <f>'raw data'!AW4</f>
        <v>100</v>
      </c>
      <c r="E8" s="253">
        <f>'raw data'!AW5</f>
        <v>45.111111111111114</v>
      </c>
      <c r="F8" s="253">
        <f>'raw data'!AW6</f>
        <v>41.111111111111114</v>
      </c>
      <c r="G8" s="253">
        <f>'raw data'!AW7</f>
        <v>37.555555555555557</v>
      </c>
      <c r="H8" s="253">
        <f>'raw data'!AW8</f>
        <v>34.666666666666664</v>
      </c>
      <c r="I8" s="253">
        <f>'raw data'!AW9</f>
        <v>32.222222222222221</v>
      </c>
      <c r="J8" s="253">
        <f>'raw data'!AW10</f>
        <v>32</v>
      </c>
      <c r="K8" s="253">
        <f>'raw data'!AW11</f>
        <v>31.777777777777779</v>
      </c>
      <c r="L8" s="253">
        <f>'raw data'!AW12</f>
        <v>31.111111111111111</v>
      </c>
      <c r="M8" s="253">
        <f>'raw data'!AW13</f>
        <v>30</v>
      </c>
      <c r="N8" s="253">
        <f>'raw data'!AW14</f>
        <v>29.777777777777779</v>
      </c>
      <c r="O8" s="253">
        <f>'raw data'!AW15</f>
        <v>26.666666666666668</v>
      </c>
      <c r="P8" s="253">
        <f>'raw data'!AW16</f>
        <v>24.444444444444443</v>
      </c>
      <c r="Q8" s="253">
        <f>'raw data'!AW17</f>
        <v>22.666666666666668</v>
      </c>
      <c r="R8" s="253">
        <f>'raw data'!AW18</f>
        <v>14.222222222222221</v>
      </c>
      <c r="S8" s="253">
        <f>'raw data'!AW19</f>
        <v>8.6666666666666661</v>
      </c>
      <c r="T8" s="253">
        <f>'raw data'!AW20</f>
        <v>5.333333333333333</v>
      </c>
      <c r="U8" s="253">
        <f>'raw data'!AW21</f>
        <v>4.8888888888888893</v>
      </c>
      <c r="V8" s="253">
        <f>'raw data'!AW22</f>
        <v>4.4444444444444446</v>
      </c>
      <c r="W8" s="253">
        <f>'raw data'!AW23</f>
        <v>2.4444444444444446</v>
      </c>
      <c r="X8" s="253">
        <f>'raw data'!AW24</f>
        <v>1.7777777777777777</v>
      </c>
      <c r="Y8" s="253">
        <f>'raw data'!AW25</f>
        <v>1.7777777777777777</v>
      </c>
      <c r="Z8" s="254">
        <f>'raw data'!AW26</f>
        <v>1.7777777777777777</v>
      </c>
    </row>
    <row r="9" spans="1:28" s="247" customFormat="1" ht="25.15" customHeight="1">
      <c r="A9" s="245">
        <v>3</v>
      </c>
      <c r="B9" s="245" t="s">
        <v>539</v>
      </c>
      <c r="C9" s="246">
        <f>'raw data'!AX3</f>
        <v>484</v>
      </c>
      <c r="D9" s="245">
        <f>'raw data'!AX4</f>
        <v>484</v>
      </c>
      <c r="E9" s="245">
        <f>'raw data'!AX5</f>
        <v>234</v>
      </c>
      <c r="F9" s="245">
        <f>'raw data'!AX6</f>
        <v>220</v>
      </c>
      <c r="G9" s="245">
        <f>'raw data'!AX7</f>
        <v>210</v>
      </c>
      <c r="H9" s="245">
        <f>'raw data'!AX8</f>
        <v>201</v>
      </c>
      <c r="I9" s="245">
        <f>'raw data'!AX9</f>
        <v>193</v>
      </c>
      <c r="J9" s="245">
        <f>'raw data'!AX10</f>
        <v>190</v>
      </c>
      <c r="K9" s="245">
        <f>'raw data'!AX11</f>
        <v>180</v>
      </c>
      <c r="L9" s="245">
        <f>'raw data'!AX12</f>
        <v>178</v>
      </c>
      <c r="M9" s="245">
        <f>'raw data'!AX13</f>
        <v>172</v>
      </c>
      <c r="N9" s="245">
        <f>'raw data'!AX14</f>
        <v>168</v>
      </c>
      <c r="O9" s="245">
        <f>'raw data'!AX15</f>
        <v>162</v>
      </c>
      <c r="P9" s="245">
        <f>'raw data'!AX16</f>
        <v>146</v>
      </c>
      <c r="Q9" s="245">
        <f>'raw data'!AX17</f>
        <v>127</v>
      </c>
      <c r="R9" s="245">
        <f>'raw data'!AX18</f>
        <v>93</v>
      </c>
      <c r="S9" s="245">
        <f>'raw data'!AX19</f>
        <v>79</v>
      </c>
      <c r="T9" s="245">
        <f>'raw data'!AX20</f>
        <v>68</v>
      </c>
      <c r="U9" s="245">
        <f>'raw data'!AX21</f>
        <v>68</v>
      </c>
      <c r="V9" s="245">
        <f>'raw data'!AX22</f>
        <v>56</v>
      </c>
      <c r="W9" s="245">
        <f>'raw data'!AX23</f>
        <v>51</v>
      </c>
      <c r="X9" s="245">
        <f>'raw data'!AX24</f>
        <v>34</v>
      </c>
      <c r="Y9" s="245">
        <f>'raw data'!AX25</f>
        <v>27</v>
      </c>
      <c r="Z9" s="255">
        <f>'raw data'!AX26</f>
        <v>27</v>
      </c>
    </row>
    <row r="10" spans="1:28" s="247" customFormat="1" ht="25.15" customHeight="1">
      <c r="A10" s="248"/>
      <c r="B10" s="248"/>
      <c r="C10" s="249"/>
      <c r="D10" s="250" t="s">
        <v>538</v>
      </c>
      <c r="E10" s="250" t="s">
        <v>538</v>
      </c>
      <c r="F10" s="250" t="s">
        <v>538</v>
      </c>
      <c r="G10" s="250" t="s">
        <v>538</v>
      </c>
      <c r="H10" s="250" t="s">
        <v>538</v>
      </c>
      <c r="I10" s="250" t="s">
        <v>538</v>
      </c>
      <c r="J10" s="250" t="s">
        <v>538</v>
      </c>
      <c r="K10" s="250" t="s">
        <v>538</v>
      </c>
      <c r="L10" s="250" t="s">
        <v>538</v>
      </c>
      <c r="M10" s="250" t="s">
        <v>538</v>
      </c>
      <c r="N10" s="250" t="s">
        <v>538</v>
      </c>
      <c r="O10" s="250" t="s">
        <v>538</v>
      </c>
      <c r="P10" s="250" t="s">
        <v>538</v>
      </c>
      <c r="Q10" s="250" t="s">
        <v>538</v>
      </c>
      <c r="R10" s="250" t="s">
        <v>538</v>
      </c>
      <c r="S10" s="250" t="s">
        <v>538</v>
      </c>
      <c r="T10" s="250" t="s">
        <v>538</v>
      </c>
      <c r="U10" s="250" t="s">
        <v>538</v>
      </c>
      <c r="V10" s="250" t="s">
        <v>538</v>
      </c>
      <c r="W10" s="250" t="s">
        <v>538</v>
      </c>
      <c r="X10" s="250" t="s">
        <v>538</v>
      </c>
      <c r="Y10" s="250" t="s">
        <v>538</v>
      </c>
      <c r="Z10" s="250" t="s">
        <v>538</v>
      </c>
    </row>
    <row r="11" spans="1:28" s="247" customFormat="1" ht="25.15" customHeight="1">
      <c r="A11" s="251"/>
      <c r="B11" s="251"/>
      <c r="C11" s="252"/>
      <c r="D11" s="253">
        <f>'raw data'!AY4</f>
        <v>100</v>
      </c>
      <c r="E11" s="253">
        <f>'raw data'!AY5</f>
        <v>48.347107438016529</v>
      </c>
      <c r="F11" s="253">
        <f>'raw data'!AY6</f>
        <v>45.454545454545453</v>
      </c>
      <c r="G11" s="253">
        <f>'raw data'!AY7</f>
        <v>43.388429752066116</v>
      </c>
      <c r="H11" s="253">
        <f>'raw data'!AY8</f>
        <v>41.528925619834709</v>
      </c>
      <c r="I11" s="253">
        <f>'raw data'!AY9</f>
        <v>39.876033057851238</v>
      </c>
      <c r="J11" s="253">
        <f>'raw data'!AY10</f>
        <v>39.256198347107436</v>
      </c>
      <c r="K11" s="253">
        <f>'raw data'!AY11</f>
        <v>37.190082644628099</v>
      </c>
      <c r="L11" s="253">
        <f>'raw data'!AY12</f>
        <v>36.776859504132233</v>
      </c>
      <c r="M11" s="253">
        <f>'raw data'!AY13</f>
        <v>35.537190082644628</v>
      </c>
      <c r="N11" s="253">
        <f>'raw data'!AY14</f>
        <v>34.710743801652896</v>
      </c>
      <c r="O11" s="253">
        <f>'raw data'!AY15</f>
        <v>33.471074380165291</v>
      </c>
      <c r="P11" s="253">
        <f>'raw data'!AY16</f>
        <v>30.165289256198346</v>
      </c>
      <c r="Q11" s="253">
        <f>'raw data'!AY17</f>
        <v>26.239669421487605</v>
      </c>
      <c r="R11" s="253">
        <f>'raw data'!AY18</f>
        <v>19.214876033057852</v>
      </c>
      <c r="S11" s="253">
        <f>'raw data'!AY19</f>
        <v>16.322314049586776</v>
      </c>
      <c r="T11" s="253">
        <f>'raw data'!AY20</f>
        <v>14.049586776859504</v>
      </c>
      <c r="U11" s="253">
        <f>'raw data'!AY21</f>
        <v>14.049586776859504</v>
      </c>
      <c r="V11" s="253">
        <f>'raw data'!AY22</f>
        <v>11.570247933884298</v>
      </c>
      <c r="W11" s="253">
        <f>'raw data'!AY23</f>
        <v>10.537190082644628</v>
      </c>
      <c r="X11" s="253">
        <f>'raw data'!AY24</f>
        <v>7.0247933884297522</v>
      </c>
      <c r="Y11" s="253">
        <f>'raw data'!AY25</f>
        <v>5.5785123966942152</v>
      </c>
      <c r="Z11" s="253">
        <f>'raw data'!AY26</f>
        <v>5.5785123966942152</v>
      </c>
    </row>
  </sheetData>
  <mergeCells count="26">
    <mergeCell ref="Z1:Z2"/>
    <mergeCell ref="D1:D2"/>
    <mergeCell ref="T1:T2"/>
    <mergeCell ref="U1:U2"/>
    <mergeCell ref="V1:V2"/>
    <mergeCell ref="W1:W2"/>
    <mergeCell ref="X1:X2"/>
    <mergeCell ref="Y1:Y2"/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E1:E2"/>
    <mergeCell ref="F1:F2"/>
    <mergeCell ref="G1:G2"/>
  </mergeCells>
  <pageMargins left="0" right="0" top="0" bottom="0" header="0" footer="0"/>
  <pageSetup paperSize="9" fitToHeight="0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C928-A84E-1C47-9741-D8F9FA6F7576}">
  <dimension ref="B1:D23"/>
  <sheetViews>
    <sheetView workbookViewId="0">
      <selection activeCell="D33" sqref="D33"/>
    </sheetView>
  </sheetViews>
  <sheetFormatPr defaultColWidth="8.85546875" defaultRowHeight="15"/>
  <cols>
    <col min="1" max="1" width="8.85546875" style="104"/>
    <col min="2" max="2" width="10.28515625" style="105" bestFit="1" customWidth="1"/>
    <col min="3" max="4" width="10.28515625" style="105" customWidth="1"/>
    <col min="5" max="7" width="8.85546875" style="104"/>
    <col min="8" max="9" width="13.7109375" style="104" customWidth="1"/>
    <col min="10" max="16384" width="8.85546875" style="104"/>
  </cols>
  <sheetData>
    <row r="1" s="104" customFormat="1"/>
    <row r="2" s="104" customFormat="1"/>
    <row r="3" s="104" customFormat="1"/>
    <row r="4" s="104" customFormat="1"/>
    <row r="5" s="104" customFormat="1"/>
    <row r="6" s="104" customFormat="1"/>
    <row r="7" s="104" customFormat="1"/>
    <row r="8" s="104" customFormat="1"/>
    <row r="9" s="104" customFormat="1"/>
    <row r="23" spans="4:4">
      <c r="D23" s="105" t="s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FF6F-6E1B-2144-820A-1E49DE29AECD}">
  <dimension ref="A1:IC52"/>
  <sheetViews>
    <sheetView zoomScaleNormal="100" workbookViewId="0">
      <pane ySplit="630" activePane="bottomLeft"/>
      <selection activeCell="D1" sqref="D1"/>
      <selection pane="bottomLeft" activeCell="A51" sqref="A51"/>
    </sheetView>
  </sheetViews>
  <sheetFormatPr defaultRowHeight="15" customHeight="1"/>
  <cols>
    <col min="1" max="1" width="12.7109375" customWidth="1"/>
    <col min="2" max="2" width="14.140625" style="104" customWidth="1"/>
    <col min="3" max="3" width="25.7109375" customWidth="1"/>
    <col min="4" max="4" width="7.140625" style="104" customWidth="1"/>
    <col min="5" max="5" width="28" customWidth="1"/>
    <col min="6" max="6" width="11.28515625" style="104" customWidth="1"/>
    <col min="7" max="10" width="9" customWidth="1"/>
    <col min="11" max="11" width="14.85546875" customWidth="1"/>
    <col min="12" max="12" width="9" customWidth="1"/>
    <col min="13" max="231" width="6.28515625" customWidth="1"/>
    <col min="232" max="232" width="21.5703125" customWidth="1"/>
    <col min="233" max="233" width="40.5703125" customWidth="1"/>
    <col min="234" max="234" width="21.5703125" customWidth="1"/>
    <col min="235" max="235" width="16.5703125" customWidth="1"/>
    <col min="236" max="236" width="27.28515625" customWidth="1"/>
  </cols>
  <sheetData>
    <row r="1" spans="1:237" ht="16.5">
      <c r="A1" s="36" t="s">
        <v>386</v>
      </c>
      <c r="B1" s="278" t="s">
        <v>388</v>
      </c>
      <c r="C1" s="36" t="s">
        <v>49</v>
      </c>
      <c r="D1" s="36"/>
      <c r="E1" s="36" t="s">
        <v>180</v>
      </c>
      <c r="F1" s="36" t="s">
        <v>445</v>
      </c>
      <c r="G1" s="36" t="s">
        <v>220</v>
      </c>
      <c r="H1" s="36" t="s">
        <v>226</v>
      </c>
      <c r="I1" s="36" t="s">
        <v>693</v>
      </c>
      <c r="J1" s="36" t="s">
        <v>694</v>
      </c>
      <c r="K1" s="36" t="s">
        <v>446</v>
      </c>
      <c r="L1" s="36" t="s">
        <v>447</v>
      </c>
      <c r="M1" s="36" t="s">
        <v>448</v>
      </c>
      <c r="N1" s="36" t="s">
        <v>449</v>
      </c>
      <c r="O1" s="36" t="s">
        <v>450</v>
      </c>
      <c r="P1" s="36" t="s">
        <v>451</v>
      </c>
      <c r="Q1" s="36" t="s">
        <v>452</v>
      </c>
      <c r="R1" s="36" t="s">
        <v>453</v>
      </c>
      <c r="S1" s="36" t="s">
        <v>454</v>
      </c>
      <c r="T1" s="36" t="s">
        <v>455</v>
      </c>
      <c r="U1" s="36" t="s">
        <v>456</v>
      </c>
      <c r="V1" s="36" t="s">
        <v>457</v>
      </c>
      <c r="W1" s="36" t="s">
        <v>458</v>
      </c>
      <c r="X1" s="36" t="s">
        <v>459</v>
      </c>
      <c r="Y1" s="36" t="s">
        <v>460</v>
      </c>
      <c r="Z1" s="36" t="s">
        <v>461</v>
      </c>
      <c r="AA1" s="36" t="s">
        <v>462</v>
      </c>
      <c r="AB1" s="36" t="s">
        <v>463</v>
      </c>
      <c r="AC1" s="36" t="s">
        <v>464</v>
      </c>
      <c r="AD1" s="36" t="s">
        <v>465</v>
      </c>
      <c r="AE1" s="36" t="s">
        <v>466</v>
      </c>
      <c r="AF1" s="36" t="s">
        <v>467</v>
      </c>
      <c r="AG1" s="36" t="s">
        <v>468</v>
      </c>
      <c r="AH1" s="36" t="s">
        <v>469</v>
      </c>
      <c r="AI1" s="36" t="s">
        <v>470</v>
      </c>
      <c r="AJ1" s="36" t="s">
        <v>471</v>
      </c>
      <c r="AK1" s="36" t="s">
        <v>472</v>
      </c>
      <c r="AL1" s="36" t="s">
        <v>473</v>
      </c>
      <c r="AM1" s="36" t="s">
        <v>474</v>
      </c>
      <c r="AN1" s="36" t="s">
        <v>475</v>
      </c>
      <c r="AO1" s="36" t="s">
        <v>476</v>
      </c>
      <c r="AP1" s="36" t="s">
        <v>477</v>
      </c>
      <c r="AQ1" s="36" t="s">
        <v>478</v>
      </c>
      <c r="AR1" s="36" t="s">
        <v>479</v>
      </c>
      <c r="AS1" s="36" t="s">
        <v>480</v>
      </c>
      <c r="AT1" s="36" t="s">
        <v>481</v>
      </c>
      <c r="AU1" s="36" t="s">
        <v>482</v>
      </c>
      <c r="AV1" s="36" t="s">
        <v>483</v>
      </c>
      <c r="AW1" s="36" t="s">
        <v>484</v>
      </c>
      <c r="AX1" s="36" t="s">
        <v>485</v>
      </c>
      <c r="AY1" s="36" t="s">
        <v>486</v>
      </c>
      <c r="AZ1" s="36" t="s">
        <v>487</v>
      </c>
      <c r="BA1" s="36" t="s">
        <v>488</v>
      </c>
      <c r="BB1" s="36" t="s">
        <v>489</v>
      </c>
      <c r="BC1" s="36" t="s">
        <v>490</v>
      </c>
      <c r="BD1" s="36" t="s">
        <v>491</v>
      </c>
      <c r="BE1" s="36" t="s">
        <v>492</v>
      </c>
      <c r="BF1" s="36" t="s">
        <v>493</v>
      </c>
      <c r="BG1" s="36" t="s">
        <v>494</v>
      </c>
      <c r="BH1" s="36" t="s">
        <v>495</v>
      </c>
      <c r="BI1" s="36" t="s">
        <v>496</v>
      </c>
      <c r="BJ1" s="36" t="s">
        <v>497</v>
      </c>
      <c r="BK1" s="36" t="s">
        <v>498</v>
      </c>
      <c r="BL1" s="36" t="s">
        <v>499</v>
      </c>
      <c r="BM1" s="36" t="s">
        <v>500</v>
      </c>
      <c r="BN1" s="36" t="s">
        <v>501</v>
      </c>
      <c r="BO1" s="36" t="s">
        <v>502</v>
      </c>
      <c r="BP1" s="36" t="s">
        <v>503</v>
      </c>
      <c r="BQ1" s="36" t="s">
        <v>504</v>
      </c>
      <c r="BR1" s="36" t="s">
        <v>505</v>
      </c>
      <c r="BS1" s="36" t="s">
        <v>506</v>
      </c>
      <c r="BT1" s="36" t="s">
        <v>507</v>
      </c>
      <c r="BU1" s="36" t="s">
        <v>508</v>
      </c>
      <c r="BV1" s="36" t="s">
        <v>509</v>
      </c>
      <c r="BW1" s="36" t="s">
        <v>510</v>
      </c>
      <c r="BX1" s="36" t="s">
        <v>548</v>
      </c>
      <c r="BY1" s="36" t="s">
        <v>549</v>
      </c>
      <c r="BZ1" s="36" t="s">
        <v>550</v>
      </c>
      <c r="CA1" s="36" t="s">
        <v>551</v>
      </c>
      <c r="CB1" s="36" t="s">
        <v>552</v>
      </c>
      <c r="CC1" s="36" t="s">
        <v>553</v>
      </c>
      <c r="CD1" s="36" t="s">
        <v>554</v>
      </c>
      <c r="CE1" s="36" t="s">
        <v>555</v>
      </c>
      <c r="CF1" s="36" t="s">
        <v>556</v>
      </c>
      <c r="CG1" s="36" t="s">
        <v>557</v>
      </c>
      <c r="CH1" s="36" t="s">
        <v>558</v>
      </c>
      <c r="CI1" s="36" t="s">
        <v>559</v>
      </c>
      <c r="CJ1" s="36" t="s">
        <v>560</v>
      </c>
      <c r="CK1" s="36" t="s">
        <v>561</v>
      </c>
      <c r="CL1" s="36" t="s">
        <v>562</v>
      </c>
      <c r="CM1" s="36" t="s">
        <v>563</v>
      </c>
      <c r="CN1" s="36" t="s">
        <v>564</v>
      </c>
      <c r="CO1" s="36" t="s">
        <v>565</v>
      </c>
      <c r="CP1" s="36" t="s">
        <v>566</v>
      </c>
      <c r="CQ1" s="36" t="s">
        <v>567</v>
      </c>
      <c r="CR1" s="36" t="s">
        <v>568</v>
      </c>
      <c r="CS1" s="36" t="s">
        <v>569</v>
      </c>
      <c r="CT1" s="36" t="s">
        <v>570</v>
      </c>
      <c r="CU1" s="36" t="s">
        <v>571</v>
      </c>
      <c r="CV1" s="36" t="s">
        <v>572</v>
      </c>
      <c r="CW1" s="36" t="s">
        <v>573</v>
      </c>
      <c r="CX1" s="36" t="s">
        <v>574</v>
      </c>
      <c r="CY1" s="36" t="s">
        <v>575</v>
      </c>
      <c r="CZ1" s="36" t="s">
        <v>576</v>
      </c>
      <c r="DA1" s="36" t="s">
        <v>577</v>
      </c>
      <c r="DB1" s="36" t="s">
        <v>578</v>
      </c>
      <c r="DC1" s="36" t="s">
        <v>579</v>
      </c>
      <c r="DD1" s="36" t="s">
        <v>580</v>
      </c>
      <c r="DE1" s="36" t="s">
        <v>581</v>
      </c>
      <c r="DF1" s="36" t="s">
        <v>582</v>
      </c>
      <c r="DG1" s="36" t="s">
        <v>583</v>
      </c>
      <c r="DH1" s="36" t="s">
        <v>608</v>
      </c>
      <c r="DI1" s="36" t="s">
        <v>609</v>
      </c>
      <c r="DJ1" s="36" t="s">
        <v>610</v>
      </c>
      <c r="DK1" s="36" t="s">
        <v>611</v>
      </c>
      <c r="DL1" s="36" t="s">
        <v>612</v>
      </c>
      <c r="DM1" s="36" t="s">
        <v>613</v>
      </c>
      <c r="DN1" s="36" t="s">
        <v>614</v>
      </c>
      <c r="DO1" s="36" t="s">
        <v>615</v>
      </c>
      <c r="DP1" s="36" t="s">
        <v>616</v>
      </c>
      <c r="DQ1" s="36" t="s">
        <v>617</v>
      </c>
      <c r="DR1" s="36" t="s">
        <v>618</v>
      </c>
      <c r="DS1" s="36" t="s">
        <v>619</v>
      </c>
      <c r="DT1" s="36" t="s">
        <v>620</v>
      </c>
      <c r="DU1" s="36" t="s">
        <v>621</v>
      </c>
      <c r="DV1" s="36" t="s">
        <v>622</v>
      </c>
      <c r="DW1" s="36" t="s">
        <v>623</v>
      </c>
      <c r="DX1" s="36" t="s">
        <v>624</v>
      </c>
      <c r="DY1" s="36" t="s">
        <v>625</v>
      </c>
      <c r="DZ1" s="36" t="s">
        <v>626</v>
      </c>
      <c r="EA1" s="36" t="s">
        <v>627</v>
      </c>
      <c r="EB1" s="36" t="s">
        <v>628</v>
      </c>
      <c r="EC1" s="36" t="s">
        <v>629</v>
      </c>
      <c r="ED1" s="36" t="s">
        <v>630</v>
      </c>
      <c r="EE1" s="36" t="s">
        <v>631</v>
      </c>
      <c r="EF1" s="36" t="s">
        <v>632</v>
      </c>
      <c r="EG1" s="36" t="s">
        <v>633</v>
      </c>
      <c r="EH1" s="36" t="s">
        <v>634</v>
      </c>
      <c r="EI1" s="36" t="s">
        <v>635</v>
      </c>
      <c r="EJ1" s="36" t="s">
        <v>636</v>
      </c>
      <c r="EK1" s="36" t="s">
        <v>637</v>
      </c>
      <c r="EL1" s="36" t="s">
        <v>638</v>
      </c>
      <c r="EM1" s="36" t="s">
        <v>639</v>
      </c>
      <c r="EN1" s="36" t="s">
        <v>640</v>
      </c>
      <c r="EO1" s="36" t="s">
        <v>641</v>
      </c>
      <c r="EP1" s="36" t="s">
        <v>642</v>
      </c>
      <c r="EQ1" s="36" t="s">
        <v>643</v>
      </c>
      <c r="ER1" s="36" t="s">
        <v>644</v>
      </c>
      <c r="ES1" s="36" t="s">
        <v>645</v>
      </c>
      <c r="ET1" s="36" t="s">
        <v>646</v>
      </c>
      <c r="EU1" s="36" t="s">
        <v>647</v>
      </c>
      <c r="EV1" s="36" t="s">
        <v>648</v>
      </c>
      <c r="EW1" s="36" t="s">
        <v>649</v>
      </c>
      <c r="EX1" s="36" t="s">
        <v>650</v>
      </c>
      <c r="EY1" s="36" t="s">
        <v>651</v>
      </c>
      <c r="EZ1" s="36" t="s">
        <v>652</v>
      </c>
      <c r="FA1" s="36" t="s">
        <v>653</v>
      </c>
      <c r="FB1" s="36" t="s">
        <v>654</v>
      </c>
      <c r="FC1" s="36" t="s">
        <v>655</v>
      </c>
      <c r="FD1" s="36" t="s">
        <v>656</v>
      </c>
      <c r="FE1" s="36" t="s">
        <v>657</v>
      </c>
      <c r="FF1" s="36" t="s">
        <v>658</v>
      </c>
      <c r="FG1" s="36" t="s">
        <v>659</v>
      </c>
      <c r="FH1" s="36" t="s">
        <v>660</v>
      </c>
      <c r="FI1" s="36" t="s">
        <v>661</v>
      </c>
      <c r="FJ1" s="36" t="s">
        <v>662</v>
      </c>
      <c r="FK1" s="36" t="s">
        <v>663</v>
      </c>
      <c r="FL1" s="36" t="s">
        <v>664</v>
      </c>
      <c r="FM1" s="36" t="s">
        <v>665</v>
      </c>
      <c r="FN1" s="36" t="s">
        <v>666</v>
      </c>
      <c r="FO1" s="36" t="s">
        <v>667</v>
      </c>
      <c r="FP1" s="36" t="s">
        <v>668</v>
      </c>
      <c r="FQ1" s="36" t="s">
        <v>669</v>
      </c>
      <c r="FR1" s="36" t="s">
        <v>670</v>
      </c>
      <c r="FS1" s="36" t="s">
        <v>671</v>
      </c>
      <c r="FT1" s="36" t="s">
        <v>672</v>
      </c>
      <c r="FU1" s="36" t="s">
        <v>673</v>
      </c>
      <c r="FV1" s="36" t="s">
        <v>674</v>
      </c>
      <c r="FW1" s="36" t="s">
        <v>675</v>
      </c>
      <c r="FX1" s="36" t="s">
        <v>676</v>
      </c>
      <c r="FY1" s="36" t="s">
        <v>677</v>
      </c>
      <c r="FZ1" s="36" t="s">
        <v>678</v>
      </c>
      <c r="GA1" s="36" t="s">
        <v>679</v>
      </c>
      <c r="GB1" s="36" t="s">
        <v>680</v>
      </c>
      <c r="GC1" s="36" t="s">
        <v>681</v>
      </c>
      <c r="GD1" s="36" t="s">
        <v>682</v>
      </c>
      <c r="GE1" s="36" t="s">
        <v>683</v>
      </c>
      <c r="GF1" s="36" t="s">
        <v>684</v>
      </c>
      <c r="GG1" s="36" t="s">
        <v>685</v>
      </c>
      <c r="GH1" s="36" t="s">
        <v>686</v>
      </c>
      <c r="GI1" s="36" t="s">
        <v>687</v>
      </c>
      <c r="GJ1" s="36" t="s">
        <v>697</v>
      </c>
      <c r="GK1" s="36" t="s">
        <v>698</v>
      </c>
      <c r="GL1" s="36" t="s">
        <v>699</v>
      </c>
      <c r="GM1" s="36" t="s">
        <v>700</v>
      </c>
      <c r="GN1" s="36" t="s">
        <v>701</v>
      </c>
      <c r="GO1" s="36" t="s">
        <v>702</v>
      </c>
      <c r="GP1" s="36" t="s">
        <v>703</v>
      </c>
      <c r="GQ1" s="36" t="s">
        <v>704</v>
      </c>
      <c r="GR1" s="36" t="s">
        <v>705</v>
      </c>
      <c r="GS1" s="36" t="s">
        <v>706</v>
      </c>
      <c r="GT1" s="36" t="s">
        <v>707</v>
      </c>
      <c r="GU1" s="36" t="s">
        <v>708</v>
      </c>
      <c r="GV1" s="36" t="s">
        <v>709</v>
      </c>
      <c r="GW1" s="36" t="s">
        <v>710</v>
      </c>
      <c r="GX1" s="36" t="s">
        <v>711</v>
      </c>
      <c r="GY1" s="36" t="s">
        <v>712</v>
      </c>
      <c r="GZ1" s="36" t="s">
        <v>713</v>
      </c>
      <c r="HA1" s="36" t="s">
        <v>714</v>
      </c>
      <c r="HB1" s="36" t="s">
        <v>715</v>
      </c>
      <c r="HC1" s="36" t="s">
        <v>716</v>
      </c>
      <c r="HD1" s="36" t="s">
        <v>717</v>
      </c>
      <c r="HE1" s="36" t="s">
        <v>718</v>
      </c>
      <c r="HF1" s="36" t="s">
        <v>719</v>
      </c>
      <c r="HG1" s="36" t="s">
        <v>720</v>
      </c>
      <c r="HH1" s="36" t="s">
        <v>721</v>
      </c>
      <c r="HI1" s="36" t="s">
        <v>722</v>
      </c>
      <c r="HJ1" s="36" t="s">
        <v>723</v>
      </c>
      <c r="HK1" s="36" t="s">
        <v>724</v>
      </c>
      <c r="HL1" s="36" t="s">
        <v>725</v>
      </c>
      <c r="HM1" s="36" t="s">
        <v>726</v>
      </c>
      <c r="HN1" s="36" t="s">
        <v>727</v>
      </c>
      <c r="HO1" s="36" t="s">
        <v>728</v>
      </c>
      <c r="HP1" s="36" t="s">
        <v>729</v>
      </c>
      <c r="HQ1" s="36" t="s">
        <v>730</v>
      </c>
      <c r="HR1" s="36" t="s">
        <v>731</v>
      </c>
      <c r="HS1" s="36" t="s">
        <v>732</v>
      </c>
      <c r="HT1" s="36" t="s">
        <v>733</v>
      </c>
      <c r="HU1" s="36" t="s">
        <v>734</v>
      </c>
      <c r="HV1" s="36" t="s">
        <v>735</v>
      </c>
      <c r="HW1" s="36" t="s">
        <v>736</v>
      </c>
      <c r="HX1" s="36"/>
      <c r="HY1" s="36" t="s">
        <v>387</v>
      </c>
      <c r="HZ1" s="269" t="s">
        <v>9</v>
      </c>
      <c r="IA1" s="404" t="s">
        <v>389</v>
      </c>
      <c r="IB1" s="29" t="s">
        <v>390</v>
      </c>
      <c r="IC1" s="29" t="s">
        <v>9</v>
      </c>
    </row>
    <row r="2" spans="1:237" ht="16.5">
      <c r="A2" s="37">
        <v>45916</v>
      </c>
      <c r="B2" s="29" t="s">
        <v>245</v>
      </c>
      <c r="C2" s="284" t="s">
        <v>69</v>
      </c>
      <c r="D2" s="413" t="s">
        <v>274</v>
      </c>
      <c r="E2" s="30" t="s">
        <v>189</v>
      </c>
      <c r="F2" s="29" t="s">
        <v>511</v>
      </c>
      <c r="G2" s="29">
        <v>0</v>
      </c>
      <c r="H2" s="224">
        <v>1</v>
      </c>
      <c r="I2" s="224"/>
      <c r="J2" s="224"/>
      <c r="K2" s="224">
        <f>SUM(L2:BW2)</f>
        <v>6</v>
      </c>
      <c r="L2" s="386">
        <v>1</v>
      </c>
      <c r="M2" s="386">
        <v>1</v>
      </c>
      <c r="N2" s="386">
        <v>1</v>
      </c>
      <c r="O2" s="386">
        <v>1</v>
      </c>
      <c r="P2" s="386">
        <v>1</v>
      </c>
      <c r="Q2" s="386">
        <v>1</v>
      </c>
      <c r="R2" s="411"/>
      <c r="S2" s="411"/>
      <c r="T2" s="411"/>
      <c r="U2" s="411"/>
      <c r="V2" s="411"/>
      <c r="W2" s="411"/>
      <c r="X2" s="411"/>
      <c r="Y2" s="411"/>
      <c r="Z2" s="411"/>
      <c r="AA2" s="411"/>
      <c r="AB2" s="411"/>
      <c r="AC2" s="411"/>
      <c r="AD2" s="411"/>
      <c r="AE2" s="411"/>
      <c r="AF2" s="411"/>
      <c r="AG2" s="411"/>
      <c r="AH2" s="411"/>
      <c r="AI2" s="411"/>
      <c r="AJ2" s="411"/>
      <c r="AK2" s="411"/>
      <c r="AL2" s="411"/>
      <c r="AM2" s="411"/>
      <c r="AN2" s="411"/>
      <c r="AO2" s="411"/>
      <c r="AP2" s="411"/>
      <c r="AQ2" s="411"/>
      <c r="AR2" s="411"/>
      <c r="AS2" s="411"/>
      <c r="AT2" s="411"/>
      <c r="AU2" s="411"/>
      <c r="AV2" s="411"/>
      <c r="AW2" s="411"/>
      <c r="AX2" s="411"/>
      <c r="AY2" s="411"/>
      <c r="AZ2" s="411"/>
      <c r="BA2" s="411"/>
      <c r="BB2" s="411"/>
      <c r="BC2" s="411"/>
      <c r="BD2" s="411"/>
      <c r="BE2" s="411"/>
      <c r="BF2" s="411"/>
      <c r="BG2" s="411"/>
      <c r="BH2" s="411"/>
      <c r="BI2" s="411"/>
      <c r="BJ2" s="411"/>
      <c r="BK2" s="411"/>
      <c r="BL2" s="411"/>
      <c r="BM2" s="411"/>
      <c r="BN2" s="411"/>
      <c r="BO2" s="411"/>
      <c r="BP2" s="411"/>
      <c r="BQ2" s="411"/>
      <c r="BR2" s="411"/>
      <c r="BS2" s="411"/>
      <c r="BT2" s="411"/>
      <c r="BU2" s="411"/>
      <c r="BV2" s="411"/>
      <c r="BW2" s="411"/>
      <c r="BX2" s="411"/>
      <c r="BY2" s="411"/>
      <c r="BZ2" s="411"/>
      <c r="CA2" s="411"/>
      <c r="CB2" s="411"/>
      <c r="CC2" s="411"/>
      <c r="CD2" s="411"/>
      <c r="CE2" s="411"/>
      <c r="CF2" s="411"/>
      <c r="CG2" s="411"/>
      <c r="CH2" s="411"/>
      <c r="CI2" s="411"/>
      <c r="CJ2" s="411"/>
      <c r="CK2" s="411"/>
      <c r="CL2" s="411"/>
      <c r="CM2" s="411"/>
      <c r="CN2" s="411"/>
      <c r="CO2" s="411"/>
      <c r="CP2" s="411"/>
      <c r="CQ2" s="411"/>
      <c r="CR2" s="411"/>
      <c r="CS2" s="411"/>
      <c r="CT2" s="411"/>
      <c r="CU2" s="411"/>
      <c r="CV2" s="411"/>
      <c r="CW2" s="411"/>
      <c r="CX2" s="411"/>
      <c r="CY2" s="411"/>
      <c r="CZ2" s="411"/>
      <c r="DA2" s="411"/>
      <c r="DB2" s="411"/>
      <c r="DC2" s="411"/>
      <c r="DD2" s="411"/>
      <c r="DE2" s="411"/>
      <c r="DF2" s="411"/>
      <c r="DG2" s="411"/>
      <c r="DH2" s="411"/>
      <c r="DI2" s="411"/>
      <c r="DJ2" s="411"/>
      <c r="DK2" s="411"/>
      <c r="DL2" s="411"/>
      <c r="DM2" s="411"/>
      <c r="DN2" s="411"/>
      <c r="DO2" s="411"/>
      <c r="DP2" s="411"/>
      <c r="DQ2" s="411"/>
      <c r="DR2" s="411"/>
      <c r="DS2" s="411"/>
      <c r="DT2" s="411"/>
      <c r="DU2" s="411"/>
      <c r="DV2" s="411"/>
      <c r="DW2" s="411"/>
      <c r="DX2" s="411"/>
      <c r="DY2" s="411"/>
      <c r="DZ2" s="411"/>
      <c r="EA2" s="411"/>
      <c r="EB2" s="411"/>
      <c r="EC2" s="411"/>
      <c r="ED2" s="411"/>
      <c r="EE2" s="411"/>
      <c r="EF2" s="411"/>
      <c r="EG2" s="411"/>
      <c r="EH2" s="411"/>
      <c r="EI2" s="411"/>
      <c r="EJ2" s="411"/>
      <c r="EK2" s="411"/>
      <c r="EL2" s="411"/>
      <c r="EM2" s="411"/>
      <c r="EN2" s="411"/>
      <c r="EO2" s="411"/>
      <c r="EP2" s="411"/>
      <c r="EQ2" s="411"/>
      <c r="ER2" s="411"/>
      <c r="ES2" s="411"/>
      <c r="ET2" s="411"/>
      <c r="EU2" s="411"/>
      <c r="EV2" s="411"/>
      <c r="EW2" s="411"/>
      <c r="EX2" s="411"/>
      <c r="EY2" s="411"/>
      <c r="EZ2" s="411"/>
      <c r="FA2" s="411"/>
      <c r="FB2" s="411"/>
      <c r="FC2" s="411"/>
      <c r="FD2" s="411"/>
      <c r="FE2" s="411"/>
      <c r="FF2" s="411"/>
      <c r="FG2" s="411"/>
      <c r="FH2" s="411"/>
      <c r="FI2" s="411"/>
      <c r="FJ2" s="411"/>
      <c r="FK2" s="411"/>
      <c r="FL2" s="411"/>
      <c r="FM2" s="411"/>
      <c r="FN2" s="411"/>
      <c r="FO2" s="411"/>
      <c r="FP2" s="411"/>
      <c r="FQ2" s="411"/>
      <c r="FR2" s="411"/>
      <c r="FS2" s="411"/>
      <c r="FT2" s="411"/>
      <c r="FU2" s="411"/>
      <c r="FV2" s="411"/>
      <c r="FW2" s="411"/>
      <c r="FX2" s="411"/>
      <c r="FY2" s="411"/>
      <c r="FZ2" s="411"/>
      <c r="GA2" s="411"/>
      <c r="GB2" s="411"/>
      <c r="GC2" s="411"/>
      <c r="GD2" s="411"/>
      <c r="GE2" s="411"/>
      <c r="GF2" s="411"/>
      <c r="GG2" s="411"/>
      <c r="GH2" s="411"/>
      <c r="GI2" s="411"/>
      <c r="GJ2" s="411"/>
      <c r="GK2" s="411"/>
      <c r="GL2" s="411"/>
      <c r="GM2" s="411"/>
      <c r="GN2" s="411"/>
      <c r="GO2" s="411"/>
      <c r="GP2" s="411"/>
      <c r="GQ2" s="411"/>
      <c r="GR2" s="411"/>
      <c r="GS2" s="411"/>
      <c r="GT2" s="411"/>
      <c r="GU2" s="411"/>
      <c r="GV2" s="411"/>
      <c r="GW2" s="411"/>
      <c r="GX2" s="411"/>
      <c r="GY2" s="411"/>
      <c r="GZ2" s="411"/>
      <c r="HA2" s="411"/>
      <c r="HB2" s="411"/>
      <c r="HC2" s="411"/>
      <c r="HD2" s="411"/>
      <c r="HE2" s="411"/>
      <c r="HF2" s="411"/>
      <c r="HG2" s="411"/>
      <c r="HH2" s="411"/>
      <c r="HI2" s="411"/>
      <c r="HJ2" s="411"/>
      <c r="HK2" s="411"/>
      <c r="HL2" s="411"/>
      <c r="HM2" s="411"/>
      <c r="HN2" s="411"/>
      <c r="HO2" s="411"/>
      <c r="HP2" s="411"/>
      <c r="HQ2" s="411"/>
      <c r="HR2" s="411"/>
      <c r="HS2" s="411"/>
      <c r="HT2" s="411"/>
      <c r="HU2" s="411"/>
      <c r="HV2" s="411"/>
      <c r="HW2" s="411"/>
      <c r="HX2" s="276">
        <v>45922</v>
      </c>
      <c r="HY2" s="271" t="s">
        <v>391</v>
      </c>
      <c r="HZ2" s="270" t="s">
        <v>392</v>
      </c>
      <c r="IA2" s="29" t="s">
        <v>61</v>
      </c>
      <c r="IB2" s="29"/>
    </row>
    <row r="3" spans="1:237" ht="16.5">
      <c r="A3" s="37">
        <v>45918</v>
      </c>
      <c r="B3" s="29" t="s">
        <v>245</v>
      </c>
      <c r="C3" s="287" t="s">
        <v>84</v>
      </c>
      <c r="D3" s="413" t="s">
        <v>246</v>
      </c>
      <c r="E3" s="30" t="s">
        <v>196</v>
      </c>
      <c r="F3" s="29" t="s">
        <v>511</v>
      </c>
      <c r="G3" s="224">
        <v>1</v>
      </c>
      <c r="H3" s="29">
        <v>0</v>
      </c>
      <c r="I3" s="29"/>
      <c r="J3" s="29"/>
      <c r="K3" s="224">
        <f>SUM(L3:BW3)</f>
        <v>7</v>
      </c>
      <c r="L3" s="386">
        <v>1</v>
      </c>
      <c r="M3" s="386">
        <v>1</v>
      </c>
      <c r="N3" s="386">
        <v>1</v>
      </c>
      <c r="O3" s="386">
        <v>1</v>
      </c>
      <c r="P3" s="386">
        <v>1</v>
      </c>
      <c r="Q3" s="386">
        <v>1</v>
      </c>
      <c r="R3" s="386">
        <v>1</v>
      </c>
      <c r="S3" s="386">
        <v>0</v>
      </c>
      <c r="T3" s="386"/>
      <c r="U3" s="386"/>
      <c r="V3" s="386"/>
      <c r="W3" s="386"/>
      <c r="X3" s="386"/>
      <c r="Y3" s="386"/>
      <c r="Z3" s="386"/>
      <c r="AA3" s="386"/>
      <c r="AB3" s="386"/>
      <c r="AC3" s="386"/>
      <c r="AD3" s="386"/>
      <c r="AE3" s="386"/>
      <c r="AF3" s="386"/>
      <c r="AG3" s="386"/>
      <c r="AH3" s="386"/>
      <c r="AI3" s="386"/>
      <c r="AJ3" s="386"/>
      <c r="AK3" s="386"/>
      <c r="AL3" s="386"/>
      <c r="AM3" s="386"/>
      <c r="AN3" s="386"/>
      <c r="AO3" s="386"/>
      <c r="AP3" s="386"/>
      <c r="AQ3" s="386"/>
      <c r="AR3" s="386"/>
      <c r="AS3" s="386"/>
      <c r="AT3" s="386"/>
      <c r="AU3" s="386"/>
      <c r="AV3" s="386"/>
      <c r="AW3" s="386"/>
      <c r="AX3" s="386"/>
      <c r="AY3" s="386"/>
      <c r="AZ3" s="386"/>
      <c r="BA3" s="386"/>
      <c r="BB3" s="386"/>
      <c r="BC3" s="386"/>
      <c r="BD3" s="386"/>
      <c r="BE3" s="386"/>
      <c r="BF3" s="386"/>
      <c r="BG3" s="386"/>
      <c r="BH3" s="386"/>
      <c r="BI3" s="386"/>
      <c r="BJ3" s="386"/>
      <c r="BK3" s="386"/>
      <c r="BL3" s="386"/>
      <c r="BM3" s="386"/>
      <c r="BN3" s="386"/>
      <c r="BO3" s="386"/>
      <c r="BP3" s="386"/>
      <c r="BQ3" s="386"/>
      <c r="BR3" s="386"/>
      <c r="BS3" s="386"/>
      <c r="BT3" s="386"/>
      <c r="BU3" s="386"/>
      <c r="BV3" s="386"/>
      <c r="BW3" s="386"/>
      <c r="BX3" s="386"/>
      <c r="BY3" s="386"/>
      <c r="BZ3" s="386"/>
      <c r="CA3" s="386"/>
      <c r="CB3" s="386"/>
      <c r="CC3" s="386"/>
      <c r="CD3" s="386"/>
      <c r="CE3" s="386"/>
      <c r="CF3" s="386"/>
      <c r="CG3" s="386"/>
      <c r="CH3" s="386"/>
      <c r="CI3" s="386"/>
      <c r="CJ3" s="386"/>
      <c r="CK3" s="386"/>
      <c r="CL3" s="386"/>
      <c r="CM3" s="386"/>
      <c r="CN3" s="386"/>
      <c r="CO3" s="386"/>
      <c r="CP3" s="386"/>
      <c r="CQ3" s="386"/>
      <c r="CR3" s="386"/>
      <c r="CS3" s="386"/>
      <c r="CT3" s="386"/>
      <c r="CU3" s="386"/>
      <c r="CV3" s="386"/>
      <c r="CW3" s="386"/>
      <c r="CX3" s="386"/>
      <c r="CY3" s="386"/>
      <c r="CZ3" s="386"/>
      <c r="DA3" s="386"/>
      <c r="DB3" s="386"/>
      <c r="DC3" s="386"/>
      <c r="DD3" s="386"/>
      <c r="DE3" s="386"/>
      <c r="DF3" s="386"/>
      <c r="DG3" s="386"/>
      <c r="DH3" s="386"/>
      <c r="DI3" s="386"/>
      <c r="DJ3" s="386"/>
      <c r="DK3" s="386"/>
      <c r="DL3" s="386"/>
      <c r="DM3" s="386"/>
      <c r="DN3" s="386"/>
      <c r="DO3" s="386"/>
      <c r="DP3" s="386"/>
      <c r="DQ3" s="386"/>
      <c r="DR3" s="386"/>
      <c r="DS3" s="386"/>
      <c r="DT3" s="386"/>
      <c r="DU3" s="386"/>
      <c r="DV3" s="386"/>
      <c r="DW3" s="386"/>
      <c r="DX3" s="386"/>
      <c r="DY3" s="386"/>
      <c r="DZ3" s="386"/>
      <c r="EA3" s="386"/>
      <c r="EB3" s="386"/>
      <c r="EC3" s="386"/>
      <c r="ED3" s="386"/>
      <c r="EE3" s="386"/>
      <c r="EF3" s="386"/>
      <c r="EG3" s="386"/>
      <c r="EH3" s="386"/>
      <c r="EI3" s="386"/>
      <c r="EJ3" s="386"/>
      <c r="EK3" s="386"/>
      <c r="EL3" s="386"/>
      <c r="EM3" s="386"/>
      <c r="EN3" s="386"/>
      <c r="EO3" s="386"/>
      <c r="EP3" s="386"/>
      <c r="EQ3" s="386"/>
      <c r="ER3" s="386"/>
      <c r="ES3" s="386"/>
      <c r="ET3" s="386"/>
      <c r="EU3" s="386"/>
      <c r="EV3" s="386"/>
      <c r="EW3" s="386"/>
      <c r="EX3" s="386"/>
      <c r="EY3" s="386"/>
      <c r="EZ3" s="386"/>
      <c r="FA3" s="386"/>
      <c r="FB3" s="386"/>
      <c r="FC3" s="386"/>
      <c r="FD3" s="386"/>
      <c r="FE3" s="386"/>
      <c r="FF3" s="386"/>
      <c r="FG3" s="386"/>
      <c r="FH3" s="386"/>
      <c r="FI3" s="386"/>
      <c r="FJ3" s="386"/>
      <c r="FK3" s="386"/>
      <c r="FL3" s="386"/>
      <c r="FM3" s="386"/>
      <c r="FN3" s="386"/>
      <c r="FO3" s="386"/>
      <c r="FP3" s="386"/>
      <c r="FQ3" s="386"/>
      <c r="FR3" s="386"/>
      <c r="FS3" s="386"/>
      <c r="FT3" s="386"/>
      <c r="FU3" s="386"/>
      <c r="FV3" s="386"/>
      <c r="FW3" s="386"/>
      <c r="FX3" s="386"/>
      <c r="FY3" s="386"/>
      <c r="FZ3" s="386"/>
      <c r="GA3" s="386"/>
      <c r="GB3" s="386"/>
      <c r="GC3" s="386"/>
      <c r="GD3" s="386"/>
      <c r="GE3" s="386"/>
      <c r="GF3" s="386"/>
      <c r="GG3" s="386"/>
      <c r="GH3" s="386"/>
      <c r="GI3" s="386"/>
      <c r="GJ3" s="386"/>
      <c r="GK3" s="386"/>
      <c r="GL3" s="386"/>
      <c r="GM3" s="386"/>
      <c r="GN3" s="386"/>
      <c r="GO3" s="386"/>
      <c r="GP3" s="386"/>
      <c r="GQ3" s="386"/>
      <c r="GR3" s="386"/>
      <c r="GS3" s="386"/>
      <c r="GT3" s="386"/>
      <c r="GU3" s="386"/>
      <c r="GV3" s="386"/>
      <c r="GW3" s="386"/>
      <c r="GX3" s="386"/>
      <c r="GY3" s="386"/>
      <c r="GZ3" s="386"/>
      <c r="HA3" s="386"/>
      <c r="HB3" s="386"/>
      <c r="HC3" s="386"/>
      <c r="HD3" s="386"/>
      <c r="HE3" s="386"/>
      <c r="HF3" s="386"/>
      <c r="HG3" s="386"/>
      <c r="HH3" s="386"/>
      <c r="HI3" s="386"/>
      <c r="HJ3" s="386"/>
      <c r="HK3" s="386"/>
      <c r="HL3" s="386"/>
      <c r="HM3" s="386"/>
      <c r="HN3" s="386"/>
      <c r="HO3" s="386"/>
      <c r="HP3" s="386"/>
      <c r="HQ3" s="386"/>
      <c r="HR3" s="386"/>
      <c r="HS3" s="386"/>
      <c r="HT3" s="386"/>
      <c r="HU3" s="386"/>
      <c r="HV3" s="386"/>
      <c r="HW3" s="386"/>
      <c r="HX3" s="276">
        <v>45926</v>
      </c>
      <c r="HY3" s="271" t="s">
        <v>393</v>
      </c>
      <c r="HZ3" s="270" t="s">
        <v>392</v>
      </c>
      <c r="IA3" s="29" t="s">
        <v>61</v>
      </c>
      <c r="IB3" s="29"/>
    </row>
    <row r="4" spans="1:237" ht="16.5">
      <c r="A4" s="37">
        <v>45923</v>
      </c>
      <c r="B4" s="29" t="s">
        <v>294</v>
      </c>
      <c r="C4" s="284" t="s">
        <v>93</v>
      </c>
      <c r="D4" s="413" t="s">
        <v>274</v>
      </c>
      <c r="E4" s="30" t="s">
        <v>203</v>
      </c>
      <c r="F4" s="29" t="s">
        <v>511</v>
      </c>
      <c r="G4" s="29">
        <v>0</v>
      </c>
      <c r="H4" s="224">
        <v>1</v>
      </c>
      <c r="I4" s="224"/>
      <c r="J4" s="224"/>
      <c r="K4" s="224">
        <f t="shared" ref="K4:K28" si="0">SUM(L4:BW4)</f>
        <v>7</v>
      </c>
      <c r="L4" s="411">
        <v>1</v>
      </c>
      <c r="M4" s="411">
        <v>1</v>
      </c>
      <c r="N4" s="411">
        <v>1</v>
      </c>
      <c r="O4" s="411">
        <v>1</v>
      </c>
      <c r="P4" s="411">
        <v>1</v>
      </c>
      <c r="Q4" s="411">
        <v>1</v>
      </c>
      <c r="R4" s="411">
        <v>1</v>
      </c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1"/>
      <c r="AN4" s="411"/>
      <c r="AO4" s="411"/>
      <c r="AP4" s="411"/>
      <c r="AQ4" s="411"/>
      <c r="AR4" s="411"/>
      <c r="AS4" s="411"/>
      <c r="AT4" s="411"/>
      <c r="AU4" s="411"/>
      <c r="AV4" s="411"/>
      <c r="AW4" s="411"/>
      <c r="AX4" s="411"/>
      <c r="AY4" s="411"/>
      <c r="AZ4" s="411"/>
      <c r="BA4" s="411"/>
      <c r="BB4" s="411"/>
      <c r="BC4" s="411"/>
      <c r="BD4" s="411"/>
      <c r="BE4" s="411"/>
      <c r="BF4" s="411"/>
      <c r="BG4" s="411"/>
      <c r="BH4" s="411"/>
      <c r="BI4" s="411"/>
      <c r="BJ4" s="411"/>
      <c r="BK4" s="411"/>
      <c r="BL4" s="411"/>
      <c r="BM4" s="411"/>
      <c r="BN4" s="411"/>
      <c r="BO4" s="411"/>
      <c r="BP4" s="411"/>
      <c r="BQ4" s="411"/>
      <c r="BR4" s="411"/>
      <c r="BS4" s="411"/>
      <c r="BT4" s="411"/>
      <c r="BU4" s="411"/>
      <c r="BV4" s="411"/>
      <c r="BW4" s="411"/>
      <c r="BX4" s="411"/>
      <c r="BY4" s="411"/>
      <c r="BZ4" s="411"/>
      <c r="CA4" s="411"/>
      <c r="CB4" s="411"/>
      <c r="CC4" s="411"/>
      <c r="CD4" s="411"/>
      <c r="CE4" s="411"/>
      <c r="CF4" s="411"/>
      <c r="CG4" s="411"/>
      <c r="CH4" s="411"/>
      <c r="CI4" s="411"/>
      <c r="CJ4" s="411"/>
      <c r="CK4" s="411"/>
      <c r="CL4" s="411"/>
      <c r="CM4" s="411"/>
      <c r="CN4" s="411"/>
      <c r="CO4" s="411"/>
      <c r="CP4" s="411"/>
      <c r="CQ4" s="411"/>
      <c r="CR4" s="411"/>
      <c r="CS4" s="411"/>
      <c r="CT4" s="411"/>
      <c r="CU4" s="411"/>
      <c r="CV4" s="411"/>
      <c r="CW4" s="411"/>
      <c r="CX4" s="411"/>
      <c r="CY4" s="411"/>
      <c r="CZ4" s="411"/>
      <c r="DA4" s="411"/>
      <c r="DB4" s="411"/>
      <c r="DC4" s="411"/>
      <c r="DD4" s="411"/>
      <c r="DE4" s="411"/>
      <c r="DF4" s="411"/>
      <c r="DG4" s="411"/>
      <c r="DH4" s="411"/>
      <c r="DI4" s="411"/>
      <c r="DJ4" s="411"/>
      <c r="DK4" s="411"/>
      <c r="DL4" s="411"/>
      <c r="DM4" s="411"/>
      <c r="DN4" s="411"/>
      <c r="DO4" s="411"/>
      <c r="DP4" s="411"/>
      <c r="DQ4" s="411"/>
      <c r="DR4" s="411"/>
      <c r="DS4" s="411"/>
      <c r="DT4" s="411"/>
      <c r="DU4" s="411"/>
      <c r="DV4" s="411"/>
      <c r="DW4" s="411"/>
      <c r="DX4" s="411"/>
      <c r="DY4" s="411"/>
      <c r="DZ4" s="411"/>
      <c r="EA4" s="411"/>
      <c r="EB4" s="411"/>
      <c r="EC4" s="411"/>
      <c r="ED4" s="411"/>
      <c r="EE4" s="411"/>
      <c r="EF4" s="411"/>
      <c r="EG4" s="411"/>
      <c r="EH4" s="411"/>
      <c r="EI4" s="411"/>
      <c r="EJ4" s="411"/>
      <c r="EK4" s="411"/>
      <c r="EL4" s="411"/>
      <c r="EM4" s="411"/>
      <c r="EN4" s="411"/>
      <c r="EO4" s="411"/>
      <c r="EP4" s="411"/>
      <c r="EQ4" s="411"/>
      <c r="ER4" s="411"/>
      <c r="ES4" s="411"/>
      <c r="ET4" s="411"/>
      <c r="EU4" s="411"/>
      <c r="EV4" s="411"/>
      <c r="EW4" s="411"/>
      <c r="EX4" s="411"/>
      <c r="EY4" s="411"/>
      <c r="EZ4" s="411"/>
      <c r="FA4" s="411"/>
      <c r="FB4" s="411"/>
      <c r="FC4" s="411"/>
      <c r="FD4" s="411"/>
      <c r="FE4" s="411"/>
      <c r="FF4" s="411"/>
      <c r="FG4" s="411"/>
      <c r="FH4" s="411"/>
      <c r="FI4" s="411"/>
      <c r="FJ4" s="411"/>
      <c r="FK4" s="411"/>
      <c r="FL4" s="411"/>
      <c r="FM4" s="411"/>
      <c r="FN4" s="411"/>
      <c r="FO4" s="411"/>
      <c r="FP4" s="411"/>
      <c r="FQ4" s="411"/>
      <c r="FR4" s="411"/>
      <c r="FS4" s="411"/>
      <c r="FT4" s="411"/>
      <c r="FU4" s="411"/>
      <c r="FV4" s="411"/>
      <c r="FW4" s="411"/>
      <c r="FX4" s="411"/>
      <c r="FY4" s="411"/>
      <c r="FZ4" s="411"/>
      <c r="GA4" s="411"/>
      <c r="GB4" s="411"/>
      <c r="GC4" s="411"/>
      <c r="GD4" s="411"/>
      <c r="GE4" s="411"/>
      <c r="GF4" s="411"/>
      <c r="GG4" s="411"/>
      <c r="GH4" s="411"/>
      <c r="GI4" s="411"/>
      <c r="GJ4" s="411"/>
      <c r="GK4" s="411"/>
      <c r="GL4" s="411"/>
      <c r="GM4" s="411"/>
      <c r="GN4" s="411"/>
      <c r="GO4" s="411"/>
      <c r="GP4" s="411"/>
      <c r="GQ4" s="411"/>
      <c r="GR4" s="411"/>
      <c r="GS4" s="411"/>
      <c r="GT4" s="411"/>
      <c r="GU4" s="411"/>
      <c r="GV4" s="411"/>
      <c r="GW4" s="411"/>
      <c r="GX4" s="411"/>
      <c r="GY4" s="411"/>
      <c r="GZ4" s="411"/>
      <c r="HA4" s="411"/>
      <c r="HB4" s="411"/>
      <c r="HC4" s="411"/>
      <c r="HD4" s="411"/>
      <c r="HE4" s="411"/>
      <c r="HF4" s="411"/>
      <c r="HG4" s="411"/>
      <c r="HH4" s="411"/>
      <c r="HI4" s="411"/>
      <c r="HJ4" s="411"/>
      <c r="HK4" s="411"/>
      <c r="HL4" s="411"/>
      <c r="HM4" s="411"/>
      <c r="HN4" s="411"/>
      <c r="HO4" s="411"/>
      <c r="HP4" s="411"/>
      <c r="HQ4" s="411"/>
      <c r="HR4" s="411"/>
      <c r="HS4" s="411"/>
      <c r="HT4" s="411"/>
      <c r="HU4" s="411"/>
      <c r="HV4" s="411"/>
      <c r="HW4" s="411"/>
      <c r="HX4" s="276">
        <v>45930</v>
      </c>
      <c r="HY4" s="271" t="s">
        <v>394</v>
      </c>
      <c r="HZ4" s="270" t="s">
        <v>392</v>
      </c>
      <c r="IA4" s="29" t="s">
        <v>61</v>
      </c>
      <c r="IB4" s="29"/>
    </row>
    <row r="5" spans="1:237" ht="16.5">
      <c r="A5" s="37">
        <v>45923</v>
      </c>
      <c r="B5" s="29" t="s">
        <v>294</v>
      </c>
      <c r="C5" s="288" t="s">
        <v>93</v>
      </c>
      <c r="D5" s="413" t="s">
        <v>274</v>
      </c>
      <c r="E5" s="217" t="s">
        <v>395</v>
      </c>
      <c r="F5" s="29" t="s">
        <v>511</v>
      </c>
      <c r="G5" s="221">
        <v>0</v>
      </c>
      <c r="H5" s="227">
        <v>1</v>
      </c>
      <c r="I5" s="227"/>
      <c r="J5" s="227"/>
      <c r="K5" s="224">
        <f t="shared" si="0"/>
        <v>7</v>
      </c>
      <c r="L5" s="387">
        <v>1</v>
      </c>
      <c r="M5" s="387">
        <v>1</v>
      </c>
      <c r="N5" s="387">
        <v>1</v>
      </c>
      <c r="O5" s="387">
        <v>1</v>
      </c>
      <c r="P5" s="387">
        <v>1</v>
      </c>
      <c r="Q5" s="387">
        <v>1</v>
      </c>
      <c r="R5" s="387">
        <v>1</v>
      </c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  <c r="AK5" s="387"/>
      <c r="AL5" s="387"/>
      <c r="AM5" s="387"/>
      <c r="AN5" s="387"/>
      <c r="AO5" s="387"/>
      <c r="AP5" s="387"/>
      <c r="AQ5" s="387"/>
      <c r="AR5" s="387"/>
      <c r="AS5" s="387"/>
      <c r="AT5" s="387"/>
      <c r="AU5" s="387"/>
      <c r="AV5" s="387"/>
      <c r="AW5" s="387"/>
      <c r="AX5" s="387"/>
      <c r="AY5" s="387"/>
      <c r="AZ5" s="387"/>
      <c r="BA5" s="387"/>
      <c r="BB5" s="387"/>
      <c r="BC5" s="387"/>
      <c r="BD5" s="387"/>
      <c r="BE5" s="387"/>
      <c r="BF5" s="387"/>
      <c r="BG5" s="387"/>
      <c r="BH5" s="387"/>
      <c r="BI5" s="387"/>
      <c r="BJ5" s="387"/>
      <c r="BK5" s="387"/>
      <c r="BL5" s="387"/>
      <c r="BM5" s="387"/>
      <c r="BN5" s="387"/>
      <c r="BO5" s="387"/>
      <c r="BP5" s="387"/>
      <c r="BQ5" s="387"/>
      <c r="BR5" s="387"/>
      <c r="BS5" s="387"/>
      <c r="BT5" s="387"/>
      <c r="BU5" s="387"/>
      <c r="BV5" s="387"/>
      <c r="BW5" s="387"/>
      <c r="BX5" s="387"/>
      <c r="BY5" s="387"/>
      <c r="BZ5" s="387"/>
      <c r="CA5" s="387"/>
      <c r="CB5" s="387"/>
      <c r="CC5" s="387"/>
      <c r="CD5" s="387"/>
      <c r="CE5" s="387"/>
      <c r="CF5" s="387"/>
      <c r="CG5" s="387"/>
      <c r="CH5" s="387"/>
      <c r="CI5" s="387"/>
      <c r="CJ5" s="387"/>
      <c r="CK5" s="387"/>
      <c r="CL5" s="387"/>
      <c r="CM5" s="387"/>
      <c r="CN5" s="387"/>
      <c r="CO5" s="387"/>
      <c r="CP5" s="387"/>
      <c r="CQ5" s="387"/>
      <c r="CR5" s="387"/>
      <c r="CS5" s="387"/>
      <c r="CT5" s="387"/>
      <c r="CU5" s="387"/>
      <c r="CV5" s="387"/>
      <c r="CW5" s="387"/>
      <c r="CX5" s="387"/>
      <c r="CY5" s="387"/>
      <c r="CZ5" s="387"/>
      <c r="DA5" s="387"/>
      <c r="DB5" s="387"/>
      <c r="DC5" s="387"/>
      <c r="DD5" s="387"/>
      <c r="DE5" s="387"/>
      <c r="DF5" s="387"/>
      <c r="DG5" s="387"/>
      <c r="DH5" s="387"/>
      <c r="DI5" s="387"/>
      <c r="DJ5" s="387"/>
      <c r="DK5" s="387"/>
      <c r="DL5" s="387"/>
      <c r="DM5" s="387"/>
      <c r="DN5" s="387"/>
      <c r="DO5" s="387"/>
      <c r="DP5" s="387"/>
      <c r="DQ5" s="387"/>
      <c r="DR5" s="387"/>
      <c r="DS5" s="387"/>
      <c r="DT5" s="387"/>
      <c r="DU5" s="387"/>
      <c r="DV5" s="387"/>
      <c r="DW5" s="387"/>
      <c r="DX5" s="387"/>
      <c r="DY5" s="387"/>
      <c r="DZ5" s="387"/>
      <c r="EA5" s="387"/>
      <c r="EB5" s="387"/>
      <c r="EC5" s="387"/>
      <c r="ED5" s="387"/>
      <c r="EE5" s="387"/>
      <c r="EF5" s="387"/>
      <c r="EG5" s="387"/>
      <c r="EH5" s="387"/>
      <c r="EI5" s="387"/>
      <c r="EJ5" s="387"/>
      <c r="EK5" s="387"/>
      <c r="EL5" s="387"/>
      <c r="EM5" s="387"/>
      <c r="EN5" s="387"/>
      <c r="EO5" s="387"/>
      <c r="EP5" s="387"/>
      <c r="EQ5" s="387"/>
      <c r="ER5" s="387"/>
      <c r="ES5" s="387"/>
      <c r="ET5" s="387"/>
      <c r="EU5" s="387"/>
      <c r="EV5" s="387"/>
      <c r="EW5" s="387"/>
      <c r="EX5" s="387"/>
      <c r="EY5" s="387"/>
      <c r="EZ5" s="387"/>
      <c r="FA5" s="387"/>
      <c r="FB5" s="387"/>
      <c r="FC5" s="387"/>
      <c r="FD5" s="387"/>
      <c r="FE5" s="387"/>
      <c r="FF5" s="387"/>
      <c r="FG5" s="387"/>
      <c r="FH5" s="387"/>
      <c r="FI5" s="387"/>
      <c r="FJ5" s="387"/>
      <c r="FK5" s="387"/>
      <c r="FL5" s="387"/>
      <c r="FM5" s="387"/>
      <c r="FN5" s="387"/>
      <c r="FO5" s="387"/>
      <c r="FP5" s="387"/>
      <c r="FQ5" s="387"/>
      <c r="FR5" s="387"/>
      <c r="FS5" s="387"/>
      <c r="FT5" s="387"/>
      <c r="FU5" s="387"/>
      <c r="FV5" s="387"/>
      <c r="FW5" s="387"/>
      <c r="FX5" s="387"/>
      <c r="FY5" s="387"/>
      <c r="FZ5" s="387"/>
      <c r="GA5" s="387"/>
      <c r="GB5" s="387"/>
      <c r="GC5" s="387"/>
      <c r="GD5" s="387"/>
      <c r="GE5" s="387"/>
      <c r="GF5" s="387"/>
      <c r="GG5" s="387"/>
      <c r="GH5" s="387"/>
      <c r="GI5" s="387"/>
      <c r="GJ5" s="387"/>
      <c r="GK5" s="387"/>
      <c r="GL5" s="387"/>
      <c r="GM5" s="387"/>
      <c r="GN5" s="387"/>
      <c r="GO5" s="387"/>
      <c r="GP5" s="387"/>
      <c r="GQ5" s="387"/>
      <c r="GR5" s="387"/>
      <c r="GS5" s="387"/>
      <c r="GT5" s="387"/>
      <c r="GU5" s="387"/>
      <c r="GV5" s="387"/>
      <c r="GW5" s="387"/>
      <c r="GX5" s="387"/>
      <c r="GY5" s="387"/>
      <c r="GZ5" s="387"/>
      <c r="HA5" s="387"/>
      <c r="HB5" s="387"/>
      <c r="HC5" s="387"/>
      <c r="HD5" s="387"/>
      <c r="HE5" s="387"/>
      <c r="HF5" s="387"/>
      <c r="HG5" s="387"/>
      <c r="HH5" s="387"/>
      <c r="HI5" s="387"/>
      <c r="HJ5" s="387"/>
      <c r="HK5" s="387"/>
      <c r="HL5" s="387"/>
      <c r="HM5" s="387"/>
      <c r="HN5" s="387"/>
      <c r="HO5" s="387"/>
      <c r="HP5" s="387"/>
      <c r="HQ5" s="387"/>
      <c r="HR5" s="387"/>
      <c r="HS5" s="387"/>
      <c r="HT5" s="387"/>
      <c r="HU5" s="387"/>
      <c r="HV5" s="387"/>
      <c r="HW5" s="387"/>
      <c r="HX5" s="277">
        <v>45930</v>
      </c>
      <c r="HY5" s="271" t="s">
        <v>394</v>
      </c>
      <c r="HZ5" s="270" t="s">
        <v>392</v>
      </c>
      <c r="IA5" s="29" t="s">
        <v>61</v>
      </c>
      <c r="IB5" s="29"/>
    </row>
    <row r="6" spans="1:237" ht="16.5">
      <c r="A6" s="232">
        <v>45926</v>
      </c>
      <c r="B6" s="29" t="s">
        <v>294</v>
      </c>
      <c r="C6" s="192" t="s">
        <v>96</v>
      </c>
      <c r="D6" s="412" t="s">
        <v>276</v>
      </c>
      <c r="E6" s="30" t="s">
        <v>396</v>
      </c>
      <c r="F6" s="29" t="s">
        <v>511</v>
      </c>
      <c r="G6" s="29">
        <v>0</v>
      </c>
      <c r="H6" s="224">
        <v>1</v>
      </c>
      <c r="I6" s="224"/>
      <c r="J6" s="224"/>
      <c r="K6" s="224">
        <f t="shared" si="0"/>
        <v>7</v>
      </c>
      <c r="L6" s="387">
        <v>1</v>
      </c>
      <c r="M6" s="387">
        <v>1</v>
      </c>
      <c r="N6" s="387">
        <v>1</v>
      </c>
      <c r="O6" s="387">
        <v>1</v>
      </c>
      <c r="P6" s="387">
        <v>1</v>
      </c>
      <c r="Q6" s="387">
        <v>1</v>
      </c>
      <c r="R6" s="387">
        <v>1</v>
      </c>
      <c r="S6" s="411"/>
      <c r="T6" s="411"/>
      <c r="U6" s="411"/>
      <c r="V6" s="411"/>
      <c r="W6" s="411"/>
      <c r="X6" s="411"/>
      <c r="Y6" s="411"/>
      <c r="Z6" s="411"/>
      <c r="AA6" s="411"/>
      <c r="AB6" s="411"/>
      <c r="AC6" s="411"/>
      <c r="AD6" s="411"/>
      <c r="AE6" s="411"/>
      <c r="AF6" s="411"/>
      <c r="AG6" s="411"/>
      <c r="AH6" s="411"/>
      <c r="AI6" s="411"/>
      <c r="AJ6" s="411"/>
      <c r="AK6" s="411"/>
      <c r="AL6" s="411"/>
      <c r="AM6" s="411"/>
      <c r="AN6" s="411"/>
      <c r="AO6" s="411"/>
      <c r="AP6" s="411"/>
      <c r="AQ6" s="411"/>
      <c r="AR6" s="411"/>
      <c r="AS6" s="411"/>
      <c r="AT6" s="411"/>
      <c r="AU6" s="411"/>
      <c r="AV6" s="411"/>
      <c r="AW6" s="411"/>
      <c r="AX6" s="411"/>
      <c r="AY6" s="411"/>
      <c r="AZ6" s="411"/>
      <c r="BA6" s="411"/>
      <c r="BB6" s="411"/>
      <c r="BC6" s="411"/>
      <c r="BD6" s="411"/>
      <c r="BE6" s="411"/>
      <c r="BF6" s="411"/>
      <c r="BG6" s="411"/>
      <c r="BH6" s="411"/>
      <c r="BI6" s="411"/>
      <c r="BJ6" s="411"/>
      <c r="BK6" s="411"/>
      <c r="BL6" s="411"/>
      <c r="BM6" s="411"/>
      <c r="BN6" s="411"/>
      <c r="BO6" s="411"/>
      <c r="BP6" s="411"/>
      <c r="BQ6" s="411"/>
      <c r="BR6" s="411"/>
      <c r="BS6" s="411"/>
      <c r="BT6" s="411"/>
      <c r="BU6" s="411"/>
      <c r="BV6" s="411"/>
      <c r="BW6" s="411"/>
      <c r="BX6" s="411"/>
      <c r="BY6" s="411"/>
      <c r="BZ6" s="411"/>
      <c r="CA6" s="411"/>
      <c r="CB6" s="411"/>
      <c r="CC6" s="411"/>
      <c r="CD6" s="411"/>
      <c r="CE6" s="411"/>
      <c r="CF6" s="411"/>
      <c r="CG6" s="411"/>
      <c r="CH6" s="411"/>
      <c r="CI6" s="411"/>
      <c r="CJ6" s="411"/>
      <c r="CK6" s="411"/>
      <c r="CL6" s="411"/>
      <c r="CM6" s="411"/>
      <c r="CN6" s="411"/>
      <c r="CO6" s="411"/>
      <c r="CP6" s="411"/>
      <c r="CQ6" s="411"/>
      <c r="CR6" s="411"/>
      <c r="CS6" s="411"/>
      <c r="CT6" s="411"/>
      <c r="CU6" s="411"/>
      <c r="CV6" s="411"/>
      <c r="CW6" s="411"/>
      <c r="CX6" s="411"/>
      <c r="CY6" s="411"/>
      <c r="CZ6" s="411"/>
      <c r="DA6" s="411"/>
      <c r="DB6" s="411"/>
      <c r="DC6" s="411"/>
      <c r="DD6" s="411"/>
      <c r="DE6" s="411"/>
      <c r="DF6" s="411"/>
      <c r="DG6" s="411"/>
      <c r="DH6" s="411"/>
      <c r="DI6" s="411"/>
      <c r="DJ6" s="411"/>
      <c r="DK6" s="411"/>
      <c r="DL6" s="411"/>
      <c r="DM6" s="411"/>
      <c r="DN6" s="411"/>
      <c r="DO6" s="411"/>
      <c r="DP6" s="411"/>
      <c r="DQ6" s="411"/>
      <c r="DR6" s="411"/>
      <c r="DS6" s="411"/>
      <c r="DT6" s="411"/>
      <c r="DU6" s="411"/>
      <c r="DV6" s="411"/>
      <c r="DW6" s="411"/>
      <c r="DX6" s="411"/>
      <c r="DY6" s="411"/>
      <c r="DZ6" s="411"/>
      <c r="EA6" s="411"/>
      <c r="EB6" s="411"/>
      <c r="EC6" s="411"/>
      <c r="ED6" s="411"/>
      <c r="EE6" s="411"/>
      <c r="EF6" s="411"/>
      <c r="EG6" s="411"/>
      <c r="EH6" s="411"/>
      <c r="EI6" s="411"/>
      <c r="EJ6" s="411"/>
      <c r="EK6" s="411"/>
      <c r="EL6" s="411"/>
      <c r="EM6" s="411"/>
      <c r="EN6" s="411"/>
      <c r="EO6" s="411"/>
      <c r="EP6" s="411"/>
      <c r="EQ6" s="411"/>
      <c r="ER6" s="411"/>
      <c r="ES6" s="411"/>
      <c r="ET6" s="411"/>
      <c r="EU6" s="411"/>
      <c r="EV6" s="411"/>
      <c r="EW6" s="411"/>
      <c r="EX6" s="411"/>
      <c r="EY6" s="411"/>
      <c r="EZ6" s="411"/>
      <c r="FA6" s="411"/>
      <c r="FB6" s="411"/>
      <c r="FC6" s="411"/>
      <c r="FD6" s="411"/>
      <c r="FE6" s="411"/>
      <c r="FF6" s="411"/>
      <c r="FG6" s="411"/>
      <c r="FH6" s="411"/>
      <c r="FI6" s="411"/>
      <c r="FJ6" s="411"/>
      <c r="FK6" s="411"/>
      <c r="FL6" s="411"/>
      <c r="FM6" s="411"/>
      <c r="FN6" s="411"/>
      <c r="FO6" s="411"/>
      <c r="FP6" s="411"/>
      <c r="FQ6" s="411"/>
      <c r="FR6" s="411"/>
      <c r="FS6" s="411"/>
      <c r="FT6" s="411"/>
      <c r="FU6" s="411"/>
      <c r="FV6" s="411"/>
      <c r="FW6" s="411"/>
      <c r="FX6" s="411"/>
      <c r="FY6" s="411"/>
      <c r="FZ6" s="411"/>
      <c r="GA6" s="411"/>
      <c r="GB6" s="411"/>
      <c r="GC6" s="411"/>
      <c r="GD6" s="411"/>
      <c r="GE6" s="411"/>
      <c r="GF6" s="411"/>
      <c r="GG6" s="411"/>
      <c r="GH6" s="411"/>
      <c r="GI6" s="411"/>
      <c r="GJ6" s="411"/>
      <c r="GK6" s="411"/>
      <c r="GL6" s="411"/>
      <c r="GM6" s="411"/>
      <c r="GN6" s="411"/>
      <c r="GO6" s="411"/>
      <c r="GP6" s="411"/>
      <c r="GQ6" s="411"/>
      <c r="GR6" s="411"/>
      <c r="GS6" s="411"/>
      <c r="GT6" s="411"/>
      <c r="GU6" s="411"/>
      <c r="GV6" s="411"/>
      <c r="GW6" s="411"/>
      <c r="GX6" s="411"/>
      <c r="GY6" s="411"/>
      <c r="GZ6" s="411"/>
      <c r="HA6" s="411"/>
      <c r="HB6" s="411"/>
      <c r="HC6" s="411"/>
      <c r="HD6" s="411"/>
      <c r="HE6" s="411"/>
      <c r="HF6" s="411"/>
      <c r="HG6" s="411"/>
      <c r="HH6" s="411"/>
      <c r="HI6" s="411"/>
      <c r="HJ6" s="411"/>
      <c r="HK6" s="411"/>
      <c r="HL6" s="411"/>
      <c r="HM6" s="411"/>
      <c r="HN6" s="411"/>
      <c r="HO6" s="411"/>
      <c r="HP6" s="411"/>
      <c r="HQ6" s="411"/>
      <c r="HR6" s="411"/>
      <c r="HS6" s="411"/>
      <c r="HT6" s="411"/>
      <c r="HU6" s="411"/>
      <c r="HV6" s="411"/>
      <c r="HW6" s="411"/>
      <c r="HX6" s="276">
        <v>45930</v>
      </c>
      <c r="HY6" s="271" t="s">
        <v>394</v>
      </c>
      <c r="HZ6" s="270" t="s">
        <v>392</v>
      </c>
      <c r="IA6" s="29" t="s">
        <v>61</v>
      </c>
      <c r="IB6" s="29"/>
    </row>
    <row r="7" spans="1:237">
      <c r="A7" s="232">
        <v>45926</v>
      </c>
      <c r="B7" s="29" t="s">
        <v>294</v>
      </c>
      <c r="C7" s="192" t="s">
        <v>96</v>
      </c>
      <c r="D7" s="412" t="s">
        <v>276</v>
      </c>
      <c r="E7" s="431" t="s">
        <v>397</v>
      </c>
      <c r="F7" s="29" t="s">
        <v>398</v>
      </c>
      <c r="G7" s="224">
        <v>1</v>
      </c>
      <c r="H7" s="29">
        <v>0</v>
      </c>
      <c r="I7" s="470" t="s">
        <v>696</v>
      </c>
      <c r="J7" s="472" t="b">
        <v>0</v>
      </c>
      <c r="K7" s="224">
        <f>SUM(L7:HE7)</f>
        <v>201</v>
      </c>
      <c r="L7" s="386">
        <v>1</v>
      </c>
      <c r="M7" s="386">
        <v>1</v>
      </c>
      <c r="N7" s="386">
        <v>1</v>
      </c>
      <c r="O7" s="386">
        <v>1</v>
      </c>
      <c r="P7" s="386">
        <v>1</v>
      </c>
      <c r="Q7" s="386">
        <v>1</v>
      </c>
      <c r="R7" s="386">
        <v>1</v>
      </c>
      <c r="S7" s="386">
        <v>1</v>
      </c>
      <c r="T7" s="386">
        <v>1</v>
      </c>
      <c r="U7" s="386">
        <v>1</v>
      </c>
      <c r="V7" s="386">
        <v>1</v>
      </c>
      <c r="W7" s="386">
        <v>1</v>
      </c>
      <c r="X7" s="386">
        <v>1</v>
      </c>
      <c r="Y7" s="386">
        <v>1</v>
      </c>
      <c r="Z7" s="386">
        <v>1</v>
      </c>
      <c r="AA7" s="386">
        <v>1</v>
      </c>
      <c r="AB7" s="386">
        <v>1</v>
      </c>
      <c r="AC7" s="386">
        <v>1</v>
      </c>
      <c r="AD7" s="386">
        <v>1</v>
      </c>
      <c r="AE7" s="386">
        <v>1</v>
      </c>
      <c r="AF7" s="386">
        <v>1</v>
      </c>
      <c r="AG7" s="386">
        <v>1</v>
      </c>
      <c r="AH7" s="386">
        <v>1</v>
      </c>
      <c r="AI7" s="386">
        <v>1</v>
      </c>
      <c r="AJ7" s="386">
        <v>1</v>
      </c>
      <c r="AK7" s="386">
        <v>1</v>
      </c>
      <c r="AL7" s="386">
        <v>1</v>
      </c>
      <c r="AM7" s="386">
        <v>1</v>
      </c>
      <c r="AN7" s="386">
        <v>1</v>
      </c>
      <c r="AO7" s="386">
        <v>1</v>
      </c>
      <c r="AP7" s="386">
        <v>1</v>
      </c>
      <c r="AQ7" s="386">
        <v>1</v>
      </c>
      <c r="AR7" s="386">
        <v>1</v>
      </c>
      <c r="AS7" s="386">
        <v>1</v>
      </c>
      <c r="AT7" s="386">
        <v>1</v>
      </c>
      <c r="AU7" s="386">
        <v>1</v>
      </c>
      <c r="AV7" s="386">
        <v>1</v>
      </c>
      <c r="AW7" s="386">
        <v>1</v>
      </c>
      <c r="AX7" s="386">
        <v>1</v>
      </c>
      <c r="AY7" s="386">
        <v>1</v>
      </c>
      <c r="AZ7" s="386">
        <v>1</v>
      </c>
      <c r="BA7" s="386">
        <v>1</v>
      </c>
      <c r="BB7" s="386">
        <v>1</v>
      </c>
      <c r="BC7" s="386">
        <v>1</v>
      </c>
      <c r="BD7" s="386">
        <v>1</v>
      </c>
      <c r="BE7" s="386">
        <v>1</v>
      </c>
      <c r="BF7" s="13">
        <v>1</v>
      </c>
      <c r="BG7" s="386">
        <v>1</v>
      </c>
      <c r="BH7" s="386">
        <v>1</v>
      </c>
      <c r="BI7" s="386">
        <v>1</v>
      </c>
      <c r="BJ7" s="386">
        <v>1</v>
      </c>
      <c r="BK7" s="386">
        <v>1</v>
      </c>
      <c r="BL7" s="386">
        <v>1</v>
      </c>
      <c r="BM7" s="386">
        <v>1</v>
      </c>
      <c r="BN7" s="386">
        <v>1</v>
      </c>
      <c r="BO7" s="386">
        <v>1</v>
      </c>
      <c r="BP7" s="386">
        <v>1</v>
      </c>
      <c r="BQ7" s="386">
        <v>1</v>
      </c>
      <c r="BR7" s="386">
        <v>1</v>
      </c>
      <c r="BS7" s="386">
        <v>1</v>
      </c>
      <c r="BT7" s="386">
        <v>1</v>
      </c>
      <c r="BU7" s="386">
        <v>1</v>
      </c>
      <c r="BV7" s="386">
        <v>1</v>
      </c>
      <c r="BW7" s="386">
        <v>1</v>
      </c>
      <c r="BX7" s="386">
        <v>1</v>
      </c>
      <c r="BY7" s="386">
        <v>1</v>
      </c>
      <c r="BZ7" s="386">
        <v>1</v>
      </c>
      <c r="CA7" s="386">
        <v>1</v>
      </c>
      <c r="CB7" s="386">
        <v>1</v>
      </c>
      <c r="CC7" s="386">
        <v>1</v>
      </c>
      <c r="CD7" s="386">
        <v>1</v>
      </c>
      <c r="CE7" s="386">
        <v>1</v>
      </c>
      <c r="CF7" s="386">
        <v>1</v>
      </c>
      <c r="CG7" s="386">
        <v>1</v>
      </c>
      <c r="CH7" s="386">
        <v>1</v>
      </c>
      <c r="CI7" s="386">
        <v>1</v>
      </c>
      <c r="CJ7" s="386">
        <v>1</v>
      </c>
      <c r="CK7" s="386">
        <v>1</v>
      </c>
      <c r="CL7" s="386">
        <v>1</v>
      </c>
      <c r="CM7" s="386">
        <v>1</v>
      </c>
      <c r="CN7" s="386">
        <v>1</v>
      </c>
      <c r="CO7" s="386">
        <v>1</v>
      </c>
      <c r="CP7" s="386">
        <v>1</v>
      </c>
      <c r="CQ7" s="386">
        <v>1</v>
      </c>
      <c r="CR7" s="386">
        <v>1</v>
      </c>
      <c r="CS7" s="386">
        <v>1</v>
      </c>
      <c r="CT7" s="386">
        <v>1</v>
      </c>
      <c r="CU7" s="386">
        <v>1</v>
      </c>
      <c r="CV7" s="386">
        <v>1</v>
      </c>
      <c r="CW7" s="386">
        <v>1</v>
      </c>
      <c r="CX7" s="386">
        <v>1</v>
      </c>
      <c r="CY7" s="386">
        <v>1</v>
      </c>
      <c r="CZ7" s="386">
        <v>1</v>
      </c>
      <c r="DA7" s="386">
        <v>1</v>
      </c>
      <c r="DB7" s="386">
        <v>1</v>
      </c>
      <c r="DC7" s="386">
        <v>1</v>
      </c>
      <c r="DD7" s="386">
        <v>1</v>
      </c>
      <c r="DE7" s="386">
        <v>1</v>
      </c>
      <c r="DF7" s="386">
        <v>1</v>
      </c>
      <c r="DG7" s="386">
        <v>1</v>
      </c>
      <c r="DH7" s="386">
        <v>1</v>
      </c>
      <c r="DI7" s="386">
        <v>1</v>
      </c>
      <c r="DJ7" s="386">
        <v>1</v>
      </c>
      <c r="DK7" s="386">
        <v>1</v>
      </c>
      <c r="DL7" s="386">
        <v>1</v>
      </c>
      <c r="DM7" s="386">
        <v>1</v>
      </c>
      <c r="DN7" s="386">
        <v>1</v>
      </c>
      <c r="DO7" s="386">
        <v>1</v>
      </c>
      <c r="DP7" s="386">
        <v>1</v>
      </c>
      <c r="DQ7" s="386">
        <v>1</v>
      </c>
      <c r="DR7" s="386">
        <v>1</v>
      </c>
      <c r="DS7" s="386">
        <v>1</v>
      </c>
      <c r="DT7" s="386">
        <v>1</v>
      </c>
      <c r="DU7" s="386">
        <v>1</v>
      </c>
      <c r="DV7" s="386">
        <v>1</v>
      </c>
      <c r="DW7" s="386">
        <v>1</v>
      </c>
      <c r="DX7" s="386">
        <v>1</v>
      </c>
      <c r="DY7" s="386">
        <v>1</v>
      </c>
      <c r="DZ7" s="386">
        <v>1</v>
      </c>
      <c r="EA7" s="386">
        <v>1</v>
      </c>
      <c r="EB7" s="386">
        <v>1</v>
      </c>
      <c r="EC7" s="386">
        <v>1</v>
      </c>
      <c r="ED7" s="386">
        <v>1</v>
      </c>
      <c r="EE7" s="386">
        <v>1</v>
      </c>
      <c r="EF7" s="386">
        <v>1</v>
      </c>
      <c r="EG7" s="386">
        <v>1</v>
      </c>
      <c r="EH7" s="386">
        <v>1</v>
      </c>
      <c r="EI7" s="386">
        <v>1</v>
      </c>
      <c r="EJ7" s="386">
        <v>1</v>
      </c>
      <c r="EK7" s="386">
        <v>1</v>
      </c>
      <c r="EL7" s="386">
        <v>1</v>
      </c>
      <c r="EM7" s="386">
        <v>1</v>
      </c>
      <c r="EN7" s="386">
        <v>1</v>
      </c>
      <c r="EO7" s="386">
        <v>1</v>
      </c>
      <c r="EP7" s="386">
        <v>1</v>
      </c>
      <c r="EQ7" s="386">
        <v>1</v>
      </c>
      <c r="ER7" s="386">
        <v>1</v>
      </c>
      <c r="ES7" s="386">
        <v>1</v>
      </c>
      <c r="ET7" s="386">
        <v>1</v>
      </c>
      <c r="EU7" s="386">
        <v>1</v>
      </c>
      <c r="EV7" s="386">
        <v>1</v>
      </c>
      <c r="EW7" s="386">
        <v>1</v>
      </c>
      <c r="EX7" s="386">
        <v>1</v>
      </c>
      <c r="EY7" s="386">
        <v>1</v>
      </c>
      <c r="EZ7" s="386">
        <v>1</v>
      </c>
      <c r="FA7" s="386">
        <v>1</v>
      </c>
      <c r="FB7" s="386">
        <v>1</v>
      </c>
      <c r="FC7" s="386">
        <v>1</v>
      </c>
      <c r="FD7" s="386">
        <v>1</v>
      </c>
      <c r="FE7" s="386">
        <v>1</v>
      </c>
      <c r="FF7" s="386">
        <v>1</v>
      </c>
      <c r="FG7" s="386">
        <v>1</v>
      </c>
      <c r="FH7" s="386">
        <v>1</v>
      </c>
      <c r="FI7" s="386">
        <v>1</v>
      </c>
      <c r="FJ7" s="386">
        <v>1</v>
      </c>
      <c r="FK7" s="386">
        <v>1</v>
      </c>
      <c r="FL7" s="386">
        <v>1</v>
      </c>
      <c r="FM7" s="386">
        <v>1</v>
      </c>
      <c r="FN7" s="386">
        <v>1</v>
      </c>
      <c r="FO7" s="386">
        <v>1</v>
      </c>
      <c r="FP7" s="386">
        <v>1</v>
      </c>
      <c r="FQ7" s="386">
        <v>1</v>
      </c>
      <c r="FR7" s="386">
        <v>1</v>
      </c>
      <c r="FS7" s="386">
        <v>1</v>
      </c>
      <c r="FT7" s="386">
        <v>1</v>
      </c>
      <c r="FU7" s="386">
        <v>1</v>
      </c>
      <c r="FV7" s="386">
        <v>1</v>
      </c>
      <c r="FW7" s="386">
        <v>1</v>
      </c>
      <c r="FX7" s="386">
        <v>1</v>
      </c>
      <c r="FY7" s="386">
        <v>1</v>
      </c>
      <c r="FZ7" s="386">
        <v>1</v>
      </c>
      <c r="GA7" s="386">
        <v>1</v>
      </c>
      <c r="GB7" s="386">
        <v>1</v>
      </c>
      <c r="GC7" s="386">
        <v>1</v>
      </c>
      <c r="GD7" s="386">
        <v>1</v>
      </c>
      <c r="GE7" s="386">
        <v>1</v>
      </c>
      <c r="GF7" s="386">
        <v>1</v>
      </c>
      <c r="GG7" s="386">
        <v>1</v>
      </c>
      <c r="GH7" s="386">
        <v>1</v>
      </c>
      <c r="GI7" s="386">
        <v>1</v>
      </c>
      <c r="GJ7" s="386">
        <v>1</v>
      </c>
      <c r="GK7" s="386">
        <v>1</v>
      </c>
      <c r="GL7" s="386">
        <v>1</v>
      </c>
      <c r="GM7" s="386">
        <v>1</v>
      </c>
      <c r="GN7" s="386">
        <v>1</v>
      </c>
      <c r="GO7" s="386">
        <v>1</v>
      </c>
      <c r="GP7" s="386">
        <v>1</v>
      </c>
      <c r="GQ7" s="386">
        <v>1</v>
      </c>
      <c r="GR7" s="386">
        <v>1</v>
      </c>
      <c r="GS7" s="386">
        <v>1</v>
      </c>
      <c r="GT7" s="386">
        <v>1</v>
      </c>
      <c r="GU7" s="386">
        <v>1</v>
      </c>
      <c r="GV7" s="386">
        <v>1</v>
      </c>
      <c r="GW7" s="386">
        <v>1</v>
      </c>
      <c r="GX7" s="386">
        <v>1</v>
      </c>
      <c r="GY7" s="386">
        <v>1</v>
      </c>
      <c r="GZ7" s="386">
        <v>1</v>
      </c>
      <c r="HA7" s="386">
        <v>1</v>
      </c>
      <c r="HB7" s="386">
        <v>1</v>
      </c>
      <c r="HC7" s="386">
        <v>1</v>
      </c>
      <c r="HD7" s="386">
        <v>1</v>
      </c>
      <c r="HE7" s="386"/>
      <c r="HF7" s="386"/>
      <c r="HG7" s="386"/>
      <c r="HH7" s="386"/>
      <c r="HI7" s="386"/>
      <c r="HJ7" s="386"/>
      <c r="HK7" s="386"/>
      <c r="HL7" s="386"/>
      <c r="HM7" s="386"/>
      <c r="HN7" s="386"/>
      <c r="HO7" s="386"/>
      <c r="HP7" s="386"/>
      <c r="HQ7" s="386"/>
      <c r="HR7" s="386"/>
      <c r="HS7" s="386"/>
      <c r="HT7" s="386"/>
      <c r="HU7" s="386"/>
      <c r="HV7" s="386"/>
      <c r="HW7" s="386"/>
      <c r="HX7" s="338" t="s">
        <v>398</v>
      </c>
      <c r="HY7" s="344" t="s">
        <v>399</v>
      </c>
      <c r="HZ7" s="343" t="s">
        <v>400</v>
      </c>
      <c r="IA7" s="29">
        <v>1</v>
      </c>
      <c r="IB7" s="29"/>
    </row>
    <row r="8" spans="1:237" ht="16.5">
      <c r="A8" s="232">
        <v>45926</v>
      </c>
      <c r="B8" s="29" t="s">
        <v>294</v>
      </c>
      <c r="C8" s="192" t="s">
        <v>96</v>
      </c>
      <c r="D8" s="412" t="s">
        <v>276</v>
      </c>
      <c r="E8" s="30" t="s">
        <v>401</v>
      </c>
      <c r="F8" s="29" t="s">
        <v>511</v>
      </c>
      <c r="G8" s="29">
        <v>0</v>
      </c>
      <c r="H8" s="224">
        <v>1</v>
      </c>
      <c r="I8" s="224"/>
      <c r="J8" s="224"/>
      <c r="K8" s="224">
        <f t="shared" si="0"/>
        <v>4</v>
      </c>
      <c r="L8" s="411">
        <v>1</v>
      </c>
      <c r="M8" s="411">
        <v>1</v>
      </c>
      <c r="N8" s="411">
        <v>1</v>
      </c>
      <c r="O8" s="411">
        <v>1</v>
      </c>
      <c r="P8" s="411"/>
      <c r="Q8" s="411"/>
      <c r="R8" s="411"/>
      <c r="S8" s="411"/>
      <c r="T8" s="411"/>
      <c r="U8" s="411"/>
      <c r="V8" s="411"/>
      <c r="W8" s="411"/>
      <c r="X8" s="411"/>
      <c r="Y8" s="411"/>
      <c r="Z8" s="411"/>
      <c r="AA8" s="411"/>
      <c r="AB8" s="411"/>
      <c r="AC8" s="411"/>
      <c r="AD8" s="411"/>
      <c r="AE8" s="411"/>
      <c r="AF8" s="411"/>
      <c r="AG8" s="411"/>
      <c r="AH8" s="411"/>
      <c r="AI8" s="411"/>
      <c r="AJ8" s="411"/>
      <c r="AK8" s="411"/>
      <c r="AL8" s="411"/>
      <c r="AM8" s="411"/>
      <c r="AN8" s="411"/>
      <c r="AO8" s="411"/>
      <c r="AP8" s="411"/>
      <c r="AQ8" s="411"/>
      <c r="AR8" s="411"/>
      <c r="AS8" s="411"/>
      <c r="AT8" s="411"/>
      <c r="AU8" s="411"/>
      <c r="AV8" s="411"/>
      <c r="AW8" s="411"/>
      <c r="AX8" s="411"/>
      <c r="AY8" s="411"/>
      <c r="AZ8" s="411"/>
      <c r="BA8" s="411"/>
      <c r="BB8" s="411"/>
      <c r="BC8" s="411"/>
      <c r="BD8" s="411"/>
      <c r="BE8" s="411"/>
      <c r="BF8" s="386"/>
      <c r="BG8" s="411"/>
      <c r="BH8" s="411"/>
      <c r="BI8" s="411"/>
      <c r="BJ8" s="411"/>
      <c r="BK8" s="411"/>
      <c r="BL8" s="411"/>
      <c r="BM8" s="411"/>
      <c r="BN8" s="411"/>
      <c r="BO8" s="411"/>
      <c r="BP8" s="411"/>
      <c r="BQ8" s="411"/>
      <c r="BR8" s="411"/>
      <c r="BS8" s="411"/>
      <c r="BT8" s="411"/>
      <c r="BU8" s="411"/>
      <c r="BV8" s="411"/>
      <c r="BW8" s="411"/>
      <c r="BX8" s="411"/>
      <c r="BY8" s="411"/>
      <c r="BZ8" s="411"/>
      <c r="CA8" s="411"/>
      <c r="CB8" s="411"/>
      <c r="CC8" s="411"/>
      <c r="CD8" s="411"/>
      <c r="CE8" s="411"/>
      <c r="CF8" s="411"/>
      <c r="CG8" s="411"/>
      <c r="CH8" s="411"/>
      <c r="CI8" s="411"/>
      <c r="CJ8" s="411"/>
      <c r="CK8" s="411"/>
      <c r="CL8" s="411"/>
      <c r="CM8" s="411"/>
      <c r="CN8" s="411"/>
      <c r="CO8" s="411"/>
      <c r="CP8" s="411"/>
      <c r="CQ8" s="411"/>
      <c r="CR8" s="411"/>
      <c r="CS8" s="411"/>
      <c r="CT8" s="411"/>
      <c r="CU8" s="411"/>
      <c r="CV8" s="411"/>
      <c r="CW8" s="411"/>
      <c r="CX8" s="411"/>
      <c r="CY8" s="411"/>
      <c r="CZ8" s="411"/>
      <c r="DA8" s="411"/>
      <c r="DB8" s="411"/>
      <c r="DC8" s="411"/>
      <c r="DD8" s="411"/>
      <c r="DE8" s="411"/>
      <c r="DF8" s="411"/>
      <c r="DG8" s="411"/>
      <c r="DH8" s="411"/>
      <c r="DI8" s="411"/>
      <c r="DJ8" s="411"/>
      <c r="DK8" s="411"/>
      <c r="DL8" s="411"/>
      <c r="DM8" s="411"/>
      <c r="DN8" s="411"/>
      <c r="DO8" s="411"/>
      <c r="DP8" s="411"/>
      <c r="DQ8" s="411"/>
      <c r="DR8" s="411"/>
      <c r="DS8" s="411"/>
      <c r="DT8" s="411"/>
      <c r="DU8" s="411"/>
      <c r="DV8" s="411"/>
      <c r="DW8" s="411"/>
      <c r="DX8" s="411"/>
      <c r="DY8" s="411"/>
      <c r="DZ8" s="411"/>
      <c r="EA8" s="411"/>
      <c r="EB8" s="411"/>
      <c r="EC8" s="411"/>
      <c r="ED8" s="411"/>
      <c r="EE8" s="411"/>
      <c r="EF8" s="411"/>
      <c r="EG8" s="411"/>
      <c r="EH8" s="411"/>
      <c r="EI8" s="411"/>
      <c r="EJ8" s="411"/>
      <c r="EK8" s="411"/>
      <c r="EL8" s="411"/>
      <c r="EM8" s="411"/>
      <c r="EN8" s="411"/>
      <c r="EO8" s="411"/>
      <c r="EP8" s="411"/>
      <c r="EQ8" s="411"/>
      <c r="ER8" s="411"/>
      <c r="ES8" s="411"/>
      <c r="ET8" s="411"/>
      <c r="EU8" s="411"/>
      <c r="EV8" s="411"/>
      <c r="EW8" s="411"/>
      <c r="EX8" s="411"/>
      <c r="EY8" s="411"/>
      <c r="EZ8" s="411"/>
      <c r="FA8" s="411"/>
      <c r="FB8" s="411"/>
      <c r="FC8" s="411"/>
      <c r="FD8" s="411"/>
      <c r="FE8" s="411"/>
      <c r="FF8" s="411"/>
      <c r="FG8" s="411"/>
      <c r="FH8" s="411"/>
      <c r="FI8" s="411"/>
      <c r="FJ8" s="411"/>
      <c r="FK8" s="411"/>
      <c r="FL8" s="411"/>
      <c r="FM8" s="411"/>
      <c r="FN8" s="411"/>
      <c r="FO8" s="411"/>
      <c r="FP8" s="411"/>
      <c r="FQ8" s="411"/>
      <c r="FR8" s="411"/>
      <c r="FS8" s="411"/>
      <c r="FT8" s="411"/>
      <c r="FU8" s="411"/>
      <c r="FV8" s="411"/>
      <c r="FW8" s="411"/>
      <c r="FX8" s="411"/>
      <c r="FY8" s="411"/>
      <c r="FZ8" s="411"/>
      <c r="GA8" s="411"/>
      <c r="GB8" s="411"/>
      <c r="GC8" s="411"/>
      <c r="GD8" s="411"/>
      <c r="GE8" s="411"/>
      <c r="GF8" s="411"/>
      <c r="GG8" s="411"/>
      <c r="GH8" s="411"/>
      <c r="GI8" s="411"/>
      <c r="GJ8" s="411"/>
      <c r="GK8" s="411"/>
      <c r="GL8" s="411"/>
      <c r="GM8" s="411"/>
      <c r="GN8" s="411"/>
      <c r="GO8" s="411"/>
      <c r="GP8" s="411"/>
      <c r="GQ8" s="411"/>
      <c r="GR8" s="411"/>
      <c r="GS8" s="411"/>
      <c r="GT8" s="411"/>
      <c r="GU8" s="411"/>
      <c r="GV8" s="411"/>
      <c r="GW8" s="411"/>
      <c r="GX8" s="411"/>
      <c r="GY8" s="411"/>
      <c r="GZ8" s="411"/>
      <c r="HA8" s="411"/>
      <c r="HB8" s="411"/>
      <c r="HC8" s="411"/>
      <c r="HD8" s="411"/>
      <c r="HE8" s="411"/>
      <c r="HF8" s="411"/>
      <c r="HG8" s="411"/>
      <c r="HH8" s="411"/>
      <c r="HI8" s="411"/>
      <c r="HJ8" s="411"/>
      <c r="HK8" s="411"/>
      <c r="HL8" s="411"/>
      <c r="HM8" s="411"/>
      <c r="HN8" s="411"/>
      <c r="HO8" s="411"/>
      <c r="HP8" s="411"/>
      <c r="HQ8" s="411"/>
      <c r="HR8" s="411"/>
      <c r="HS8" s="411"/>
      <c r="HT8" s="411"/>
      <c r="HU8" s="411"/>
      <c r="HV8" s="411"/>
      <c r="HW8" s="411"/>
      <c r="HX8" s="276">
        <v>45930</v>
      </c>
      <c r="HY8" s="271" t="s">
        <v>402</v>
      </c>
      <c r="HZ8" s="270" t="s">
        <v>392</v>
      </c>
      <c r="IA8" s="29" t="s">
        <v>61</v>
      </c>
      <c r="IB8" s="29"/>
    </row>
    <row r="9" spans="1:237" ht="16.5">
      <c r="A9" s="232">
        <v>45932</v>
      </c>
      <c r="B9" s="29" t="s">
        <v>294</v>
      </c>
      <c r="C9" s="284" t="s">
        <v>110</v>
      </c>
      <c r="D9" s="413" t="s">
        <v>274</v>
      </c>
      <c r="E9" s="30" t="s">
        <v>208</v>
      </c>
      <c r="F9" s="29" t="s">
        <v>511</v>
      </c>
      <c r="G9" s="29">
        <v>0</v>
      </c>
      <c r="H9" s="224">
        <v>1</v>
      </c>
      <c r="I9" s="224"/>
      <c r="J9" s="224"/>
      <c r="K9" s="224">
        <f t="shared" si="0"/>
        <v>4</v>
      </c>
      <c r="L9" s="411">
        <v>1</v>
      </c>
      <c r="M9" s="411">
        <v>1</v>
      </c>
      <c r="N9" s="411">
        <v>1</v>
      </c>
      <c r="O9" s="411">
        <v>1</v>
      </c>
      <c r="P9" s="411"/>
      <c r="Q9" s="411"/>
      <c r="R9" s="411"/>
      <c r="S9" s="411"/>
      <c r="T9" s="411"/>
      <c r="U9" s="411"/>
      <c r="V9" s="411"/>
      <c r="W9" s="411"/>
      <c r="X9" s="411"/>
      <c r="Y9" s="411"/>
      <c r="Z9" s="411"/>
      <c r="AA9" s="411"/>
      <c r="AB9" s="411"/>
      <c r="AC9" s="411"/>
      <c r="AD9" s="411"/>
      <c r="AE9" s="411"/>
      <c r="AF9" s="411"/>
      <c r="AG9" s="411"/>
      <c r="AH9" s="411"/>
      <c r="AI9" s="411"/>
      <c r="AJ9" s="411"/>
      <c r="AK9" s="411"/>
      <c r="AL9" s="411"/>
      <c r="AM9" s="411"/>
      <c r="AN9" s="411"/>
      <c r="AO9" s="411"/>
      <c r="AP9" s="411"/>
      <c r="AQ9" s="411"/>
      <c r="AR9" s="411"/>
      <c r="AS9" s="411"/>
      <c r="AT9" s="411"/>
      <c r="AU9" s="411"/>
      <c r="AV9" s="411"/>
      <c r="AW9" s="411"/>
      <c r="AX9" s="411"/>
      <c r="AY9" s="411"/>
      <c r="AZ9" s="411"/>
      <c r="BA9" s="411"/>
      <c r="BB9" s="411"/>
      <c r="BC9" s="411"/>
      <c r="BD9" s="411"/>
      <c r="BE9" s="411"/>
      <c r="BF9" s="411"/>
      <c r="BG9" s="411"/>
      <c r="BH9" s="411"/>
      <c r="BI9" s="411"/>
      <c r="BJ9" s="411"/>
      <c r="BK9" s="411"/>
      <c r="BL9" s="411"/>
      <c r="BM9" s="411"/>
      <c r="BN9" s="411"/>
      <c r="BO9" s="411"/>
      <c r="BP9" s="411"/>
      <c r="BQ9" s="411"/>
      <c r="BR9" s="411"/>
      <c r="BS9" s="411"/>
      <c r="BT9" s="411"/>
      <c r="BU9" s="411"/>
      <c r="BV9" s="411"/>
      <c r="BW9" s="411"/>
      <c r="BX9" s="411"/>
      <c r="BY9" s="411"/>
      <c r="BZ9" s="411"/>
      <c r="CA9" s="411"/>
      <c r="CB9" s="411"/>
      <c r="CC9" s="411"/>
      <c r="CD9" s="411"/>
      <c r="CE9" s="411"/>
      <c r="CF9" s="411"/>
      <c r="CG9" s="411"/>
      <c r="CH9" s="411"/>
      <c r="CI9" s="411"/>
      <c r="CJ9" s="411"/>
      <c r="CK9" s="411"/>
      <c r="CL9" s="411"/>
      <c r="CM9" s="411"/>
      <c r="CN9" s="411"/>
      <c r="CO9" s="411"/>
      <c r="CP9" s="411"/>
      <c r="CQ9" s="411"/>
      <c r="CR9" s="411"/>
      <c r="CS9" s="411"/>
      <c r="CT9" s="411"/>
      <c r="CU9" s="411"/>
      <c r="CV9" s="411"/>
      <c r="CW9" s="411"/>
      <c r="CX9" s="411"/>
      <c r="CY9" s="411"/>
      <c r="CZ9" s="411"/>
      <c r="DA9" s="411"/>
      <c r="DB9" s="411"/>
      <c r="DC9" s="411"/>
      <c r="DD9" s="411"/>
      <c r="DE9" s="411"/>
      <c r="DF9" s="411"/>
      <c r="DG9" s="411"/>
      <c r="DH9" s="411"/>
      <c r="DI9" s="411"/>
      <c r="DJ9" s="411"/>
      <c r="DK9" s="411"/>
      <c r="DL9" s="411"/>
      <c r="DM9" s="411"/>
      <c r="DN9" s="411"/>
      <c r="DO9" s="411"/>
      <c r="DP9" s="411"/>
      <c r="DQ9" s="411"/>
      <c r="DR9" s="411"/>
      <c r="DS9" s="411"/>
      <c r="DT9" s="411"/>
      <c r="DU9" s="411"/>
      <c r="DV9" s="411"/>
      <c r="DW9" s="411"/>
      <c r="DX9" s="411"/>
      <c r="DY9" s="411"/>
      <c r="DZ9" s="411"/>
      <c r="EA9" s="411"/>
      <c r="EB9" s="411"/>
      <c r="EC9" s="411"/>
      <c r="ED9" s="411"/>
      <c r="EE9" s="411"/>
      <c r="EF9" s="411"/>
      <c r="EG9" s="411"/>
      <c r="EH9" s="411"/>
      <c r="EI9" s="411"/>
      <c r="EJ9" s="411"/>
      <c r="EK9" s="411"/>
      <c r="EL9" s="411"/>
      <c r="EM9" s="411"/>
      <c r="EN9" s="411"/>
      <c r="EO9" s="411"/>
      <c r="EP9" s="411"/>
      <c r="EQ9" s="411"/>
      <c r="ER9" s="411"/>
      <c r="ES9" s="411"/>
      <c r="ET9" s="411"/>
      <c r="EU9" s="411"/>
      <c r="EV9" s="411"/>
      <c r="EW9" s="411"/>
      <c r="EX9" s="411"/>
      <c r="EY9" s="411"/>
      <c r="EZ9" s="411"/>
      <c r="FA9" s="411"/>
      <c r="FB9" s="411"/>
      <c r="FC9" s="411"/>
      <c r="FD9" s="411"/>
      <c r="FE9" s="411"/>
      <c r="FF9" s="411"/>
      <c r="FG9" s="411"/>
      <c r="FH9" s="411"/>
      <c r="FI9" s="411"/>
      <c r="FJ9" s="411"/>
      <c r="FK9" s="411"/>
      <c r="FL9" s="411"/>
      <c r="FM9" s="411"/>
      <c r="FN9" s="411"/>
      <c r="FO9" s="411"/>
      <c r="FP9" s="411"/>
      <c r="FQ9" s="411"/>
      <c r="FR9" s="411"/>
      <c r="FS9" s="411"/>
      <c r="FT9" s="411"/>
      <c r="FU9" s="411"/>
      <c r="FV9" s="411"/>
      <c r="FW9" s="411"/>
      <c r="FX9" s="411"/>
      <c r="FY9" s="411"/>
      <c r="FZ9" s="411"/>
      <c r="GA9" s="411"/>
      <c r="GB9" s="411"/>
      <c r="GC9" s="411"/>
      <c r="GD9" s="411"/>
      <c r="GE9" s="411"/>
      <c r="GF9" s="411"/>
      <c r="GG9" s="411"/>
      <c r="GH9" s="411"/>
      <c r="GI9" s="411"/>
      <c r="GJ9" s="411"/>
      <c r="GK9" s="411"/>
      <c r="GL9" s="411"/>
      <c r="GM9" s="411"/>
      <c r="GN9" s="411"/>
      <c r="GO9" s="411"/>
      <c r="GP9" s="411"/>
      <c r="GQ9" s="411"/>
      <c r="GR9" s="411"/>
      <c r="GS9" s="411"/>
      <c r="GT9" s="411"/>
      <c r="GU9" s="411"/>
      <c r="GV9" s="411"/>
      <c r="GW9" s="411"/>
      <c r="GX9" s="411"/>
      <c r="GY9" s="411"/>
      <c r="GZ9" s="411"/>
      <c r="HA9" s="411"/>
      <c r="HB9" s="411"/>
      <c r="HC9" s="411"/>
      <c r="HD9" s="411"/>
      <c r="HE9" s="411"/>
      <c r="HF9" s="411"/>
      <c r="HG9" s="411"/>
      <c r="HH9" s="411"/>
      <c r="HI9" s="411"/>
      <c r="HJ9" s="411"/>
      <c r="HK9" s="411"/>
      <c r="HL9" s="411"/>
      <c r="HM9" s="411"/>
      <c r="HN9" s="411"/>
      <c r="HO9" s="411"/>
      <c r="HP9" s="411"/>
      <c r="HQ9" s="411"/>
      <c r="HR9" s="411"/>
      <c r="HS9" s="411"/>
      <c r="HT9" s="411"/>
      <c r="HU9" s="411"/>
      <c r="HV9" s="411"/>
      <c r="HW9" s="411"/>
      <c r="HX9" s="276">
        <v>45932</v>
      </c>
      <c r="HY9" s="271" t="s">
        <v>402</v>
      </c>
      <c r="HZ9" s="270" t="s">
        <v>392</v>
      </c>
      <c r="IA9" s="29" t="s">
        <v>61</v>
      </c>
      <c r="IB9" s="29"/>
    </row>
    <row r="10" spans="1:237" ht="16.5">
      <c r="A10" s="232">
        <v>45933</v>
      </c>
      <c r="B10" s="29" t="s">
        <v>294</v>
      </c>
      <c r="C10" s="285" t="s">
        <v>112</v>
      </c>
      <c r="D10" s="412" t="s">
        <v>276</v>
      </c>
      <c r="E10" s="30" t="s">
        <v>403</v>
      </c>
      <c r="F10" s="29" t="s">
        <v>512</v>
      </c>
      <c r="G10" s="29">
        <v>0</v>
      </c>
      <c r="H10" s="224">
        <v>1</v>
      </c>
      <c r="I10" s="224"/>
      <c r="J10" s="473" t="b">
        <v>0</v>
      </c>
      <c r="K10" s="224">
        <f t="shared" si="0"/>
        <v>5</v>
      </c>
      <c r="L10" s="411">
        <v>1</v>
      </c>
      <c r="M10" s="411">
        <v>1</v>
      </c>
      <c r="N10" s="411">
        <v>1</v>
      </c>
      <c r="O10" s="411">
        <v>1</v>
      </c>
      <c r="P10" s="411">
        <v>1</v>
      </c>
      <c r="Q10" s="411"/>
      <c r="R10" s="411"/>
      <c r="S10" s="411"/>
      <c r="T10" s="411"/>
      <c r="U10" s="411"/>
      <c r="V10" s="411"/>
      <c r="W10" s="411"/>
      <c r="X10" s="411"/>
      <c r="Y10" s="411"/>
      <c r="Z10" s="411"/>
      <c r="AA10" s="411"/>
      <c r="AB10" s="411"/>
      <c r="AC10" s="411"/>
      <c r="AD10" s="411"/>
      <c r="AE10" s="411"/>
      <c r="AF10" s="411"/>
      <c r="AG10" s="411"/>
      <c r="AH10" s="411"/>
      <c r="AI10" s="411"/>
      <c r="AJ10" s="411"/>
      <c r="AK10" s="411"/>
      <c r="AL10" s="411"/>
      <c r="AM10" s="411"/>
      <c r="AN10" s="411"/>
      <c r="AO10" s="411"/>
      <c r="AP10" s="411"/>
      <c r="AQ10" s="411"/>
      <c r="AR10" s="411"/>
      <c r="AS10" s="411"/>
      <c r="AT10" s="411"/>
      <c r="AU10" s="411"/>
      <c r="AV10" s="411"/>
      <c r="AW10" s="411"/>
      <c r="AX10" s="411"/>
      <c r="AY10" s="411"/>
      <c r="AZ10" s="411"/>
      <c r="BA10" s="411"/>
      <c r="BB10" s="411"/>
      <c r="BC10" s="411"/>
      <c r="BD10" s="411"/>
      <c r="BE10" s="411"/>
      <c r="BF10" s="411"/>
      <c r="BG10" s="411"/>
      <c r="BH10" s="411"/>
      <c r="BI10" s="411"/>
      <c r="BJ10" s="411"/>
      <c r="BK10" s="411"/>
      <c r="BL10" s="411"/>
      <c r="BM10" s="411"/>
      <c r="BN10" s="411"/>
      <c r="BO10" s="411"/>
      <c r="BP10" s="411"/>
      <c r="BQ10" s="411"/>
      <c r="BR10" s="411"/>
      <c r="BS10" s="411"/>
      <c r="BT10" s="411"/>
      <c r="BU10" s="411"/>
      <c r="BV10" s="411"/>
      <c r="BW10" s="411"/>
      <c r="BX10" s="411"/>
      <c r="BY10" s="411"/>
      <c r="BZ10" s="411"/>
      <c r="CA10" s="411"/>
      <c r="CB10" s="411"/>
      <c r="CC10" s="411"/>
      <c r="CD10" s="411"/>
      <c r="CE10" s="411"/>
      <c r="CF10" s="411"/>
      <c r="CG10" s="411"/>
      <c r="CH10" s="411"/>
      <c r="CI10" s="411"/>
      <c r="CJ10" s="411"/>
      <c r="CK10" s="411"/>
      <c r="CL10" s="411"/>
      <c r="CM10" s="411"/>
      <c r="CN10" s="411"/>
      <c r="CO10" s="411"/>
      <c r="CP10" s="411"/>
      <c r="CQ10" s="411"/>
      <c r="CR10" s="411"/>
      <c r="CS10" s="411"/>
      <c r="CT10" s="411"/>
      <c r="CU10" s="411"/>
      <c r="CV10" s="411"/>
      <c r="CW10" s="411"/>
      <c r="CX10" s="411"/>
      <c r="CY10" s="411"/>
      <c r="CZ10" s="411"/>
      <c r="DA10" s="411"/>
      <c r="DB10" s="411"/>
      <c r="DC10" s="411"/>
      <c r="DD10" s="411"/>
      <c r="DE10" s="411"/>
      <c r="DF10" s="411"/>
      <c r="DG10" s="411"/>
      <c r="DH10" s="411"/>
      <c r="DI10" s="411"/>
      <c r="DJ10" s="411"/>
      <c r="DK10" s="411"/>
      <c r="DL10" s="411"/>
      <c r="DM10" s="411"/>
      <c r="DN10" s="411"/>
      <c r="DO10" s="411"/>
      <c r="DP10" s="411"/>
      <c r="DQ10" s="411"/>
      <c r="DR10" s="411"/>
      <c r="DS10" s="411"/>
      <c r="DT10" s="411"/>
      <c r="DU10" s="411"/>
      <c r="DV10" s="411"/>
      <c r="DW10" s="411"/>
      <c r="DX10" s="411"/>
      <c r="DY10" s="411"/>
      <c r="DZ10" s="411"/>
      <c r="EA10" s="411"/>
      <c r="EB10" s="411"/>
      <c r="EC10" s="411"/>
      <c r="ED10" s="411"/>
      <c r="EE10" s="411"/>
      <c r="EF10" s="411"/>
      <c r="EG10" s="411"/>
      <c r="EH10" s="411"/>
      <c r="EI10" s="411"/>
      <c r="EJ10" s="411"/>
      <c r="EK10" s="411"/>
      <c r="EL10" s="411"/>
      <c r="EM10" s="411"/>
      <c r="EN10" s="411"/>
      <c r="EO10" s="411"/>
      <c r="EP10" s="411"/>
      <c r="EQ10" s="411"/>
      <c r="ER10" s="411"/>
      <c r="ES10" s="411"/>
      <c r="ET10" s="411"/>
      <c r="EU10" s="411"/>
      <c r="EV10" s="411"/>
      <c r="EW10" s="411"/>
      <c r="EX10" s="411"/>
      <c r="EY10" s="411"/>
      <c r="EZ10" s="411"/>
      <c r="FA10" s="411"/>
      <c r="FB10" s="411"/>
      <c r="FC10" s="411"/>
      <c r="FD10" s="411"/>
      <c r="FE10" s="411"/>
      <c r="FF10" s="411"/>
      <c r="FG10" s="411"/>
      <c r="FH10" s="411"/>
      <c r="FI10" s="411"/>
      <c r="FJ10" s="411"/>
      <c r="FK10" s="411"/>
      <c r="FL10" s="411"/>
      <c r="FM10" s="411"/>
      <c r="FN10" s="411"/>
      <c r="FO10" s="411"/>
      <c r="FP10" s="411"/>
      <c r="FQ10" s="411"/>
      <c r="FR10" s="411"/>
      <c r="FS10" s="411"/>
      <c r="FT10" s="411"/>
      <c r="FU10" s="411"/>
      <c r="FV10" s="411"/>
      <c r="FW10" s="411"/>
      <c r="FX10" s="411"/>
      <c r="FY10" s="411"/>
      <c r="FZ10" s="411"/>
      <c r="GA10" s="411"/>
      <c r="GB10" s="411"/>
      <c r="GC10" s="411"/>
      <c r="GD10" s="411"/>
      <c r="GE10" s="411"/>
      <c r="GF10" s="411"/>
      <c r="GG10" s="411"/>
      <c r="GH10" s="411"/>
      <c r="GI10" s="411"/>
      <c r="GJ10" s="411"/>
      <c r="GK10" s="411"/>
      <c r="GL10" s="411"/>
      <c r="GM10" s="411"/>
      <c r="GN10" s="411"/>
      <c r="GO10" s="411"/>
      <c r="GP10" s="411"/>
      <c r="GQ10" s="411"/>
      <c r="GR10" s="411"/>
      <c r="GS10" s="411"/>
      <c r="GT10" s="411"/>
      <c r="GU10" s="411"/>
      <c r="GV10" s="411"/>
      <c r="GW10" s="411"/>
      <c r="GX10" s="411"/>
      <c r="GY10" s="411"/>
      <c r="GZ10" s="411"/>
      <c r="HA10" s="411"/>
      <c r="HB10" s="411"/>
      <c r="HC10" s="411"/>
      <c r="HD10" s="411"/>
      <c r="HE10" s="411"/>
      <c r="HF10" s="411"/>
      <c r="HG10" s="411"/>
      <c r="HH10" s="411"/>
      <c r="HI10" s="411"/>
      <c r="HJ10" s="411"/>
      <c r="HK10" s="411"/>
      <c r="HL10" s="411"/>
      <c r="HM10" s="411"/>
      <c r="HN10" s="411"/>
      <c r="HO10" s="411"/>
      <c r="HP10" s="411"/>
      <c r="HQ10" s="411"/>
      <c r="HR10" s="411"/>
      <c r="HS10" s="411"/>
      <c r="HT10" s="411"/>
      <c r="HU10" s="411"/>
      <c r="HV10" s="411"/>
      <c r="HW10" s="411"/>
      <c r="HX10" s="276" t="s">
        <v>61</v>
      </c>
      <c r="HY10" s="272" t="s">
        <v>404</v>
      </c>
      <c r="HZ10" s="275" t="s">
        <v>405</v>
      </c>
      <c r="IA10" s="29" t="s">
        <v>61</v>
      </c>
      <c r="IB10" s="29"/>
    </row>
    <row r="11" spans="1:237" ht="16.5">
      <c r="A11" s="232">
        <v>45933</v>
      </c>
      <c r="B11" s="29" t="s">
        <v>294</v>
      </c>
      <c r="C11" s="285" t="s">
        <v>112</v>
      </c>
      <c r="D11" s="412" t="s">
        <v>276</v>
      </c>
      <c r="E11" s="30" t="s">
        <v>406</v>
      </c>
      <c r="F11" s="29" t="s">
        <v>511</v>
      </c>
      <c r="G11" s="29">
        <v>0</v>
      </c>
      <c r="H11" s="224">
        <v>1</v>
      </c>
      <c r="I11" s="224"/>
      <c r="J11" s="224"/>
      <c r="K11" s="224">
        <f t="shared" si="0"/>
        <v>10</v>
      </c>
      <c r="L11" s="411">
        <v>1</v>
      </c>
      <c r="M11" s="411">
        <v>1</v>
      </c>
      <c r="N11" s="411">
        <v>1</v>
      </c>
      <c r="O11" s="411">
        <v>1</v>
      </c>
      <c r="P11" s="411">
        <v>1</v>
      </c>
      <c r="Q11" s="411">
        <v>1</v>
      </c>
      <c r="R11" s="411">
        <v>1</v>
      </c>
      <c r="S11" s="411">
        <v>1</v>
      </c>
      <c r="T11" s="411">
        <v>1</v>
      </c>
      <c r="U11" s="411">
        <v>1</v>
      </c>
      <c r="V11" s="411"/>
      <c r="W11" s="411"/>
      <c r="X11" s="411"/>
      <c r="Y11" s="411"/>
      <c r="Z11" s="411"/>
      <c r="AA11" s="411"/>
      <c r="AB11" s="411"/>
      <c r="AC11" s="411"/>
      <c r="AD11" s="411"/>
      <c r="AE11" s="411"/>
      <c r="AF11" s="411"/>
      <c r="AG11" s="411"/>
      <c r="AH11" s="411"/>
      <c r="AI11" s="411"/>
      <c r="AJ11" s="411"/>
      <c r="AK11" s="411"/>
      <c r="AL11" s="411"/>
      <c r="AM11" s="411"/>
      <c r="AN11" s="411"/>
      <c r="AO11" s="411"/>
      <c r="AP11" s="411"/>
      <c r="AQ11" s="411"/>
      <c r="AR11" s="411"/>
      <c r="AS11" s="411"/>
      <c r="AT11" s="411"/>
      <c r="AU11" s="411"/>
      <c r="AV11" s="411"/>
      <c r="AW11" s="411"/>
      <c r="AX11" s="411"/>
      <c r="AY11" s="411"/>
      <c r="AZ11" s="411"/>
      <c r="BA11" s="411"/>
      <c r="BB11" s="411"/>
      <c r="BC11" s="411"/>
      <c r="BD11" s="411"/>
      <c r="BE11" s="411"/>
      <c r="BF11" s="411"/>
      <c r="BG11" s="411"/>
      <c r="BH11" s="411"/>
      <c r="BI11" s="411"/>
      <c r="BJ11" s="411"/>
      <c r="BK11" s="411"/>
      <c r="BL11" s="411"/>
      <c r="BM11" s="411"/>
      <c r="BN11" s="411"/>
      <c r="BO11" s="411"/>
      <c r="BP11" s="411"/>
      <c r="BQ11" s="411"/>
      <c r="BR11" s="411"/>
      <c r="BS11" s="411"/>
      <c r="BT11" s="411"/>
      <c r="BU11" s="411"/>
      <c r="BV11" s="411"/>
      <c r="BW11" s="411"/>
      <c r="BX11" s="411"/>
      <c r="BY11" s="411"/>
      <c r="BZ11" s="411"/>
      <c r="CA11" s="411"/>
      <c r="CB11" s="411"/>
      <c r="CC11" s="411"/>
      <c r="CD11" s="411"/>
      <c r="CE11" s="411"/>
      <c r="CF11" s="411"/>
      <c r="CG11" s="411"/>
      <c r="CH11" s="411"/>
      <c r="CI11" s="411"/>
      <c r="CJ11" s="411"/>
      <c r="CK11" s="411"/>
      <c r="CL11" s="411"/>
      <c r="CM11" s="411"/>
      <c r="CN11" s="411"/>
      <c r="CO11" s="411"/>
      <c r="CP11" s="411"/>
      <c r="CQ11" s="411"/>
      <c r="CR11" s="411"/>
      <c r="CS11" s="411"/>
      <c r="CT11" s="411"/>
      <c r="CU11" s="411"/>
      <c r="CV11" s="411"/>
      <c r="CW11" s="411"/>
      <c r="CX11" s="411"/>
      <c r="CY11" s="411"/>
      <c r="CZ11" s="411"/>
      <c r="DA11" s="411"/>
      <c r="DB11" s="411"/>
      <c r="DC11" s="411"/>
      <c r="DD11" s="411"/>
      <c r="DE11" s="411"/>
      <c r="DF11" s="411"/>
      <c r="DG11" s="411"/>
      <c r="DH11" s="411"/>
      <c r="DI11" s="411"/>
      <c r="DJ11" s="411"/>
      <c r="DK11" s="411"/>
      <c r="DL11" s="411"/>
      <c r="DM11" s="411"/>
      <c r="DN11" s="411"/>
      <c r="DO11" s="411"/>
      <c r="DP11" s="411"/>
      <c r="DQ11" s="411"/>
      <c r="DR11" s="411"/>
      <c r="DS11" s="411"/>
      <c r="DT11" s="411"/>
      <c r="DU11" s="411"/>
      <c r="DV11" s="411"/>
      <c r="DW11" s="411"/>
      <c r="DX11" s="411"/>
      <c r="DY11" s="411"/>
      <c r="DZ11" s="411"/>
      <c r="EA11" s="411"/>
      <c r="EB11" s="411"/>
      <c r="EC11" s="411"/>
      <c r="ED11" s="411"/>
      <c r="EE11" s="411"/>
      <c r="EF11" s="411"/>
      <c r="EG11" s="411"/>
      <c r="EH11" s="411"/>
      <c r="EI11" s="411"/>
      <c r="EJ11" s="411"/>
      <c r="EK11" s="411"/>
      <c r="EL11" s="411"/>
      <c r="EM11" s="411"/>
      <c r="EN11" s="411"/>
      <c r="EO11" s="411"/>
      <c r="EP11" s="411"/>
      <c r="EQ11" s="411"/>
      <c r="ER11" s="411"/>
      <c r="ES11" s="411"/>
      <c r="ET11" s="411"/>
      <c r="EU11" s="411"/>
      <c r="EV11" s="411"/>
      <c r="EW11" s="411"/>
      <c r="EX11" s="411"/>
      <c r="EY11" s="411"/>
      <c r="EZ11" s="411"/>
      <c r="FA11" s="411"/>
      <c r="FB11" s="411"/>
      <c r="FC11" s="411"/>
      <c r="FD11" s="411"/>
      <c r="FE11" s="411"/>
      <c r="FF11" s="411"/>
      <c r="FG11" s="411"/>
      <c r="FH11" s="411"/>
      <c r="FI11" s="411"/>
      <c r="FJ11" s="411"/>
      <c r="FK11" s="411"/>
      <c r="FL11" s="411"/>
      <c r="FM11" s="411"/>
      <c r="FN11" s="411"/>
      <c r="FO11" s="411"/>
      <c r="FP11" s="411"/>
      <c r="FQ11" s="411"/>
      <c r="FR11" s="411"/>
      <c r="FS11" s="411"/>
      <c r="FT11" s="411"/>
      <c r="FU11" s="411"/>
      <c r="FV11" s="411"/>
      <c r="FW11" s="411"/>
      <c r="FX11" s="411"/>
      <c r="FY11" s="411"/>
      <c r="FZ11" s="411"/>
      <c r="GA11" s="411"/>
      <c r="GB11" s="411"/>
      <c r="GC11" s="411"/>
      <c r="GD11" s="411"/>
      <c r="GE11" s="411"/>
      <c r="GF11" s="411"/>
      <c r="GG11" s="411"/>
      <c r="GH11" s="411"/>
      <c r="GI11" s="411"/>
      <c r="GJ11" s="411"/>
      <c r="GK11" s="411"/>
      <c r="GL11" s="411"/>
      <c r="GM11" s="411"/>
      <c r="GN11" s="411"/>
      <c r="GO11" s="411"/>
      <c r="GP11" s="411"/>
      <c r="GQ11" s="411"/>
      <c r="GR11" s="411"/>
      <c r="GS11" s="411"/>
      <c r="GT11" s="411"/>
      <c r="GU11" s="411"/>
      <c r="GV11" s="411"/>
      <c r="GW11" s="411"/>
      <c r="GX11" s="411"/>
      <c r="GY11" s="411"/>
      <c r="GZ11" s="411"/>
      <c r="HA11" s="411"/>
      <c r="HB11" s="411"/>
      <c r="HC11" s="411"/>
      <c r="HD11" s="411"/>
      <c r="HE11" s="411"/>
      <c r="HF11" s="411"/>
      <c r="HG11" s="411"/>
      <c r="HH11" s="411"/>
      <c r="HI11" s="411"/>
      <c r="HJ11" s="411"/>
      <c r="HK11" s="411"/>
      <c r="HL11" s="411"/>
      <c r="HM11" s="411"/>
      <c r="HN11" s="411"/>
      <c r="HO11" s="411"/>
      <c r="HP11" s="411"/>
      <c r="HQ11" s="411"/>
      <c r="HR11" s="411"/>
      <c r="HS11" s="411"/>
      <c r="HT11" s="411"/>
      <c r="HU11" s="411"/>
      <c r="HV11" s="411"/>
      <c r="HW11" s="411"/>
      <c r="HX11" s="276">
        <v>45940</v>
      </c>
      <c r="HY11" s="271" t="s">
        <v>394</v>
      </c>
      <c r="HZ11" s="270" t="s">
        <v>392</v>
      </c>
      <c r="IA11" s="29" t="s">
        <v>61</v>
      </c>
      <c r="IB11" s="29"/>
    </row>
    <row r="12" spans="1:237">
      <c r="A12" s="232">
        <v>45933</v>
      </c>
      <c r="B12" s="29" t="s">
        <v>294</v>
      </c>
      <c r="C12" s="285" t="s">
        <v>112</v>
      </c>
      <c r="D12" s="412" t="s">
        <v>276</v>
      </c>
      <c r="E12" s="430" t="s">
        <v>407</v>
      </c>
      <c r="F12" s="29" t="s">
        <v>398</v>
      </c>
      <c r="G12" s="224">
        <v>1</v>
      </c>
      <c r="H12" s="29">
        <v>0</v>
      </c>
      <c r="I12" s="470" t="s">
        <v>696</v>
      </c>
      <c r="J12" s="473" t="b">
        <v>0</v>
      </c>
      <c r="K12" s="224">
        <f>SUM(L12:HW12)</f>
        <v>194</v>
      </c>
      <c r="L12" s="386">
        <v>1</v>
      </c>
      <c r="M12" s="386">
        <v>1</v>
      </c>
      <c r="N12" s="386">
        <v>1</v>
      </c>
      <c r="O12" s="386">
        <v>1</v>
      </c>
      <c r="P12" s="386">
        <v>1</v>
      </c>
      <c r="Q12" s="386">
        <v>1</v>
      </c>
      <c r="R12" s="386">
        <v>1</v>
      </c>
      <c r="S12" s="386">
        <v>1</v>
      </c>
      <c r="T12" s="386">
        <v>1</v>
      </c>
      <c r="U12" s="386">
        <v>1</v>
      </c>
      <c r="V12" s="386">
        <v>1</v>
      </c>
      <c r="W12" s="386">
        <v>1</v>
      </c>
      <c r="X12" s="386">
        <v>1</v>
      </c>
      <c r="Y12" s="386">
        <v>1</v>
      </c>
      <c r="Z12" s="386">
        <v>1</v>
      </c>
      <c r="AA12" s="386">
        <v>1</v>
      </c>
      <c r="AB12" s="386">
        <v>1</v>
      </c>
      <c r="AC12" s="386">
        <v>1</v>
      </c>
      <c r="AD12" s="386">
        <v>1</v>
      </c>
      <c r="AE12" s="386">
        <v>1</v>
      </c>
      <c r="AF12" s="386">
        <v>1</v>
      </c>
      <c r="AG12" s="386">
        <v>1</v>
      </c>
      <c r="AH12" s="386">
        <v>1</v>
      </c>
      <c r="AI12" s="386">
        <v>1</v>
      </c>
      <c r="AJ12" s="386">
        <v>1</v>
      </c>
      <c r="AK12" s="386">
        <v>1</v>
      </c>
      <c r="AL12" s="386">
        <v>1</v>
      </c>
      <c r="AM12" s="386">
        <v>1</v>
      </c>
      <c r="AN12" s="386">
        <v>1</v>
      </c>
      <c r="AO12" s="386">
        <v>1</v>
      </c>
      <c r="AP12" s="386">
        <v>1</v>
      </c>
      <c r="AQ12" s="386">
        <v>1</v>
      </c>
      <c r="AR12" s="386">
        <v>1</v>
      </c>
      <c r="AS12" s="386">
        <v>1</v>
      </c>
      <c r="AT12" s="386">
        <v>1</v>
      </c>
      <c r="AU12" s="386">
        <v>1</v>
      </c>
      <c r="AV12" s="386">
        <v>1</v>
      </c>
      <c r="AW12" s="386">
        <v>1</v>
      </c>
      <c r="AX12" s="386">
        <v>1</v>
      </c>
      <c r="AY12" s="386">
        <v>1</v>
      </c>
      <c r="AZ12" s="386">
        <v>1</v>
      </c>
      <c r="BA12" s="386">
        <v>1</v>
      </c>
      <c r="BB12" s="386">
        <v>1</v>
      </c>
      <c r="BC12" s="386">
        <v>1</v>
      </c>
      <c r="BD12" s="386">
        <v>1</v>
      </c>
      <c r="BE12" s="386">
        <v>1</v>
      </c>
      <c r="BF12" s="386">
        <v>1</v>
      </c>
      <c r="BG12" s="386">
        <v>1</v>
      </c>
      <c r="BH12" s="386">
        <v>1</v>
      </c>
      <c r="BI12" s="386">
        <v>1</v>
      </c>
      <c r="BJ12" s="386">
        <v>1</v>
      </c>
      <c r="BK12" s="386">
        <v>1</v>
      </c>
      <c r="BL12" s="386">
        <v>1</v>
      </c>
      <c r="BM12" s="386">
        <v>1</v>
      </c>
      <c r="BN12" s="386">
        <v>1</v>
      </c>
      <c r="BO12" s="386">
        <v>1</v>
      </c>
      <c r="BP12" s="386">
        <v>1</v>
      </c>
      <c r="BQ12" s="386">
        <v>1</v>
      </c>
      <c r="BR12" s="386">
        <v>1</v>
      </c>
      <c r="BS12" s="386">
        <v>1</v>
      </c>
      <c r="BT12" s="386">
        <v>1</v>
      </c>
      <c r="BU12" s="386">
        <v>1</v>
      </c>
      <c r="BV12" s="386">
        <v>1</v>
      </c>
      <c r="BW12" s="386">
        <v>1</v>
      </c>
      <c r="BX12" s="386">
        <v>1</v>
      </c>
      <c r="BY12" s="386">
        <v>1</v>
      </c>
      <c r="BZ12" s="386">
        <v>1</v>
      </c>
      <c r="CA12" s="386">
        <v>1</v>
      </c>
      <c r="CB12" s="386">
        <v>1</v>
      </c>
      <c r="CC12" s="386">
        <v>1</v>
      </c>
      <c r="CD12" s="386">
        <v>1</v>
      </c>
      <c r="CE12" s="386">
        <v>1</v>
      </c>
      <c r="CF12" s="386">
        <v>1</v>
      </c>
      <c r="CG12" s="386">
        <v>1</v>
      </c>
      <c r="CH12" s="386">
        <v>1</v>
      </c>
      <c r="CI12" s="386">
        <v>1</v>
      </c>
      <c r="CJ12" s="386">
        <v>1</v>
      </c>
      <c r="CK12" s="386">
        <v>1</v>
      </c>
      <c r="CL12" s="386">
        <v>1</v>
      </c>
      <c r="CM12" s="386">
        <v>1</v>
      </c>
      <c r="CN12" s="386">
        <v>1</v>
      </c>
      <c r="CO12" s="386">
        <v>1</v>
      </c>
      <c r="CP12" s="386">
        <v>1</v>
      </c>
      <c r="CQ12" s="386">
        <v>1</v>
      </c>
      <c r="CR12" s="386">
        <v>1</v>
      </c>
      <c r="CS12" s="386">
        <v>1</v>
      </c>
      <c r="CT12" s="386">
        <v>1</v>
      </c>
      <c r="CU12" s="386">
        <v>1</v>
      </c>
      <c r="CV12" s="386">
        <v>1</v>
      </c>
      <c r="CW12" s="386">
        <v>1</v>
      </c>
      <c r="CX12" s="386">
        <v>1</v>
      </c>
      <c r="CY12" s="386">
        <v>1</v>
      </c>
      <c r="CZ12" s="386">
        <v>1</v>
      </c>
      <c r="DA12" s="386">
        <v>1</v>
      </c>
      <c r="DB12" s="386">
        <v>1</v>
      </c>
      <c r="DC12" s="386">
        <v>1</v>
      </c>
      <c r="DD12" s="386">
        <v>1</v>
      </c>
      <c r="DE12" s="386">
        <v>1</v>
      </c>
      <c r="DF12" s="386">
        <v>1</v>
      </c>
      <c r="DG12" s="386">
        <v>1</v>
      </c>
      <c r="DH12" s="386">
        <v>1</v>
      </c>
      <c r="DI12" s="386">
        <v>1</v>
      </c>
      <c r="DJ12" s="386">
        <v>1</v>
      </c>
      <c r="DK12" s="386">
        <v>1</v>
      </c>
      <c r="DL12" s="386">
        <v>1</v>
      </c>
      <c r="DM12" s="386">
        <v>1</v>
      </c>
      <c r="DN12" s="386">
        <v>1</v>
      </c>
      <c r="DO12" s="386">
        <v>1</v>
      </c>
      <c r="DP12" s="386">
        <v>1</v>
      </c>
      <c r="DQ12" s="386">
        <v>1</v>
      </c>
      <c r="DR12" s="386">
        <v>1</v>
      </c>
      <c r="DS12" s="386">
        <v>1</v>
      </c>
      <c r="DT12" s="386">
        <v>1</v>
      </c>
      <c r="DU12" s="386">
        <v>1</v>
      </c>
      <c r="DV12" s="386">
        <v>1</v>
      </c>
      <c r="DW12" s="386">
        <v>1</v>
      </c>
      <c r="DX12" s="386">
        <v>1</v>
      </c>
      <c r="DY12" s="386">
        <v>1</v>
      </c>
      <c r="DZ12" s="386">
        <v>1</v>
      </c>
      <c r="EA12" s="386">
        <v>1</v>
      </c>
      <c r="EB12" s="386">
        <v>1</v>
      </c>
      <c r="EC12" s="386">
        <v>1</v>
      </c>
      <c r="ED12" s="386">
        <v>1</v>
      </c>
      <c r="EE12" s="386">
        <v>1</v>
      </c>
      <c r="EF12" s="386">
        <v>1</v>
      </c>
      <c r="EG12" s="386">
        <v>1</v>
      </c>
      <c r="EH12" s="386">
        <v>1</v>
      </c>
      <c r="EI12" s="386">
        <v>1</v>
      </c>
      <c r="EJ12" s="386">
        <v>1</v>
      </c>
      <c r="EK12" s="386">
        <v>1</v>
      </c>
      <c r="EL12" s="386">
        <v>1</v>
      </c>
      <c r="EM12" s="386">
        <v>1</v>
      </c>
      <c r="EN12" s="386">
        <v>1</v>
      </c>
      <c r="EO12" s="386">
        <v>1</v>
      </c>
      <c r="EP12" s="386">
        <v>1</v>
      </c>
      <c r="EQ12" s="386">
        <v>1</v>
      </c>
      <c r="ER12" s="386">
        <v>1</v>
      </c>
      <c r="ES12" s="386">
        <v>1</v>
      </c>
      <c r="ET12" s="386">
        <v>1</v>
      </c>
      <c r="EU12" s="386">
        <v>1</v>
      </c>
      <c r="EV12" s="386">
        <v>1</v>
      </c>
      <c r="EW12" s="386">
        <v>1</v>
      </c>
      <c r="EX12" s="386">
        <v>1</v>
      </c>
      <c r="EY12" s="386">
        <v>1</v>
      </c>
      <c r="EZ12" s="386">
        <v>1</v>
      </c>
      <c r="FA12" s="386">
        <v>1</v>
      </c>
      <c r="FB12" s="386">
        <v>1</v>
      </c>
      <c r="FC12" s="386">
        <v>1</v>
      </c>
      <c r="FD12" s="386">
        <v>1</v>
      </c>
      <c r="FE12" s="386">
        <v>1</v>
      </c>
      <c r="FF12" s="386">
        <v>1</v>
      </c>
      <c r="FG12" s="386">
        <v>1</v>
      </c>
      <c r="FH12" s="386">
        <v>1</v>
      </c>
      <c r="FI12" s="386">
        <v>1</v>
      </c>
      <c r="FJ12" s="386">
        <v>1</v>
      </c>
      <c r="FK12" s="386">
        <v>1</v>
      </c>
      <c r="FL12" s="386">
        <v>1</v>
      </c>
      <c r="FM12" s="386">
        <v>1</v>
      </c>
      <c r="FN12" s="386">
        <v>1</v>
      </c>
      <c r="FO12" s="386">
        <v>1</v>
      </c>
      <c r="FP12" s="386">
        <v>1</v>
      </c>
      <c r="FQ12" s="386">
        <v>1</v>
      </c>
      <c r="FR12" s="386">
        <v>1</v>
      </c>
      <c r="FS12" s="386">
        <v>1</v>
      </c>
      <c r="FT12" s="386">
        <v>1</v>
      </c>
      <c r="FU12" s="386">
        <v>1</v>
      </c>
      <c r="FV12" s="386">
        <v>1</v>
      </c>
      <c r="FW12" s="386">
        <v>1</v>
      </c>
      <c r="FX12" s="386">
        <v>1</v>
      </c>
      <c r="FY12" s="386">
        <v>1</v>
      </c>
      <c r="FZ12" s="386">
        <v>1</v>
      </c>
      <c r="GA12" s="386">
        <v>1</v>
      </c>
      <c r="GB12" s="386">
        <v>1</v>
      </c>
      <c r="GC12" s="386">
        <v>1</v>
      </c>
      <c r="GD12" s="386">
        <v>1</v>
      </c>
      <c r="GE12" s="386">
        <v>1</v>
      </c>
      <c r="GF12" s="386">
        <v>1</v>
      </c>
      <c r="GG12" s="386">
        <v>1</v>
      </c>
      <c r="GH12" s="386">
        <v>1</v>
      </c>
      <c r="GI12" s="386">
        <v>1</v>
      </c>
      <c r="GJ12" s="386">
        <v>1</v>
      </c>
      <c r="GK12" s="386">
        <v>1</v>
      </c>
      <c r="GL12" s="386">
        <v>1</v>
      </c>
      <c r="GM12" s="386">
        <v>1</v>
      </c>
      <c r="GN12" s="386">
        <v>1</v>
      </c>
      <c r="GO12" s="386">
        <v>1</v>
      </c>
      <c r="GP12" s="386">
        <v>1</v>
      </c>
      <c r="GQ12" s="386">
        <v>1</v>
      </c>
      <c r="GR12" s="386">
        <v>1</v>
      </c>
      <c r="GS12" s="386">
        <v>1</v>
      </c>
      <c r="GT12" s="386">
        <v>1</v>
      </c>
      <c r="GU12" s="386">
        <v>1</v>
      </c>
      <c r="GV12" s="386">
        <v>1</v>
      </c>
      <c r="GW12" s="386">
        <v>1</v>
      </c>
      <c r="GX12" s="386"/>
      <c r="GY12" s="386"/>
      <c r="GZ12" s="386"/>
      <c r="HA12" s="386"/>
      <c r="HB12" s="386"/>
      <c r="HC12" s="386"/>
      <c r="HD12" s="386"/>
      <c r="HE12" s="386"/>
      <c r="HF12" s="386"/>
      <c r="HG12" s="386"/>
      <c r="HH12" s="386"/>
      <c r="HI12" s="386"/>
      <c r="HJ12" s="386"/>
      <c r="HK12" s="386"/>
      <c r="HL12" s="386"/>
      <c r="HM12" s="386"/>
      <c r="HN12" s="386"/>
      <c r="HO12" s="386"/>
      <c r="HP12" s="386"/>
      <c r="HQ12" s="386"/>
      <c r="HR12" s="386"/>
      <c r="HS12" s="386"/>
      <c r="HT12" s="386"/>
      <c r="HU12" s="386"/>
      <c r="HV12" s="386"/>
      <c r="HW12" s="386"/>
      <c r="HX12" s="338" t="s">
        <v>398</v>
      </c>
      <c r="HY12" s="342" t="s">
        <v>408</v>
      </c>
      <c r="HZ12" s="343" t="s">
        <v>409</v>
      </c>
      <c r="IA12" s="29">
        <v>2</v>
      </c>
      <c r="IB12" s="29"/>
    </row>
    <row r="13" spans="1:237" ht="16.5">
      <c r="A13" s="232">
        <v>45937</v>
      </c>
      <c r="B13" s="29" t="s">
        <v>245</v>
      </c>
      <c r="C13" s="287" t="s">
        <v>101</v>
      </c>
      <c r="D13" s="414" t="s">
        <v>246</v>
      </c>
      <c r="E13" s="30" t="s">
        <v>410</v>
      </c>
      <c r="F13" s="29" t="s">
        <v>511</v>
      </c>
      <c r="G13" s="29">
        <v>0</v>
      </c>
      <c r="H13" s="224">
        <v>1</v>
      </c>
      <c r="I13" s="224"/>
      <c r="J13" s="224"/>
      <c r="K13" s="224">
        <f t="shared" si="0"/>
        <v>3</v>
      </c>
      <c r="L13" s="411">
        <v>1</v>
      </c>
      <c r="M13" s="411">
        <v>1</v>
      </c>
      <c r="N13" s="411">
        <v>1</v>
      </c>
      <c r="O13" s="411"/>
      <c r="P13" s="411"/>
      <c r="Q13" s="411"/>
      <c r="R13" s="411"/>
      <c r="S13" s="411"/>
      <c r="T13" s="411"/>
      <c r="U13" s="411"/>
      <c r="V13" s="411"/>
      <c r="W13" s="411"/>
      <c r="X13" s="411"/>
      <c r="Y13" s="411"/>
      <c r="Z13" s="411"/>
      <c r="AA13" s="411"/>
      <c r="AB13" s="411"/>
      <c r="AC13" s="411"/>
      <c r="AD13" s="411"/>
      <c r="AE13" s="411"/>
      <c r="AF13" s="411"/>
      <c r="AG13" s="411"/>
      <c r="AH13" s="411"/>
      <c r="AI13" s="411"/>
      <c r="AJ13" s="411"/>
      <c r="AK13" s="411"/>
      <c r="AL13" s="411"/>
      <c r="AM13" s="411"/>
      <c r="AN13" s="411"/>
      <c r="AO13" s="411"/>
      <c r="AP13" s="411"/>
      <c r="AQ13" s="411"/>
      <c r="AR13" s="411"/>
      <c r="AS13" s="411"/>
      <c r="AT13" s="411"/>
      <c r="AU13" s="411"/>
      <c r="AV13" s="411"/>
      <c r="AW13" s="411"/>
      <c r="AX13" s="411"/>
      <c r="AY13" s="411"/>
      <c r="AZ13" s="411"/>
      <c r="BA13" s="411"/>
      <c r="BB13" s="411"/>
      <c r="BC13" s="411"/>
      <c r="BD13" s="411"/>
      <c r="BE13" s="411"/>
      <c r="BF13" s="411"/>
      <c r="BG13" s="411"/>
      <c r="BH13" s="411"/>
      <c r="BI13" s="411"/>
      <c r="BJ13" s="411"/>
      <c r="BK13" s="411"/>
      <c r="BL13" s="411"/>
      <c r="BM13" s="411"/>
      <c r="BN13" s="411"/>
      <c r="BO13" s="411"/>
      <c r="BP13" s="411"/>
      <c r="BQ13" s="411"/>
      <c r="BR13" s="411"/>
      <c r="BS13" s="411"/>
      <c r="BT13" s="411"/>
      <c r="BU13" s="411"/>
      <c r="BV13" s="411"/>
      <c r="BW13" s="411"/>
      <c r="BX13" s="411"/>
      <c r="BY13" s="411"/>
      <c r="BZ13" s="411"/>
      <c r="CA13" s="411"/>
      <c r="CB13" s="411"/>
      <c r="CC13" s="411"/>
      <c r="CD13" s="411"/>
      <c r="CE13" s="411"/>
      <c r="CF13" s="411"/>
      <c r="CG13" s="411"/>
      <c r="CH13" s="411"/>
      <c r="CI13" s="411"/>
      <c r="CJ13" s="411"/>
      <c r="CK13" s="411"/>
      <c r="CL13" s="411"/>
      <c r="CM13" s="411"/>
      <c r="CN13" s="411"/>
      <c r="CO13" s="411"/>
      <c r="CP13" s="411"/>
      <c r="CQ13" s="411"/>
      <c r="CR13" s="411"/>
      <c r="CS13" s="411"/>
      <c r="CT13" s="411"/>
      <c r="CU13" s="411"/>
      <c r="CV13" s="411"/>
      <c r="CW13" s="411"/>
      <c r="CX13" s="411"/>
      <c r="CY13" s="411"/>
      <c r="CZ13" s="411"/>
      <c r="DA13" s="411"/>
      <c r="DB13" s="411"/>
      <c r="DC13" s="411"/>
      <c r="DD13" s="411"/>
      <c r="DE13" s="411"/>
      <c r="DF13" s="411"/>
      <c r="DG13" s="411"/>
      <c r="DH13" s="411"/>
      <c r="DI13" s="411"/>
      <c r="DJ13" s="411"/>
      <c r="DK13" s="411"/>
      <c r="DL13" s="411"/>
      <c r="DM13" s="411"/>
      <c r="DN13" s="411"/>
      <c r="DO13" s="411"/>
      <c r="DP13" s="411"/>
      <c r="DQ13" s="411"/>
      <c r="DR13" s="411"/>
      <c r="DS13" s="411"/>
      <c r="DT13" s="411"/>
      <c r="DU13" s="411"/>
      <c r="DV13" s="411"/>
      <c r="DW13" s="411"/>
      <c r="DX13" s="411"/>
      <c r="DY13" s="411"/>
      <c r="DZ13" s="411"/>
      <c r="EA13" s="411"/>
      <c r="EB13" s="411"/>
      <c r="EC13" s="411"/>
      <c r="ED13" s="411"/>
      <c r="EE13" s="411"/>
      <c r="EF13" s="411"/>
      <c r="EG13" s="411"/>
      <c r="EH13" s="411"/>
      <c r="EI13" s="411"/>
      <c r="EJ13" s="411"/>
      <c r="EK13" s="411"/>
      <c r="EL13" s="411"/>
      <c r="EM13" s="411"/>
      <c r="EN13" s="411"/>
      <c r="EO13" s="411"/>
      <c r="EP13" s="411"/>
      <c r="EQ13" s="411"/>
      <c r="ER13" s="411"/>
      <c r="ES13" s="411"/>
      <c r="ET13" s="411"/>
      <c r="EU13" s="411"/>
      <c r="EV13" s="411"/>
      <c r="EW13" s="411"/>
      <c r="EX13" s="411"/>
      <c r="EY13" s="411"/>
      <c r="EZ13" s="411"/>
      <c r="FA13" s="411"/>
      <c r="FB13" s="411"/>
      <c r="FC13" s="411"/>
      <c r="FD13" s="411"/>
      <c r="FE13" s="411"/>
      <c r="FF13" s="411"/>
      <c r="FG13" s="411"/>
      <c r="FH13" s="411"/>
      <c r="FI13" s="411"/>
      <c r="FJ13" s="411"/>
      <c r="FK13" s="411"/>
      <c r="FL13" s="411"/>
      <c r="FM13" s="411"/>
      <c r="FN13" s="411"/>
      <c r="FO13" s="411"/>
      <c r="FP13" s="411"/>
      <c r="FQ13" s="411"/>
      <c r="FR13" s="411"/>
      <c r="FS13" s="411"/>
      <c r="FT13" s="411"/>
      <c r="FU13" s="411"/>
      <c r="FV13" s="411"/>
      <c r="FW13" s="411"/>
      <c r="FX13" s="411"/>
      <c r="FY13" s="411"/>
      <c r="FZ13" s="411"/>
      <c r="GA13" s="411"/>
      <c r="GB13" s="411"/>
      <c r="GC13" s="411"/>
      <c r="GD13" s="411"/>
      <c r="GE13" s="411"/>
      <c r="GF13" s="411"/>
      <c r="GG13" s="411"/>
      <c r="GH13" s="411"/>
      <c r="GI13" s="411"/>
      <c r="GJ13" s="411"/>
      <c r="GK13" s="411"/>
      <c r="GL13" s="411"/>
      <c r="GM13" s="411"/>
      <c r="GN13" s="411"/>
      <c r="GO13" s="411"/>
      <c r="GP13" s="411"/>
      <c r="GQ13" s="411"/>
      <c r="GR13" s="411"/>
      <c r="GS13" s="411"/>
      <c r="GT13" s="411"/>
      <c r="GU13" s="411"/>
      <c r="GV13" s="411"/>
      <c r="GW13" s="411"/>
      <c r="GX13" s="411"/>
      <c r="GY13" s="411"/>
      <c r="GZ13" s="411"/>
      <c r="HA13" s="411"/>
      <c r="HB13" s="411"/>
      <c r="HC13" s="411"/>
      <c r="HD13" s="411"/>
      <c r="HE13" s="411"/>
      <c r="HF13" s="411"/>
      <c r="HG13" s="411"/>
      <c r="HH13" s="411"/>
      <c r="HI13" s="411"/>
      <c r="HJ13" s="411"/>
      <c r="HK13" s="411"/>
      <c r="HL13" s="411"/>
      <c r="HM13" s="411"/>
      <c r="HN13" s="411"/>
      <c r="HO13" s="411"/>
      <c r="HP13" s="411"/>
      <c r="HQ13" s="411"/>
      <c r="HR13" s="411"/>
      <c r="HS13" s="411"/>
      <c r="HT13" s="411"/>
      <c r="HU13" s="411"/>
      <c r="HV13" s="411"/>
      <c r="HW13" s="411"/>
      <c r="HX13" s="276">
        <v>45940</v>
      </c>
      <c r="HY13" s="271" t="s">
        <v>411</v>
      </c>
      <c r="HZ13" s="270" t="s">
        <v>392</v>
      </c>
      <c r="IA13" s="29" t="s">
        <v>61</v>
      </c>
      <c r="IB13" s="29"/>
    </row>
    <row r="14" spans="1:237" ht="16.5">
      <c r="A14" s="232">
        <v>45937</v>
      </c>
      <c r="B14" s="29" t="s">
        <v>245</v>
      </c>
      <c r="C14" s="287" t="s">
        <v>101</v>
      </c>
      <c r="D14" s="414" t="s">
        <v>246</v>
      </c>
      <c r="E14" s="30" t="s">
        <v>412</v>
      </c>
      <c r="F14" s="29" t="s">
        <v>511</v>
      </c>
      <c r="G14" s="29">
        <v>0</v>
      </c>
      <c r="H14" s="224">
        <v>1</v>
      </c>
      <c r="I14" s="224"/>
      <c r="J14" s="224"/>
      <c r="K14" s="224">
        <f t="shared" si="0"/>
        <v>3</v>
      </c>
      <c r="L14" s="411">
        <v>1</v>
      </c>
      <c r="M14" s="411">
        <v>1</v>
      </c>
      <c r="N14" s="411">
        <v>1</v>
      </c>
      <c r="O14" s="411"/>
      <c r="P14" s="411"/>
      <c r="Q14" s="411"/>
      <c r="R14" s="411"/>
      <c r="S14" s="411"/>
      <c r="T14" s="411"/>
      <c r="U14" s="411"/>
      <c r="V14" s="411"/>
      <c r="W14" s="411"/>
      <c r="X14" s="411"/>
      <c r="Y14" s="411"/>
      <c r="Z14" s="411"/>
      <c r="AA14" s="411"/>
      <c r="AB14" s="411"/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11"/>
      <c r="AP14" s="411"/>
      <c r="AQ14" s="411"/>
      <c r="AR14" s="411"/>
      <c r="AS14" s="411"/>
      <c r="AT14" s="411"/>
      <c r="AU14" s="411"/>
      <c r="AV14" s="411"/>
      <c r="AW14" s="411"/>
      <c r="AX14" s="411"/>
      <c r="AY14" s="411"/>
      <c r="AZ14" s="411"/>
      <c r="BA14" s="411"/>
      <c r="BB14" s="411"/>
      <c r="BC14" s="411"/>
      <c r="BD14" s="411"/>
      <c r="BE14" s="411"/>
      <c r="BF14" s="411"/>
      <c r="BG14" s="411"/>
      <c r="BH14" s="411"/>
      <c r="BI14" s="411"/>
      <c r="BJ14" s="411"/>
      <c r="BK14" s="411"/>
      <c r="BL14" s="411"/>
      <c r="BM14" s="411"/>
      <c r="BN14" s="411"/>
      <c r="BO14" s="411"/>
      <c r="BP14" s="411"/>
      <c r="BQ14" s="411"/>
      <c r="BR14" s="411"/>
      <c r="BS14" s="411"/>
      <c r="BT14" s="411"/>
      <c r="BU14" s="411"/>
      <c r="BV14" s="411"/>
      <c r="BW14" s="411"/>
      <c r="BX14" s="411"/>
      <c r="BY14" s="411"/>
      <c r="BZ14" s="411"/>
      <c r="CA14" s="411"/>
      <c r="CB14" s="411"/>
      <c r="CC14" s="411"/>
      <c r="CD14" s="411"/>
      <c r="CE14" s="411"/>
      <c r="CF14" s="411"/>
      <c r="CG14" s="411"/>
      <c r="CH14" s="411"/>
      <c r="CI14" s="411"/>
      <c r="CJ14" s="411"/>
      <c r="CK14" s="411"/>
      <c r="CL14" s="411"/>
      <c r="CM14" s="411"/>
      <c r="CN14" s="411"/>
      <c r="CO14" s="411"/>
      <c r="CP14" s="411"/>
      <c r="CQ14" s="411"/>
      <c r="CR14" s="411"/>
      <c r="CS14" s="411"/>
      <c r="CT14" s="411"/>
      <c r="CU14" s="411"/>
      <c r="CV14" s="411"/>
      <c r="CW14" s="411"/>
      <c r="CX14" s="411"/>
      <c r="CY14" s="411"/>
      <c r="CZ14" s="411"/>
      <c r="DA14" s="411"/>
      <c r="DB14" s="411"/>
      <c r="DC14" s="411"/>
      <c r="DD14" s="411"/>
      <c r="DE14" s="411"/>
      <c r="DF14" s="411"/>
      <c r="DG14" s="411"/>
      <c r="DH14" s="411"/>
      <c r="DI14" s="411"/>
      <c r="DJ14" s="411"/>
      <c r="DK14" s="411"/>
      <c r="DL14" s="411"/>
      <c r="DM14" s="411"/>
      <c r="DN14" s="411"/>
      <c r="DO14" s="411"/>
      <c r="DP14" s="411"/>
      <c r="DQ14" s="411"/>
      <c r="DR14" s="411"/>
      <c r="DS14" s="411"/>
      <c r="DT14" s="411"/>
      <c r="DU14" s="411"/>
      <c r="DV14" s="411"/>
      <c r="DW14" s="411"/>
      <c r="DX14" s="411"/>
      <c r="DY14" s="411"/>
      <c r="DZ14" s="411"/>
      <c r="EA14" s="411"/>
      <c r="EB14" s="411"/>
      <c r="EC14" s="411"/>
      <c r="ED14" s="411"/>
      <c r="EE14" s="411"/>
      <c r="EF14" s="411"/>
      <c r="EG14" s="411"/>
      <c r="EH14" s="411"/>
      <c r="EI14" s="411"/>
      <c r="EJ14" s="411"/>
      <c r="EK14" s="411"/>
      <c r="EL14" s="411"/>
      <c r="EM14" s="411"/>
      <c r="EN14" s="411"/>
      <c r="EO14" s="411"/>
      <c r="EP14" s="411"/>
      <c r="EQ14" s="411"/>
      <c r="ER14" s="411"/>
      <c r="ES14" s="411"/>
      <c r="ET14" s="411"/>
      <c r="EU14" s="411"/>
      <c r="EV14" s="411"/>
      <c r="EW14" s="411"/>
      <c r="EX14" s="411"/>
      <c r="EY14" s="411"/>
      <c r="EZ14" s="411"/>
      <c r="FA14" s="411"/>
      <c r="FB14" s="411"/>
      <c r="FC14" s="411"/>
      <c r="FD14" s="411"/>
      <c r="FE14" s="411"/>
      <c r="FF14" s="411"/>
      <c r="FG14" s="411"/>
      <c r="FH14" s="411"/>
      <c r="FI14" s="411"/>
      <c r="FJ14" s="411"/>
      <c r="FK14" s="411"/>
      <c r="FL14" s="411"/>
      <c r="FM14" s="411"/>
      <c r="FN14" s="411"/>
      <c r="FO14" s="411"/>
      <c r="FP14" s="411"/>
      <c r="FQ14" s="411"/>
      <c r="FR14" s="411"/>
      <c r="FS14" s="411"/>
      <c r="FT14" s="411"/>
      <c r="FU14" s="411"/>
      <c r="FV14" s="411"/>
      <c r="FW14" s="411"/>
      <c r="FX14" s="411"/>
      <c r="FY14" s="411"/>
      <c r="FZ14" s="411"/>
      <c r="GA14" s="411"/>
      <c r="GB14" s="411"/>
      <c r="GC14" s="411"/>
      <c r="GD14" s="411"/>
      <c r="GE14" s="411"/>
      <c r="GF14" s="411"/>
      <c r="GG14" s="411"/>
      <c r="GH14" s="411"/>
      <c r="GI14" s="411"/>
      <c r="GJ14" s="411"/>
      <c r="GK14" s="411"/>
      <c r="GL14" s="411"/>
      <c r="GM14" s="411"/>
      <c r="GN14" s="411"/>
      <c r="GO14" s="411"/>
      <c r="GP14" s="411"/>
      <c r="GQ14" s="411"/>
      <c r="GR14" s="411"/>
      <c r="GS14" s="411"/>
      <c r="GT14" s="411"/>
      <c r="GU14" s="411"/>
      <c r="GV14" s="411"/>
      <c r="GW14" s="411"/>
      <c r="GX14" s="411"/>
      <c r="GY14" s="411"/>
      <c r="GZ14" s="411"/>
      <c r="HA14" s="411"/>
      <c r="HB14" s="411"/>
      <c r="HC14" s="411"/>
      <c r="HD14" s="411"/>
      <c r="HE14" s="411"/>
      <c r="HF14" s="411"/>
      <c r="HG14" s="411"/>
      <c r="HH14" s="411"/>
      <c r="HI14" s="411"/>
      <c r="HJ14" s="411"/>
      <c r="HK14" s="411"/>
      <c r="HL14" s="411"/>
      <c r="HM14" s="411"/>
      <c r="HN14" s="411"/>
      <c r="HO14" s="411"/>
      <c r="HP14" s="411"/>
      <c r="HQ14" s="411"/>
      <c r="HR14" s="411"/>
      <c r="HS14" s="411"/>
      <c r="HT14" s="411"/>
      <c r="HU14" s="411"/>
      <c r="HV14" s="411"/>
      <c r="HW14" s="411"/>
      <c r="HX14" s="276">
        <v>45940</v>
      </c>
      <c r="HY14" s="271" t="s">
        <v>411</v>
      </c>
      <c r="HZ14" s="270" t="s">
        <v>392</v>
      </c>
      <c r="IA14" s="29" t="s">
        <v>61</v>
      </c>
      <c r="IB14" s="29"/>
    </row>
    <row r="15" spans="1:237">
      <c r="A15" s="274">
        <v>45940</v>
      </c>
      <c r="B15" s="29" t="s">
        <v>245</v>
      </c>
      <c r="C15" s="288" t="s">
        <v>129</v>
      </c>
      <c r="D15" s="413" t="s">
        <v>274</v>
      </c>
      <c r="E15" s="432" t="s">
        <v>413</v>
      </c>
      <c r="F15" s="29" t="s">
        <v>512</v>
      </c>
      <c r="G15" s="227">
        <v>1</v>
      </c>
      <c r="H15" s="221">
        <v>0</v>
      </c>
      <c r="I15" s="471" t="s">
        <v>695</v>
      </c>
      <c r="J15" s="473" t="b">
        <v>1</v>
      </c>
      <c r="K15" s="224">
        <f>SUM(L15:GM15)</f>
        <v>183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  <c r="AC15" s="34">
        <v>1</v>
      </c>
      <c r="AD15" s="34">
        <v>1</v>
      </c>
      <c r="AE15" s="34">
        <v>1</v>
      </c>
      <c r="AF15" s="34">
        <v>1</v>
      </c>
      <c r="AG15" s="34">
        <v>1</v>
      </c>
      <c r="AH15" s="34">
        <v>1</v>
      </c>
      <c r="AI15" s="34">
        <v>1</v>
      </c>
      <c r="AJ15" s="34">
        <v>1</v>
      </c>
      <c r="AK15" s="34">
        <v>1</v>
      </c>
      <c r="AL15" s="34">
        <v>1</v>
      </c>
      <c r="AM15" s="34">
        <v>1</v>
      </c>
      <c r="AN15" s="34">
        <v>1</v>
      </c>
      <c r="AO15" s="34">
        <v>1</v>
      </c>
      <c r="AP15" s="34">
        <v>1</v>
      </c>
      <c r="AQ15" s="34">
        <v>1</v>
      </c>
      <c r="AR15" s="34">
        <v>1</v>
      </c>
      <c r="AS15" s="34">
        <v>1</v>
      </c>
      <c r="AT15" s="34">
        <v>1</v>
      </c>
      <c r="AU15" s="34">
        <v>1</v>
      </c>
      <c r="AV15" s="34">
        <v>1</v>
      </c>
      <c r="AW15" s="34">
        <v>1</v>
      </c>
      <c r="AX15" s="34">
        <v>1</v>
      </c>
      <c r="AY15" s="34">
        <v>1</v>
      </c>
      <c r="AZ15" s="34">
        <v>1</v>
      </c>
      <c r="BA15" s="34">
        <v>1</v>
      </c>
      <c r="BB15" s="34">
        <v>1</v>
      </c>
      <c r="BC15" s="34">
        <v>1</v>
      </c>
      <c r="BD15" s="34">
        <v>1</v>
      </c>
      <c r="BE15" s="34">
        <v>1</v>
      </c>
      <c r="BF15" s="34">
        <v>1</v>
      </c>
      <c r="BG15" s="34">
        <v>1</v>
      </c>
      <c r="BH15" s="34">
        <v>1</v>
      </c>
      <c r="BI15" s="34">
        <v>1</v>
      </c>
      <c r="BJ15" s="34">
        <v>1</v>
      </c>
      <c r="BK15" s="34">
        <v>1</v>
      </c>
      <c r="BL15" s="34">
        <v>1</v>
      </c>
      <c r="BM15" s="34">
        <v>1</v>
      </c>
      <c r="BN15" s="34">
        <v>1</v>
      </c>
      <c r="BO15" s="34">
        <v>1</v>
      </c>
      <c r="BP15" s="34">
        <v>1</v>
      </c>
      <c r="BQ15" s="34">
        <v>1</v>
      </c>
      <c r="BR15" s="34">
        <v>1</v>
      </c>
      <c r="BS15" s="34">
        <v>1</v>
      </c>
      <c r="BT15" s="34">
        <v>1</v>
      </c>
      <c r="BU15" s="34">
        <v>1</v>
      </c>
      <c r="BV15" s="34">
        <v>1</v>
      </c>
      <c r="BW15" s="34">
        <v>1</v>
      </c>
      <c r="BX15" s="34">
        <v>1</v>
      </c>
      <c r="BY15" s="34">
        <v>1</v>
      </c>
      <c r="BZ15" s="34">
        <v>1</v>
      </c>
      <c r="CA15" s="34">
        <v>1</v>
      </c>
      <c r="CB15" s="34">
        <v>1</v>
      </c>
      <c r="CC15" s="34">
        <v>1</v>
      </c>
      <c r="CD15" s="34">
        <v>1</v>
      </c>
      <c r="CE15" s="34">
        <v>1</v>
      </c>
      <c r="CF15" s="34">
        <v>1</v>
      </c>
      <c r="CG15" s="34">
        <v>1</v>
      </c>
      <c r="CH15" s="34">
        <v>1</v>
      </c>
      <c r="CI15" s="34">
        <v>1</v>
      </c>
      <c r="CJ15" s="34">
        <v>1</v>
      </c>
      <c r="CK15" s="34">
        <v>1</v>
      </c>
      <c r="CL15" s="34">
        <v>1</v>
      </c>
      <c r="CM15" s="34">
        <v>1</v>
      </c>
      <c r="CN15" s="34">
        <v>1</v>
      </c>
      <c r="CO15" s="34">
        <v>1</v>
      </c>
      <c r="CP15" s="34">
        <v>1</v>
      </c>
      <c r="CQ15" s="34">
        <v>1</v>
      </c>
      <c r="CR15" s="34">
        <v>1</v>
      </c>
      <c r="CS15" s="34">
        <v>1</v>
      </c>
      <c r="CT15" s="34">
        <v>1</v>
      </c>
      <c r="CU15" s="34">
        <v>1</v>
      </c>
      <c r="CV15" s="34">
        <v>1</v>
      </c>
      <c r="CW15" s="34">
        <v>1</v>
      </c>
      <c r="CX15" s="34">
        <v>1</v>
      </c>
      <c r="CY15" s="34">
        <v>1</v>
      </c>
      <c r="CZ15" s="34">
        <v>1</v>
      </c>
      <c r="DA15" s="34">
        <v>1</v>
      </c>
      <c r="DB15" s="34">
        <v>1</v>
      </c>
      <c r="DC15" s="34">
        <v>1</v>
      </c>
      <c r="DD15" s="34">
        <v>1</v>
      </c>
      <c r="DE15" s="34">
        <v>1</v>
      </c>
      <c r="DF15" s="34">
        <v>1</v>
      </c>
      <c r="DG15" s="34">
        <v>1</v>
      </c>
      <c r="DH15" s="34">
        <v>1</v>
      </c>
      <c r="DI15" s="34">
        <v>1</v>
      </c>
      <c r="DJ15" s="34">
        <v>1</v>
      </c>
      <c r="DK15" s="34">
        <v>1</v>
      </c>
      <c r="DL15" s="34">
        <v>1</v>
      </c>
      <c r="DM15" s="34">
        <v>1</v>
      </c>
      <c r="DN15" s="34">
        <v>1</v>
      </c>
      <c r="DO15" s="34">
        <v>1</v>
      </c>
      <c r="DP15" s="34">
        <v>1</v>
      </c>
      <c r="DQ15" s="34">
        <v>1</v>
      </c>
      <c r="DR15" s="34">
        <v>1</v>
      </c>
      <c r="DS15" s="34">
        <v>1</v>
      </c>
      <c r="DT15" s="34">
        <v>1</v>
      </c>
      <c r="DU15" s="34">
        <v>1</v>
      </c>
      <c r="DV15" s="34">
        <v>1</v>
      </c>
      <c r="DW15" s="34">
        <v>1</v>
      </c>
      <c r="DX15" s="34">
        <v>1</v>
      </c>
      <c r="DY15" s="34">
        <v>1</v>
      </c>
      <c r="DZ15" s="34">
        <v>1</v>
      </c>
      <c r="EA15" s="34">
        <v>1</v>
      </c>
      <c r="EB15" s="34">
        <v>1</v>
      </c>
      <c r="EC15" s="34">
        <v>1</v>
      </c>
      <c r="ED15" s="34">
        <v>1</v>
      </c>
      <c r="EE15" s="34">
        <v>1</v>
      </c>
      <c r="EF15" s="34">
        <v>1</v>
      </c>
      <c r="EG15" s="34">
        <v>1</v>
      </c>
      <c r="EH15" s="34">
        <v>1</v>
      </c>
      <c r="EI15" s="34">
        <v>1</v>
      </c>
      <c r="EJ15" s="34">
        <v>1</v>
      </c>
      <c r="EK15" s="34">
        <v>1</v>
      </c>
      <c r="EL15" s="34">
        <v>1</v>
      </c>
      <c r="EM15" s="34">
        <v>1</v>
      </c>
      <c r="EN15" s="34">
        <v>1</v>
      </c>
      <c r="EO15" s="34">
        <v>1</v>
      </c>
      <c r="EP15" s="34">
        <v>1</v>
      </c>
      <c r="EQ15" s="34">
        <v>1</v>
      </c>
      <c r="ER15" s="34">
        <v>1</v>
      </c>
      <c r="ES15" s="34">
        <v>1</v>
      </c>
      <c r="ET15" s="34">
        <v>1</v>
      </c>
      <c r="EU15" s="34">
        <v>1</v>
      </c>
      <c r="EV15" s="34">
        <v>1</v>
      </c>
      <c r="EW15" s="34">
        <v>1</v>
      </c>
      <c r="EX15" s="34">
        <v>1</v>
      </c>
      <c r="EY15" s="34">
        <v>1</v>
      </c>
      <c r="EZ15" s="34">
        <v>1</v>
      </c>
      <c r="FA15" s="34">
        <v>1</v>
      </c>
      <c r="FB15" s="34">
        <v>1</v>
      </c>
      <c r="FC15" s="34">
        <v>1</v>
      </c>
      <c r="FD15" s="34">
        <v>1</v>
      </c>
      <c r="FE15" s="34">
        <v>1</v>
      </c>
      <c r="FF15" s="34">
        <v>1</v>
      </c>
      <c r="FG15" s="34">
        <v>1</v>
      </c>
      <c r="FH15" s="34">
        <v>1</v>
      </c>
      <c r="FI15" s="34">
        <v>1</v>
      </c>
      <c r="FJ15" s="34">
        <v>1</v>
      </c>
      <c r="FK15" s="34">
        <v>1</v>
      </c>
      <c r="FL15" s="34">
        <v>1</v>
      </c>
      <c r="FM15" s="34">
        <v>1</v>
      </c>
      <c r="FN15" s="34">
        <v>1</v>
      </c>
      <c r="FO15" s="34">
        <v>1</v>
      </c>
      <c r="FP15" s="34">
        <v>1</v>
      </c>
      <c r="FQ15" s="34">
        <v>1</v>
      </c>
      <c r="FR15" s="34">
        <v>1</v>
      </c>
      <c r="FS15" s="34">
        <v>1</v>
      </c>
      <c r="FT15" s="34">
        <v>1</v>
      </c>
      <c r="FU15" s="34">
        <v>1</v>
      </c>
      <c r="FV15" s="34">
        <v>1</v>
      </c>
      <c r="FW15" s="34">
        <v>1</v>
      </c>
      <c r="FX15" s="34">
        <v>1</v>
      </c>
      <c r="FY15" s="34">
        <v>1</v>
      </c>
      <c r="FZ15" s="34">
        <v>1</v>
      </c>
      <c r="GA15" s="34">
        <v>1</v>
      </c>
      <c r="GB15" s="34">
        <v>1</v>
      </c>
      <c r="GC15" s="34">
        <v>1</v>
      </c>
      <c r="GD15" s="34">
        <v>1</v>
      </c>
      <c r="GE15" s="34">
        <v>1</v>
      </c>
      <c r="GF15" s="34">
        <v>1</v>
      </c>
      <c r="GG15" s="34">
        <v>1</v>
      </c>
      <c r="GH15" s="34">
        <v>1</v>
      </c>
      <c r="GI15" s="34">
        <v>1</v>
      </c>
      <c r="GJ15" s="34">
        <v>1</v>
      </c>
      <c r="GK15" s="34">
        <v>1</v>
      </c>
      <c r="GL15" s="34">
        <v>1</v>
      </c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39" t="s">
        <v>398</v>
      </c>
      <c r="HY15" s="340" t="s">
        <v>414</v>
      </c>
      <c r="HZ15" s="341" t="s">
        <v>415</v>
      </c>
      <c r="IA15" s="29">
        <v>3</v>
      </c>
      <c r="IB15" s="29"/>
    </row>
    <row r="16" spans="1:237" ht="16.5">
      <c r="A16" s="37">
        <v>45944</v>
      </c>
      <c r="B16" s="29" t="s">
        <v>245</v>
      </c>
      <c r="C16" s="289" t="s">
        <v>132</v>
      </c>
      <c r="D16" s="412" t="s">
        <v>276</v>
      </c>
      <c r="E16" s="30" t="s">
        <v>416</v>
      </c>
      <c r="F16" s="29" t="s">
        <v>511</v>
      </c>
      <c r="G16" s="222">
        <v>0</v>
      </c>
      <c r="H16" s="224">
        <v>1</v>
      </c>
      <c r="I16" s="224"/>
      <c r="J16" s="224"/>
      <c r="K16" s="224">
        <f t="shared" si="0"/>
        <v>3</v>
      </c>
      <c r="L16" s="411">
        <v>1</v>
      </c>
      <c r="M16" s="411">
        <v>1</v>
      </c>
      <c r="N16" s="411">
        <v>1</v>
      </c>
      <c r="O16" s="411"/>
      <c r="P16" s="411"/>
      <c r="Q16" s="411"/>
      <c r="R16" s="411"/>
      <c r="S16" s="411"/>
      <c r="T16" s="411"/>
      <c r="U16" s="411"/>
      <c r="V16" s="411"/>
      <c r="W16" s="411"/>
      <c r="X16" s="411"/>
      <c r="Y16" s="411"/>
      <c r="Z16" s="411"/>
      <c r="AA16" s="411"/>
      <c r="AB16" s="411"/>
      <c r="AC16" s="411"/>
      <c r="AD16" s="411"/>
      <c r="AE16" s="411"/>
      <c r="AF16" s="411"/>
      <c r="AG16" s="411"/>
      <c r="AH16" s="411"/>
      <c r="AI16" s="411"/>
      <c r="AJ16" s="411"/>
      <c r="AK16" s="411"/>
      <c r="AL16" s="411"/>
      <c r="AM16" s="411"/>
      <c r="AN16" s="411"/>
      <c r="AO16" s="411"/>
      <c r="AP16" s="411"/>
      <c r="AQ16" s="411"/>
      <c r="AR16" s="411"/>
      <c r="AS16" s="411"/>
      <c r="AT16" s="411"/>
      <c r="AU16" s="411"/>
      <c r="AV16" s="411"/>
      <c r="AW16" s="411"/>
      <c r="AX16" s="411"/>
      <c r="AY16" s="411"/>
      <c r="AZ16" s="411"/>
      <c r="BA16" s="411"/>
      <c r="BB16" s="411"/>
      <c r="BC16" s="411"/>
      <c r="BD16" s="411"/>
      <c r="BE16" s="411"/>
      <c r="BF16" s="411"/>
      <c r="BG16" s="411"/>
      <c r="BH16" s="411"/>
      <c r="BI16" s="411"/>
      <c r="BJ16" s="411"/>
      <c r="BK16" s="411"/>
      <c r="BL16" s="411"/>
      <c r="BM16" s="411"/>
      <c r="BN16" s="411"/>
      <c r="BO16" s="411"/>
      <c r="BP16" s="411"/>
      <c r="BQ16" s="411"/>
      <c r="BR16" s="411"/>
      <c r="BS16" s="411"/>
      <c r="BT16" s="411"/>
      <c r="BU16" s="411"/>
      <c r="BV16" s="411"/>
      <c r="BW16" s="411"/>
      <c r="BX16" s="411"/>
      <c r="BY16" s="411"/>
      <c r="BZ16" s="411"/>
      <c r="CA16" s="411"/>
      <c r="CB16" s="411"/>
      <c r="CC16" s="411"/>
      <c r="CD16" s="411"/>
      <c r="CE16" s="411"/>
      <c r="CF16" s="411"/>
      <c r="CG16" s="411"/>
      <c r="CH16" s="411"/>
      <c r="CI16" s="411"/>
      <c r="CJ16" s="411"/>
      <c r="CK16" s="411"/>
      <c r="CL16" s="411"/>
      <c r="CM16" s="411"/>
      <c r="CN16" s="411"/>
      <c r="CO16" s="411"/>
      <c r="CP16" s="411"/>
      <c r="CQ16" s="411"/>
      <c r="CR16" s="411"/>
      <c r="CS16" s="411"/>
      <c r="CT16" s="411"/>
      <c r="CU16" s="411"/>
      <c r="CV16" s="411"/>
      <c r="CW16" s="411"/>
      <c r="CX16" s="411"/>
      <c r="CY16" s="411"/>
      <c r="CZ16" s="411"/>
      <c r="DA16" s="411"/>
      <c r="DB16" s="411"/>
      <c r="DC16" s="411"/>
      <c r="DD16" s="411"/>
      <c r="DE16" s="411"/>
      <c r="DF16" s="411"/>
      <c r="DG16" s="411"/>
      <c r="DH16" s="411"/>
      <c r="DI16" s="411"/>
      <c r="DJ16" s="411"/>
      <c r="DK16" s="411"/>
      <c r="DL16" s="411"/>
      <c r="DM16" s="411"/>
      <c r="DN16" s="411"/>
      <c r="DO16" s="411"/>
      <c r="DP16" s="411"/>
      <c r="DQ16" s="411"/>
      <c r="DR16" s="411"/>
      <c r="DS16" s="411"/>
      <c r="DT16" s="411"/>
      <c r="DU16" s="411"/>
      <c r="DV16" s="411"/>
      <c r="DW16" s="411"/>
      <c r="DX16" s="411"/>
      <c r="DY16" s="411"/>
      <c r="DZ16" s="411"/>
      <c r="EA16" s="411"/>
      <c r="EB16" s="411"/>
      <c r="EC16" s="411"/>
      <c r="ED16" s="411"/>
      <c r="EE16" s="411"/>
      <c r="EF16" s="411"/>
      <c r="EG16" s="411"/>
      <c r="EH16" s="411"/>
      <c r="EI16" s="411"/>
      <c r="EJ16" s="411"/>
      <c r="EK16" s="411"/>
      <c r="EL16" s="411"/>
      <c r="EM16" s="411"/>
      <c r="EN16" s="411"/>
      <c r="EO16" s="411"/>
      <c r="EP16" s="411"/>
      <c r="EQ16" s="411"/>
      <c r="ER16" s="411"/>
      <c r="ES16" s="411"/>
      <c r="ET16" s="411"/>
      <c r="EU16" s="411"/>
      <c r="EV16" s="411"/>
      <c r="EW16" s="411"/>
      <c r="EX16" s="411"/>
      <c r="EY16" s="411"/>
      <c r="EZ16" s="411"/>
      <c r="FA16" s="411"/>
      <c r="FB16" s="411"/>
      <c r="FC16" s="411"/>
      <c r="FD16" s="411"/>
      <c r="FE16" s="411"/>
      <c r="FF16" s="411"/>
      <c r="FG16" s="411"/>
      <c r="FH16" s="411"/>
      <c r="FI16" s="411"/>
      <c r="FJ16" s="411"/>
      <c r="FK16" s="411"/>
      <c r="FL16" s="411"/>
      <c r="FM16" s="411"/>
      <c r="FN16" s="411"/>
      <c r="FO16" s="411"/>
      <c r="FP16" s="411"/>
      <c r="FQ16" s="411"/>
      <c r="FR16" s="411"/>
      <c r="FS16" s="411"/>
      <c r="FT16" s="411"/>
      <c r="FU16" s="411"/>
      <c r="FV16" s="411"/>
      <c r="FW16" s="411"/>
      <c r="FX16" s="411"/>
      <c r="FY16" s="411"/>
      <c r="FZ16" s="411"/>
      <c r="GA16" s="411"/>
      <c r="GB16" s="411"/>
      <c r="GC16" s="411"/>
      <c r="GD16" s="411"/>
      <c r="GE16" s="411"/>
      <c r="GF16" s="411"/>
      <c r="GG16" s="411"/>
      <c r="GH16" s="411"/>
      <c r="GI16" s="411"/>
      <c r="GJ16" s="411"/>
      <c r="GK16" s="411"/>
      <c r="GL16" s="411"/>
      <c r="GM16" s="411"/>
      <c r="GN16" s="411"/>
      <c r="GO16" s="411"/>
      <c r="GP16" s="411"/>
      <c r="GQ16" s="411"/>
      <c r="GR16" s="411"/>
      <c r="GS16" s="411"/>
      <c r="GT16" s="411"/>
      <c r="GU16" s="411"/>
      <c r="GV16" s="411"/>
      <c r="GW16" s="411"/>
      <c r="GX16" s="411"/>
      <c r="GY16" s="411"/>
      <c r="GZ16" s="411"/>
      <c r="HA16" s="411"/>
      <c r="HB16" s="411"/>
      <c r="HC16" s="411"/>
      <c r="HD16" s="411"/>
      <c r="HE16" s="411"/>
      <c r="HF16" s="411"/>
      <c r="HG16" s="411"/>
      <c r="HH16" s="411"/>
      <c r="HI16" s="411"/>
      <c r="HJ16" s="411"/>
      <c r="HK16" s="411"/>
      <c r="HL16" s="411"/>
      <c r="HM16" s="411"/>
      <c r="HN16" s="411"/>
      <c r="HO16" s="411"/>
      <c r="HP16" s="411"/>
      <c r="HQ16" s="411"/>
      <c r="HR16" s="411"/>
      <c r="HS16" s="411"/>
      <c r="HT16" s="411"/>
      <c r="HU16" s="411"/>
      <c r="HV16" s="411"/>
      <c r="HW16" s="411"/>
      <c r="HX16" s="276">
        <v>45947</v>
      </c>
      <c r="HY16" s="233" t="s">
        <v>411</v>
      </c>
      <c r="HZ16" s="270" t="s">
        <v>392</v>
      </c>
      <c r="IA16" s="29" t="s">
        <v>61</v>
      </c>
      <c r="IB16" s="29"/>
    </row>
    <row r="17" spans="1:236" ht="16.5">
      <c r="A17" s="37">
        <v>45944</v>
      </c>
      <c r="B17" s="29" t="s">
        <v>245</v>
      </c>
      <c r="C17" s="289" t="s">
        <v>132</v>
      </c>
      <c r="D17" s="412" t="s">
        <v>276</v>
      </c>
      <c r="E17" s="30" t="s">
        <v>417</v>
      </c>
      <c r="F17" s="29" t="s">
        <v>511</v>
      </c>
      <c r="G17" s="29">
        <v>0</v>
      </c>
      <c r="H17" s="224">
        <v>1</v>
      </c>
      <c r="I17" s="224"/>
      <c r="J17" s="224"/>
      <c r="K17" s="224">
        <f t="shared" si="0"/>
        <v>3</v>
      </c>
      <c r="L17" s="411">
        <v>1</v>
      </c>
      <c r="M17" s="411">
        <v>1</v>
      </c>
      <c r="N17" s="411">
        <v>1</v>
      </c>
      <c r="O17" s="411"/>
      <c r="P17" s="411"/>
      <c r="Q17" s="411"/>
      <c r="R17" s="411"/>
      <c r="S17" s="411"/>
      <c r="T17" s="411"/>
      <c r="U17" s="411"/>
      <c r="V17" s="411"/>
      <c r="W17" s="411"/>
      <c r="X17" s="411"/>
      <c r="Y17" s="411"/>
      <c r="Z17" s="411"/>
      <c r="AA17" s="411"/>
      <c r="AB17" s="411"/>
      <c r="AC17" s="411"/>
      <c r="AD17" s="411"/>
      <c r="AE17" s="411"/>
      <c r="AF17" s="411"/>
      <c r="AG17" s="411"/>
      <c r="AH17" s="411"/>
      <c r="AI17" s="411"/>
      <c r="AJ17" s="411"/>
      <c r="AK17" s="411"/>
      <c r="AL17" s="411"/>
      <c r="AM17" s="411"/>
      <c r="AN17" s="411"/>
      <c r="AO17" s="411"/>
      <c r="AP17" s="411"/>
      <c r="AQ17" s="411"/>
      <c r="AR17" s="411"/>
      <c r="AS17" s="411"/>
      <c r="AT17" s="411"/>
      <c r="AU17" s="411"/>
      <c r="AV17" s="411"/>
      <c r="AW17" s="411"/>
      <c r="AX17" s="411"/>
      <c r="AY17" s="411"/>
      <c r="AZ17" s="411"/>
      <c r="BA17" s="411"/>
      <c r="BB17" s="411"/>
      <c r="BC17" s="411"/>
      <c r="BD17" s="411"/>
      <c r="BE17" s="411"/>
      <c r="BF17" s="411"/>
      <c r="BG17" s="411"/>
      <c r="BH17" s="411"/>
      <c r="BI17" s="411"/>
      <c r="BJ17" s="411"/>
      <c r="BK17" s="411"/>
      <c r="BL17" s="411"/>
      <c r="BM17" s="411"/>
      <c r="BN17" s="411"/>
      <c r="BO17" s="411"/>
      <c r="BP17" s="411"/>
      <c r="BQ17" s="411"/>
      <c r="BR17" s="411"/>
      <c r="BS17" s="411"/>
      <c r="BT17" s="411"/>
      <c r="BU17" s="411"/>
      <c r="BV17" s="411"/>
      <c r="BW17" s="411"/>
      <c r="BX17" s="411"/>
      <c r="BY17" s="411"/>
      <c r="BZ17" s="411"/>
      <c r="CA17" s="411"/>
      <c r="CB17" s="411"/>
      <c r="CC17" s="411"/>
      <c r="CD17" s="411"/>
      <c r="CE17" s="411"/>
      <c r="CF17" s="411"/>
      <c r="CG17" s="411"/>
      <c r="CH17" s="411"/>
      <c r="CI17" s="411"/>
      <c r="CJ17" s="411"/>
      <c r="CK17" s="411"/>
      <c r="CL17" s="411"/>
      <c r="CM17" s="411"/>
      <c r="CN17" s="411"/>
      <c r="CO17" s="411"/>
      <c r="CP17" s="411"/>
      <c r="CQ17" s="411"/>
      <c r="CR17" s="411"/>
      <c r="CS17" s="411"/>
      <c r="CT17" s="411"/>
      <c r="CU17" s="411"/>
      <c r="CV17" s="411"/>
      <c r="CW17" s="411"/>
      <c r="CX17" s="411"/>
      <c r="CY17" s="411"/>
      <c r="CZ17" s="411"/>
      <c r="DA17" s="411"/>
      <c r="DB17" s="411"/>
      <c r="DC17" s="411"/>
      <c r="DD17" s="411"/>
      <c r="DE17" s="411"/>
      <c r="DF17" s="411"/>
      <c r="DG17" s="411"/>
      <c r="DH17" s="411"/>
      <c r="DI17" s="411"/>
      <c r="DJ17" s="411"/>
      <c r="DK17" s="411"/>
      <c r="DL17" s="411"/>
      <c r="DM17" s="411"/>
      <c r="DN17" s="411"/>
      <c r="DO17" s="411"/>
      <c r="DP17" s="411"/>
      <c r="DQ17" s="411"/>
      <c r="DR17" s="411"/>
      <c r="DS17" s="411"/>
      <c r="DT17" s="411"/>
      <c r="DU17" s="411"/>
      <c r="DV17" s="411"/>
      <c r="DW17" s="411"/>
      <c r="DX17" s="411"/>
      <c r="DY17" s="411"/>
      <c r="DZ17" s="411"/>
      <c r="EA17" s="411"/>
      <c r="EB17" s="411"/>
      <c r="EC17" s="411"/>
      <c r="ED17" s="411"/>
      <c r="EE17" s="411"/>
      <c r="EF17" s="411"/>
      <c r="EG17" s="411"/>
      <c r="EH17" s="411"/>
      <c r="EI17" s="411"/>
      <c r="EJ17" s="411"/>
      <c r="EK17" s="411"/>
      <c r="EL17" s="411"/>
      <c r="EM17" s="411"/>
      <c r="EN17" s="411"/>
      <c r="EO17" s="411"/>
      <c r="EP17" s="411"/>
      <c r="EQ17" s="411"/>
      <c r="ER17" s="411"/>
      <c r="ES17" s="411"/>
      <c r="ET17" s="411"/>
      <c r="EU17" s="411"/>
      <c r="EV17" s="411"/>
      <c r="EW17" s="411"/>
      <c r="EX17" s="411"/>
      <c r="EY17" s="411"/>
      <c r="EZ17" s="411"/>
      <c r="FA17" s="411"/>
      <c r="FB17" s="411"/>
      <c r="FC17" s="411"/>
      <c r="FD17" s="411"/>
      <c r="FE17" s="411"/>
      <c r="FF17" s="411"/>
      <c r="FG17" s="411"/>
      <c r="FH17" s="411"/>
      <c r="FI17" s="411"/>
      <c r="FJ17" s="411"/>
      <c r="FK17" s="411"/>
      <c r="FL17" s="411"/>
      <c r="FM17" s="411"/>
      <c r="FN17" s="411"/>
      <c r="FO17" s="411"/>
      <c r="FP17" s="411"/>
      <c r="FQ17" s="411"/>
      <c r="FR17" s="411"/>
      <c r="FS17" s="411"/>
      <c r="FT17" s="411"/>
      <c r="FU17" s="411"/>
      <c r="FV17" s="411"/>
      <c r="FW17" s="411"/>
      <c r="FX17" s="411"/>
      <c r="FY17" s="411"/>
      <c r="FZ17" s="411"/>
      <c r="GA17" s="411"/>
      <c r="GB17" s="411"/>
      <c r="GC17" s="411"/>
      <c r="GD17" s="411"/>
      <c r="GE17" s="411"/>
      <c r="GF17" s="411"/>
      <c r="GG17" s="411"/>
      <c r="GH17" s="411"/>
      <c r="GI17" s="411"/>
      <c r="GJ17" s="411"/>
      <c r="GK17" s="411"/>
      <c r="GL17" s="411"/>
      <c r="GM17" s="411"/>
      <c r="GN17" s="411"/>
      <c r="GO17" s="411"/>
      <c r="GP17" s="411"/>
      <c r="GQ17" s="411"/>
      <c r="GR17" s="411"/>
      <c r="GS17" s="411"/>
      <c r="GT17" s="411"/>
      <c r="GU17" s="411"/>
      <c r="GV17" s="411"/>
      <c r="GW17" s="411"/>
      <c r="GX17" s="411"/>
      <c r="GY17" s="411"/>
      <c r="GZ17" s="411"/>
      <c r="HA17" s="411"/>
      <c r="HB17" s="411"/>
      <c r="HC17" s="411"/>
      <c r="HD17" s="411"/>
      <c r="HE17" s="411"/>
      <c r="HF17" s="411"/>
      <c r="HG17" s="411"/>
      <c r="HH17" s="411"/>
      <c r="HI17" s="411"/>
      <c r="HJ17" s="411"/>
      <c r="HK17" s="411"/>
      <c r="HL17" s="411"/>
      <c r="HM17" s="411"/>
      <c r="HN17" s="411"/>
      <c r="HO17" s="411"/>
      <c r="HP17" s="411"/>
      <c r="HQ17" s="411"/>
      <c r="HR17" s="411"/>
      <c r="HS17" s="411"/>
      <c r="HT17" s="411"/>
      <c r="HU17" s="411"/>
      <c r="HV17" s="411"/>
      <c r="HW17" s="411"/>
      <c r="HX17" s="276">
        <v>45947</v>
      </c>
      <c r="HY17" s="30" t="s">
        <v>411</v>
      </c>
      <c r="HZ17" s="270" t="s">
        <v>392</v>
      </c>
      <c r="IA17" s="29" t="s">
        <v>61</v>
      </c>
      <c r="IB17" s="29"/>
    </row>
    <row r="18" spans="1:236">
      <c r="A18" s="37">
        <v>45946</v>
      </c>
      <c r="B18" s="29" t="s">
        <v>245</v>
      </c>
      <c r="C18" s="284" t="s">
        <v>418</v>
      </c>
      <c r="D18" s="413" t="s">
        <v>274</v>
      </c>
      <c r="E18" s="30" t="s">
        <v>217</v>
      </c>
      <c r="F18" s="29" t="s">
        <v>511</v>
      </c>
      <c r="G18" s="29">
        <v>0</v>
      </c>
      <c r="H18" s="224">
        <v>1</v>
      </c>
      <c r="I18" s="224"/>
      <c r="J18" s="224"/>
      <c r="K18" s="224">
        <f t="shared" si="0"/>
        <v>5</v>
      </c>
      <c r="L18" s="224">
        <v>1</v>
      </c>
      <c r="M18" s="224">
        <v>1</v>
      </c>
      <c r="N18" s="224">
        <v>1</v>
      </c>
      <c r="O18" s="224">
        <v>1</v>
      </c>
      <c r="P18" s="224">
        <v>1</v>
      </c>
      <c r="Q18" s="22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  <c r="AD18" s="224"/>
      <c r="AE18" s="224"/>
      <c r="AF18" s="224"/>
      <c r="AG18" s="224"/>
      <c r="AH18" s="224"/>
      <c r="AI18" s="224"/>
      <c r="AJ18" s="224"/>
      <c r="AK18" s="224"/>
      <c r="AL18" s="224"/>
      <c r="AM18" s="224"/>
      <c r="AN18" s="224"/>
      <c r="AO18" s="224"/>
      <c r="AP18" s="224"/>
      <c r="AQ18" s="224"/>
      <c r="AR18" s="224"/>
      <c r="AS18" s="224"/>
      <c r="AT18" s="224"/>
      <c r="AU18" s="224"/>
      <c r="AV18" s="224"/>
      <c r="AW18" s="224"/>
      <c r="AX18" s="224"/>
      <c r="AY18" s="224"/>
      <c r="AZ18" s="224"/>
      <c r="BA18" s="224"/>
      <c r="BB18" s="224"/>
      <c r="BC18" s="224"/>
      <c r="BD18" s="224"/>
      <c r="BE18" s="224"/>
      <c r="BF18" s="224"/>
      <c r="BG18" s="224"/>
      <c r="BH18" s="224"/>
      <c r="BI18" s="224"/>
      <c r="BJ18" s="224"/>
      <c r="BK18" s="224"/>
      <c r="BL18" s="224"/>
      <c r="BM18" s="224"/>
      <c r="BN18" s="224"/>
      <c r="BO18" s="224"/>
      <c r="BP18" s="224"/>
      <c r="BQ18" s="224"/>
      <c r="BR18" s="224"/>
      <c r="BS18" s="224"/>
      <c r="BT18" s="224"/>
      <c r="BU18" s="224"/>
      <c r="BV18" s="224"/>
      <c r="BW18" s="224"/>
      <c r="BX18" s="224"/>
      <c r="BY18" s="224"/>
      <c r="BZ18" s="224"/>
      <c r="CA18" s="224"/>
      <c r="CB18" s="224"/>
      <c r="CC18" s="224"/>
      <c r="CD18" s="224"/>
      <c r="CE18" s="224"/>
      <c r="CF18" s="224"/>
      <c r="CG18" s="224"/>
      <c r="CH18" s="224"/>
      <c r="CI18" s="224"/>
      <c r="CJ18" s="224"/>
      <c r="CK18" s="224"/>
      <c r="CL18" s="224"/>
      <c r="CM18" s="224"/>
      <c r="CN18" s="224"/>
      <c r="CO18" s="224"/>
      <c r="CP18" s="224"/>
      <c r="CQ18" s="224"/>
      <c r="CR18" s="224"/>
      <c r="CS18" s="224"/>
      <c r="CT18" s="224"/>
      <c r="CU18" s="224"/>
      <c r="CV18" s="224"/>
      <c r="CW18" s="224"/>
      <c r="CX18" s="224"/>
      <c r="CY18" s="224"/>
      <c r="CZ18" s="224"/>
      <c r="DA18" s="224"/>
      <c r="DB18" s="224"/>
      <c r="DC18" s="224"/>
      <c r="DD18" s="224"/>
      <c r="DE18" s="224"/>
      <c r="DF18" s="224"/>
      <c r="DG18" s="224"/>
      <c r="DH18" s="224"/>
      <c r="DI18" s="224"/>
      <c r="DJ18" s="224"/>
      <c r="DK18" s="224"/>
      <c r="DL18" s="224"/>
      <c r="DM18" s="224"/>
      <c r="DN18" s="224"/>
      <c r="DO18" s="224"/>
      <c r="DP18" s="224"/>
      <c r="DQ18" s="224"/>
      <c r="DR18" s="224"/>
      <c r="DS18" s="224"/>
      <c r="DT18" s="224"/>
      <c r="DU18" s="224"/>
      <c r="DV18" s="224"/>
      <c r="DW18" s="224"/>
      <c r="DX18" s="224"/>
      <c r="DY18" s="224"/>
      <c r="DZ18" s="224"/>
      <c r="EA18" s="224"/>
      <c r="EB18" s="224"/>
      <c r="EC18" s="224"/>
      <c r="ED18" s="224"/>
      <c r="EE18" s="224"/>
      <c r="EF18" s="224"/>
      <c r="EG18" s="224"/>
      <c r="EH18" s="224"/>
      <c r="EI18" s="224"/>
      <c r="EJ18" s="224"/>
      <c r="EK18" s="224"/>
      <c r="EL18" s="224"/>
      <c r="EM18" s="224"/>
      <c r="EN18" s="224"/>
      <c r="EO18" s="224"/>
      <c r="EP18" s="224"/>
      <c r="EQ18" s="224"/>
      <c r="ER18" s="224"/>
      <c r="ES18" s="224"/>
      <c r="ET18" s="224"/>
      <c r="EU18" s="224"/>
      <c r="EV18" s="224"/>
      <c r="EW18" s="224"/>
      <c r="EX18" s="224"/>
      <c r="EY18" s="224"/>
      <c r="EZ18" s="224"/>
      <c r="FA18" s="224"/>
      <c r="FB18" s="224"/>
      <c r="FC18" s="224"/>
      <c r="FD18" s="224"/>
      <c r="FE18" s="224"/>
      <c r="FF18" s="224"/>
      <c r="FG18" s="224"/>
      <c r="FH18" s="224"/>
      <c r="FI18" s="224"/>
      <c r="FJ18" s="224"/>
      <c r="FK18" s="224"/>
      <c r="FL18" s="224"/>
      <c r="FM18" s="224"/>
      <c r="FN18" s="224"/>
      <c r="FO18" s="224"/>
      <c r="FP18" s="224"/>
      <c r="FQ18" s="224"/>
      <c r="FR18" s="224"/>
      <c r="FS18" s="224"/>
      <c r="FT18" s="224"/>
      <c r="FU18" s="224"/>
      <c r="FV18" s="224"/>
      <c r="FW18" s="224"/>
      <c r="FX18" s="224"/>
      <c r="FY18" s="224"/>
      <c r="FZ18" s="224"/>
      <c r="GA18" s="224"/>
      <c r="GB18" s="224"/>
      <c r="GC18" s="224"/>
      <c r="GD18" s="224"/>
      <c r="GE18" s="224"/>
      <c r="GF18" s="224"/>
      <c r="GG18" s="224"/>
      <c r="GH18" s="224"/>
      <c r="GI18" s="224"/>
      <c r="GJ18" s="224"/>
      <c r="GK18" s="224"/>
      <c r="GL18" s="224"/>
      <c r="GM18" s="224"/>
      <c r="GN18" s="224"/>
      <c r="GO18" s="224"/>
      <c r="GP18" s="224"/>
      <c r="GQ18" s="224"/>
      <c r="GR18" s="224"/>
      <c r="GS18" s="224"/>
      <c r="GT18" s="224"/>
      <c r="GU18" s="224"/>
      <c r="GV18" s="224"/>
      <c r="GW18" s="224"/>
      <c r="GX18" s="224"/>
      <c r="GY18" s="224"/>
      <c r="GZ18" s="224"/>
      <c r="HA18" s="224"/>
      <c r="HB18" s="224"/>
      <c r="HC18" s="224"/>
      <c r="HD18" s="224"/>
      <c r="HE18" s="224"/>
      <c r="HF18" s="224"/>
      <c r="HG18" s="224"/>
      <c r="HH18" s="224"/>
      <c r="HI18" s="224"/>
      <c r="HJ18" s="224"/>
      <c r="HK18" s="224"/>
      <c r="HL18" s="224"/>
      <c r="HM18" s="224"/>
      <c r="HN18" s="224"/>
      <c r="HO18" s="224"/>
      <c r="HP18" s="224"/>
      <c r="HQ18" s="224"/>
      <c r="HR18" s="224"/>
      <c r="HS18" s="224"/>
      <c r="HT18" s="224"/>
      <c r="HU18" s="224"/>
      <c r="HV18" s="224"/>
      <c r="HW18" s="224"/>
      <c r="HX18" s="286">
        <v>45951</v>
      </c>
      <c r="HY18" s="30" t="s">
        <v>419</v>
      </c>
      <c r="HZ18" s="29" t="s">
        <v>392</v>
      </c>
      <c r="IA18" s="29" t="s">
        <v>61</v>
      </c>
      <c r="IB18" s="29"/>
    </row>
    <row r="19" spans="1:236">
      <c r="A19" s="37">
        <v>45950</v>
      </c>
      <c r="B19" s="29" t="s">
        <v>421</v>
      </c>
      <c r="C19" s="284" t="s">
        <v>138</v>
      </c>
      <c r="D19" s="413" t="s">
        <v>274</v>
      </c>
      <c r="E19" s="30" t="s">
        <v>420</v>
      </c>
      <c r="F19" s="29" t="s">
        <v>512</v>
      </c>
      <c r="G19" s="224">
        <v>1</v>
      </c>
      <c r="H19" s="29">
        <v>0</v>
      </c>
      <c r="I19" s="29"/>
      <c r="J19" s="473" t="b">
        <v>0</v>
      </c>
      <c r="K19" s="224">
        <f t="shared" si="0"/>
        <v>8</v>
      </c>
      <c r="L19" s="29">
        <v>1</v>
      </c>
      <c r="M19" s="29">
        <v>1</v>
      </c>
      <c r="N19" s="29">
        <v>1</v>
      </c>
      <c r="O19" s="29">
        <v>1</v>
      </c>
      <c r="P19" s="29">
        <v>1</v>
      </c>
      <c r="Q19" s="29">
        <v>1</v>
      </c>
      <c r="R19" s="29">
        <v>1</v>
      </c>
      <c r="S19" s="29">
        <v>1</v>
      </c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/>
      <c r="GE19" s="29"/>
      <c r="GF19" s="29"/>
      <c r="GG19" s="29"/>
      <c r="GH19" s="29"/>
      <c r="GI19" s="29"/>
      <c r="GJ19" s="29"/>
      <c r="GK19" s="29"/>
      <c r="GL19" s="29"/>
      <c r="GM19" s="29"/>
      <c r="GN19" s="29"/>
      <c r="GO19" s="29"/>
      <c r="GP19" s="29"/>
      <c r="GQ19" s="29"/>
      <c r="GR19" s="29"/>
      <c r="GS19" s="29"/>
      <c r="GT19" s="29"/>
      <c r="GU19" s="29"/>
      <c r="GV19" s="29"/>
      <c r="GW19" s="29"/>
      <c r="GX19" s="29"/>
      <c r="GY19" s="29"/>
      <c r="GZ19" s="29"/>
      <c r="HA19" s="29"/>
      <c r="HB19" s="29"/>
      <c r="HC19" s="29"/>
      <c r="HD19" s="29"/>
      <c r="HE19" s="29"/>
      <c r="HF19" s="29"/>
      <c r="HG19" s="29"/>
      <c r="HH19" s="29"/>
      <c r="HI19" s="29"/>
      <c r="HJ19" s="29"/>
      <c r="HK19" s="29"/>
      <c r="HL19" s="2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345" t="s">
        <v>398</v>
      </c>
      <c r="HY19" s="399" t="s">
        <v>422</v>
      </c>
      <c r="HZ19" s="400" t="s">
        <v>423</v>
      </c>
      <c r="IA19" s="29">
        <v>4</v>
      </c>
      <c r="IB19" s="723" t="s">
        <v>424</v>
      </c>
    </row>
    <row r="20" spans="1:236">
      <c r="A20" s="37">
        <v>45950</v>
      </c>
      <c r="B20" s="29" t="s">
        <v>421</v>
      </c>
      <c r="C20" s="284" t="s">
        <v>138</v>
      </c>
      <c r="D20" s="413" t="s">
        <v>274</v>
      </c>
      <c r="E20" s="430" t="s">
        <v>425</v>
      </c>
      <c r="F20" s="29" t="s">
        <v>398</v>
      </c>
      <c r="G20" s="224">
        <v>1</v>
      </c>
      <c r="H20" s="29">
        <v>0</v>
      </c>
      <c r="I20" s="470" t="s">
        <v>696</v>
      </c>
      <c r="J20" s="473" t="b">
        <v>0</v>
      </c>
      <c r="K20" s="224">
        <f>SUM(L20:GI20)</f>
        <v>177</v>
      </c>
      <c r="L20" s="29">
        <v>1</v>
      </c>
      <c r="M20" s="29">
        <v>1</v>
      </c>
      <c r="N20" s="29">
        <v>1</v>
      </c>
      <c r="O20" s="29">
        <v>1</v>
      </c>
      <c r="P20" s="29">
        <v>1</v>
      </c>
      <c r="Q20" s="29">
        <v>1</v>
      </c>
      <c r="R20" s="29">
        <v>1</v>
      </c>
      <c r="S20" s="29">
        <v>1</v>
      </c>
      <c r="T20" s="29">
        <v>1</v>
      </c>
      <c r="U20" s="29">
        <v>1</v>
      </c>
      <c r="V20" s="29">
        <v>1</v>
      </c>
      <c r="W20" s="29">
        <v>1</v>
      </c>
      <c r="X20" s="29">
        <v>1</v>
      </c>
      <c r="Y20" s="29">
        <v>1</v>
      </c>
      <c r="Z20" s="29">
        <v>1</v>
      </c>
      <c r="AA20" s="29">
        <v>1</v>
      </c>
      <c r="AB20" s="29">
        <v>1</v>
      </c>
      <c r="AC20" s="29">
        <v>1</v>
      </c>
      <c r="AD20" s="29">
        <v>1</v>
      </c>
      <c r="AE20" s="29">
        <v>1</v>
      </c>
      <c r="AF20" s="29">
        <v>1</v>
      </c>
      <c r="AG20" s="29">
        <v>1</v>
      </c>
      <c r="AH20" s="29">
        <v>1</v>
      </c>
      <c r="AI20" s="29">
        <v>1</v>
      </c>
      <c r="AJ20" s="29">
        <v>1</v>
      </c>
      <c r="AK20" s="29">
        <v>1</v>
      </c>
      <c r="AL20" s="29">
        <v>1</v>
      </c>
      <c r="AM20" s="29">
        <v>1</v>
      </c>
      <c r="AN20" s="29">
        <v>1</v>
      </c>
      <c r="AO20" s="29">
        <v>1</v>
      </c>
      <c r="AP20" s="29">
        <v>1</v>
      </c>
      <c r="AQ20" s="29">
        <v>1</v>
      </c>
      <c r="AR20" s="29">
        <v>1</v>
      </c>
      <c r="AS20" s="29">
        <v>1</v>
      </c>
      <c r="AT20" s="29">
        <v>1</v>
      </c>
      <c r="AU20" s="29">
        <v>1</v>
      </c>
      <c r="AV20" s="29">
        <v>1</v>
      </c>
      <c r="AW20" s="29">
        <v>1</v>
      </c>
      <c r="AX20" s="29">
        <v>1</v>
      </c>
      <c r="AY20" s="29">
        <v>1</v>
      </c>
      <c r="AZ20" s="29">
        <v>1</v>
      </c>
      <c r="BA20" s="29">
        <v>1</v>
      </c>
      <c r="BB20" s="29">
        <v>1</v>
      </c>
      <c r="BC20" s="29">
        <v>1</v>
      </c>
      <c r="BD20" s="29">
        <v>1</v>
      </c>
      <c r="BE20" s="29">
        <v>1</v>
      </c>
      <c r="BF20" s="29">
        <v>1</v>
      </c>
      <c r="BG20" s="29">
        <v>1</v>
      </c>
      <c r="BH20" s="29">
        <v>1</v>
      </c>
      <c r="BI20" s="29">
        <v>1</v>
      </c>
      <c r="BJ20" s="29">
        <v>1</v>
      </c>
      <c r="BK20" s="29">
        <v>1</v>
      </c>
      <c r="BL20" s="29">
        <v>1</v>
      </c>
      <c r="BM20" s="29">
        <v>1</v>
      </c>
      <c r="BN20" s="29">
        <v>1</v>
      </c>
      <c r="BO20" s="29">
        <v>1</v>
      </c>
      <c r="BP20" s="29">
        <v>1</v>
      </c>
      <c r="BQ20" s="29">
        <v>1</v>
      </c>
      <c r="BR20" s="29">
        <v>1</v>
      </c>
      <c r="BS20" s="29">
        <v>1</v>
      </c>
      <c r="BT20" s="29">
        <v>1</v>
      </c>
      <c r="BU20" s="29">
        <v>1</v>
      </c>
      <c r="BV20" s="29">
        <v>1</v>
      </c>
      <c r="BW20" s="29">
        <v>1</v>
      </c>
      <c r="BX20" s="29">
        <v>1</v>
      </c>
      <c r="BY20" s="29">
        <v>1</v>
      </c>
      <c r="BZ20" s="29">
        <v>1</v>
      </c>
      <c r="CA20" s="29">
        <v>1</v>
      </c>
      <c r="CB20" s="29">
        <v>1</v>
      </c>
      <c r="CC20" s="29">
        <v>1</v>
      </c>
      <c r="CD20" s="29">
        <v>1</v>
      </c>
      <c r="CE20" s="29">
        <v>1</v>
      </c>
      <c r="CF20" s="29">
        <v>1</v>
      </c>
      <c r="CG20" s="29">
        <v>1</v>
      </c>
      <c r="CH20" s="29">
        <v>1</v>
      </c>
      <c r="CI20" s="29">
        <v>1</v>
      </c>
      <c r="CJ20" s="29">
        <v>1</v>
      </c>
      <c r="CK20" s="29">
        <v>1</v>
      </c>
      <c r="CL20" s="29">
        <v>1</v>
      </c>
      <c r="CM20" s="29">
        <v>1</v>
      </c>
      <c r="CN20" s="29">
        <v>1</v>
      </c>
      <c r="CO20" s="29">
        <v>1</v>
      </c>
      <c r="CP20" s="29">
        <v>1</v>
      </c>
      <c r="CQ20" s="29">
        <v>1</v>
      </c>
      <c r="CR20" s="29">
        <v>1</v>
      </c>
      <c r="CS20" s="29">
        <v>1</v>
      </c>
      <c r="CT20" s="29">
        <v>1</v>
      </c>
      <c r="CU20" s="29">
        <v>1</v>
      </c>
      <c r="CV20" s="29">
        <v>1</v>
      </c>
      <c r="CW20" s="29">
        <v>1</v>
      </c>
      <c r="CX20" s="29">
        <v>1</v>
      </c>
      <c r="CY20" s="29">
        <v>1</v>
      </c>
      <c r="CZ20" s="29">
        <v>1</v>
      </c>
      <c r="DA20" s="29">
        <v>1</v>
      </c>
      <c r="DB20" s="29">
        <v>1</v>
      </c>
      <c r="DC20" s="29">
        <v>1</v>
      </c>
      <c r="DD20" s="29">
        <v>1</v>
      </c>
      <c r="DE20" s="29">
        <v>1</v>
      </c>
      <c r="DF20" s="29">
        <v>1</v>
      </c>
      <c r="DG20" s="29">
        <v>1</v>
      </c>
      <c r="DH20" s="29">
        <v>1</v>
      </c>
      <c r="DI20" s="29">
        <v>1</v>
      </c>
      <c r="DJ20" s="29">
        <v>1</v>
      </c>
      <c r="DK20" s="29">
        <v>1</v>
      </c>
      <c r="DL20" s="29">
        <v>1</v>
      </c>
      <c r="DM20" s="29">
        <v>1</v>
      </c>
      <c r="DN20" s="29">
        <v>1</v>
      </c>
      <c r="DO20" s="29">
        <v>1</v>
      </c>
      <c r="DP20" s="29">
        <v>1</v>
      </c>
      <c r="DQ20" s="29">
        <v>1</v>
      </c>
      <c r="DR20" s="29">
        <v>1</v>
      </c>
      <c r="DS20" s="29">
        <v>1</v>
      </c>
      <c r="DT20" s="29">
        <v>1</v>
      </c>
      <c r="DU20" s="29">
        <v>1</v>
      </c>
      <c r="DV20" s="29">
        <v>1</v>
      </c>
      <c r="DW20" s="29">
        <v>1</v>
      </c>
      <c r="DX20" s="29">
        <v>1</v>
      </c>
      <c r="DY20" s="29">
        <v>1</v>
      </c>
      <c r="DZ20" s="29">
        <v>1</v>
      </c>
      <c r="EA20" s="29">
        <v>1</v>
      </c>
      <c r="EB20" s="29">
        <v>1</v>
      </c>
      <c r="EC20" s="29">
        <v>1</v>
      </c>
      <c r="ED20" s="29">
        <v>1</v>
      </c>
      <c r="EE20" s="29">
        <v>1</v>
      </c>
      <c r="EF20" s="29">
        <v>1</v>
      </c>
      <c r="EG20" s="29">
        <v>1</v>
      </c>
      <c r="EH20" s="29">
        <v>1</v>
      </c>
      <c r="EI20" s="29">
        <v>1</v>
      </c>
      <c r="EJ20" s="29">
        <v>1</v>
      </c>
      <c r="EK20" s="29">
        <v>1</v>
      </c>
      <c r="EL20" s="29">
        <v>1</v>
      </c>
      <c r="EM20" s="29">
        <v>1</v>
      </c>
      <c r="EN20" s="29">
        <v>1</v>
      </c>
      <c r="EO20" s="29">
        <v>1</v>
      </c>
      <c r="EP20" s="29">
        <v>1</v>
      </c>
      <c r="EQ20" s="29">
        <v>1</v>
      </c>
      <c r="ER20" s="29">
        <v>1</v>
      </c>
      <c r="ES20" s="29">
        <v>1</v>
      </c>
      <c r="ET20" s="29">
        <v>1</v>
      </c>
      <c r="EU20" s="29">
        <v>1</v>
      </c>
      <c r="EV20" s="29">
        <v>1</v>
      </c>
      <c r="EW20" s="29">
        <v>1</v>
      </c>
      <c r="EX20" s="29">
        <v>1</v>
      </c>
      <c r="EY20" s="29">
        <v>1</v>
      </c>
      <c r="EZ20" s="29">
        <v>1</v>
      </c>
      <c r="FA20" s="29">
        <v>1</v>
      </c>
      <c r="FB20" s="29">
        <v>1</v>
      </c>
      <c r="FC20" s="29">
        <v>1</v>
      </c>
      <c r="FD20" s="29">
        <v>1</v>
      </c>
      <c r="FE20" s="29">
        <v>1</v>
      </c>
      <c r="FF20" s="29">
        <v>1</v>
      </c>
      <c r="FG20" s="29">
        <v>1</v>
      </c>
      <c r="FH20" s="29">
        <v>1</v>
      </c>
      <c r="FI20" s="29">
        <v>1</v>
      </c>
      <c r="FJ20" s="29">
        <v>1</v>
      </c>
      <c r="FK20" s="29">
        <v>1</v>
      </c>
      <c r="FL20" s="29">
        <v>1</v>
      </c>
      <c r="FM20" s="29">
        <v>1</v>
      </c>
      <c r="FN20" s="29">
        <v>1</v>
      </c>
      <c r="FO20" s="29">
        <v>1</v>
      </c>
      <c r="FP20" s="29">
        <v>1</v>
      </c>
      <c r="FQ20" s="29">
        <v>1</v>
      </c>
      <c r="FR20" s="29">
        <v>1</v>
      </c>
      <c r="FS20" s="29">
        <v>1</v>
      </c>
      <c r="FT20" s="29">
        <v>1</v>
      </c>
      <c r="FU20" s="29">
        <v>1</v>
      </c>
      <c r="FV20" s="29">
        <v>1</v>
      </c>
      <c r="FW20" s="29">
        <v>1</v>
      </c>
      <c r="FX20" s="29">
        <v>1</v>
      </c>
      <c r="FY20" s="29">
        <v>1</v>
      </c>
      <c r="FZ20" s="29">
        <v>1</v>
      </c>
      <c r="GA20" s="29">
        <v>1</v>
      </c>
      <c r="GB20" s="29">
        <v>1</v>
      </c>
      <c r="GC20" s="29">
        <v>1</v>
      </c>
      <c r="GD20" s="29">
        <v>1</v>
      </c>
      <c r="GE20" s="29">
        <v>1</v>
      </c>
      <c r="GF20" s="29">
        <v>1</v>
      </c>
      <c r="GG20" s="29"/>
      <c r="GH20" s="29"/>
      <c r="GI20" s="29"/>
      <c r="GJ20" s="29"/>
      <c r="GK20" s="29"/>
      <c r="GL20" s="29"/>
      <c r="GM20" s="29"/>
      <c r="GN20" s="29"/>
      <c r="GO20" s="29"/>
      <c r="GP20" s="29"/>
      <c r="GQ20" s="29"/>
      <c r="GR20" s="29"/>
      <c r="GS20" s="29"/>
      <c r="GT20" s="29"/>
      <c r="GU20" s="29"/>
      <c r="GV20" s="29"/>
      <c r="GW20" s="29"/>
      <c r="GX20" s="29"/>
      <c r="GY20" s="29"/>
      <c r="GZ20" s="29"/>
      <c r="HA20" s="29"/>
      <c r="HB20" s="29"/>
      <c r="HC20" s="29"/>
      <c r="HD20" s="29"/>
      <c r="HE20" s="29"/>
      <c r="HF20" s="29"/>
      <c r="HG20" s="29"/>
      <c r="HH20" s="29"/>
      <c r="HI20" s="29"/>
      <c r="HJ20" s="29"/>
      <c r="HK20" s="29"/>
      <c r="HL20" s="2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345" t="s">
        <v>398</v>
      </c>
      <c r="HY20" s="399" t="s">
        <v>426</v>
      </c>
      <c r="HZ20" s="400" t="s">
        <v>423</v>
      </c>
      <c r="IA20" s="29">
        <v>4</v>
      </c>
      <c r="IB20" s="724"/>
    </row>
    <row r="21" spans="1:236">
      <c r="A21" s="37">
        <v>45950</v>
      </c>
      <c r="B21" s="29" t="s">
        <v>421</v>
      </c>
      <c r="C21" s="284" t="s">
        <v>138</v>
      </c>
      <c r="D21" s="413" t="s">
        <v>274</v>
      </c>
      <c r="E21" s="430" t="s">
        <v>427</v>
      </c>
      <c r="F21" s="29" t="s">
        <v>398</v>
      </c>
      <c r="G21" s="224">
        <v>1</v>
      </c>
      <c r="H21" s="29">
        <v>0</v>
      </c>
      <c r="I21" s="470" t="s">
        <v>696</v>
      </c>
      <c r="J21" s="473" t="b">
        <v>0</v>
      </c>
      <c r="K21" s="224">
        <f>SUM(L21:GI21)</f>
        <v>177</v>
      </c>
      <c r="L21" s="29">
        <v>1</v>
      </c>
      <c r="M21" s="29">
        <v>1</v>
      </c>
      <c r="N21" s="29">
        <v>1</v>
      </c>
      <c r="O21" s="29">
        <v>1</v>
      </c>
      <c r="P21" s="29">
        <v>1</v>
      </c>
      <c r="Q21" s="29">
        <v>1</v>
      </c>
      <c r="R21" s="29">
        <v>1</v>
      </c>
      <c r="S21" s="29">
        <v>1</v>
      </c>
      <c r="T21" s="29">
        <v>1</v>
      </c>
      <c r="U21" s="29">
        <v>1</v>
      </c>
      <c r="V21" s="29">
        <v>1</v>
      </c>
      <c r="W21" s="29">
        <v>1</v>
      </c>
      <c r="X21" s="29">
        <v>1</v>
      </c>
      <c r="Y21" s="29">
        <v>1</v>
      </c>
      <c r="Z21" s="29">
        <v>1</v>
      </c>
      <c r="AA21" s="29">
        <v>1</v>
      </c>
      <c r="AB21" s="29">
        <v>1</v>
      </c>
      <c r="AC21" s="29">
        <v>1</v>
      </c>
      <c r="AD21" s="29">
        <v>1</v>
      </c>
      <c r="AE21" s="29">
        <v>1</v>
      </c>
      <c r="AF21" s="29">
        <v>1</v>
      </c>
      <c r="AG21" s="29">
        <v>1</v>
      </c>
      <c r="AH21" s="29">
        <v>1</v>
      </c>
      <c r="AI21" s="29">
        <v>1</v>
      </c>
      <c r="AJ21" s="29">
        <v>1</v>
      </c>
      <c r="AK21" s="29">
        <v>1</v>
      </c>
      <c r="AL21" s="29">
        <v>1</v>
      </c>
      <c r="AM21" s="29">
        <v>1</v>
      </c>
      <c r="AN21" s="29">
        <v>1</v>
      </c>
      <c r="AO21" s="29">
        <v>1</v>
      </c>
      <c r="AP21" s="29">
        <v>1</v>
      </c>
      <c r="AQ21" s="29">
        <v>1</v>
      </c>
      <c r="AR21" s="29">
        <v>1</v>
      </c>
      <c r="AS21" s="29">
        <v>1</v>
      </c>
      <c r="AT21" s="29">
        <v>1</v>
      </c>
      <c r="AU21" s="29">
        <v>1</v>
      </c>
      <c r="AV21" s="29">
        <v>1</v>
      </c>
      <c r="AW21" s="29">
        <v>1</v>
      </c>
      <c r="AX21" s="29">
        <v>1</v>
      </c>
      <c r="AY21" s="29">
        <v>1</v>
      </c>
      <c r="AZ21" s="29">
        <v>1</v>
      </c>
      <c r="BA21" s="29">
        <v>1</v>
      </c>
      <c r="BB21" s="29">
        <v>1</v>
      </c>
      <c r="BC21" s="29">
        <v>1</v>
      </c>
      <c r="BD21" s="29">
        <v>1</v>
      </c>
      <c r="BE21" s="29">
        <v>1</v>
      </c>
      <c r="BF21" s="29">
        <v>1</v>
      </c>
      <c r="BG21" s="29">
        <v>1</v>
      </c>
      <c r="BH21" s="29">
        <v>1</v>
      </c>
      <c r="BI21" s="29">
        <v>1</v>
      </c>
      <c r="BJ21" s="29">
        <v>1</v>
      </c>
      <c r="BK21" s="29">
        <v>1</v>
      </c>
      <c r="BL21" s="29">
        <v>1</v>
      </c>
      <c r="BM21" s="29">
        <v>1</v>
      </c>
      <c r="BN21" s="29">
        <v>1</v>
      </c>
      <c r="BO21" s="29">
        <v>1</v>
      </c>
      <c r="BP21" s="29">
        <v>1</v>
      </c>
      <c r="BQ21" s="29">
        <v>1</v>
      </c>
      <c r="BR21" s="29">
        <v>1</v>
      </c>
      <c r="BS21" s="29">
        <v>1</v>
      </c>
      <c r="BT21" s="29">
        <v>1</v>
      </c>
      <c r="BU21" s="29">
        <v>1</v>
      </c>
      <c r="BV21" s="29">
        <v>1</v>
      </c>
      <c r="BW21" s="29">
        <v>1</v>
      </c>
      <c r="BX21" s="29">
        <v>1</v>
      </c>
      <c r="BY21" s="29">
        <v>1</v>
      </c>
      <c r="BZ21" s="29">
        <v>1</v>
      </c>
      <c r="CA21" s="29">
        <v>1</v>
      </c>
      <c r="CB21" s="29">
        <v>1</v>
      </c>
      <c r="CC21" s="29">
        <v>1</v>
      </c>
      <c r="CD21" s="29">
        <v>1</v>
      </c>
      <c r="CE21" s="29">
        <v>1</v>
      </c>
      <c r="CF21" s="29">
        <v>1</v>
      </c>
      <c r="CG21" s="29">
        <v>1</v>
      </c>
      <c r="CH21" s="29">
        <v>1</v>
      </c>
      <c r="CI21" s="29">
        <v>1</v>
      </c>
      <c r="CJ21" s="29">
        <v>1</v>
      </c>
      <c r="CK21" s="29">
        <v>1</v>
      </c>
      <c r="CL21" s="29">
        <v>1</v>
      </c>
      <c r="CM21" s="29">
        <v>1</v>
      </c>
      <c r="CN21" s="29">
        <v>1</v>
      </c>
      <c r="CO21" s="29">
        <v>1</v>
      </c>
      <c r="CP21" s="29">
        <v>1</v>
      </c>
      <c r="CQ21" s="29">
        <v>1</v>
      </c>
      <c r="CR21" s="29">
        <v>1</v>
      </c>
      <c r="CS21" s="29">
        <v>1</v>
      </c>
      <c r="CT21" s="29">
        <v>1</v>
      </c>
      <c r="CU21" s="29">
        <v>1</v>
      </c>
      <c r="CV21" s="29">
        <v>1</v>
      </c>
      <c r="CW21" s="29">
        <v>1</v>
      </c>
      <c r="CX21" s="29">
        <v>1</v>
      </c>
      <c r="CY21" s="29">
        <v>1</v>
      </c>
      <c r="CZ21" s="29">
        <v>1</v>
      </c>
      <c r="DA21" s="29">
        <v>1</v>
      </c>
      <c r="DB21" s="29">
        <v>1</v>
      </c>
      <c r="DC21" s="29">
        <v>1</v>
      </c>
      <c r="DD21" s="29">
        <v>1</v>
      </c>
      <c r="DE21" s="29">
        <v>1</v>
      </c>
      <c r="DF21" s="29">
        <v>1</v>
      </c>
      <c r="DG21" s="29">
        <v>1</v>
      </c>
      <c r="DH21" s="29">
        <v>1</v>
      </c>
      <c r="DI21" s="29">
        <v>1</v>
      </c>
      <c r="DJ21" s="29">
        <v>1</v>
      </c>
      <c r="DK21" s="29">
        <v>1</v>
      </c>
      <c r="DL21" s="29">
        <v>1</v>
      </c>
      <c r="DM21" s="29">
        <v>1</v>
      </c>
      <c r="DN21" s="29">
        <v>1</v>
      </c>
      <c r="DO21" s="29">
        <v>1</v>
      </c>
      <c r="DP21" s="29">
        <v>1</v>
      </c>
      <c r="DQ21" s="29">
        <v>1</v>
      </c>
      <c r="DR21" s="29">
        <v>1</v>
      </c>
      <c r="DS21" s="29">
        <v>1</v>
      </c>
      <c r="DT21" s="29">
        <v>1</v>
      </c>
      <c r="DU21" s="29">
        <v>1</v>
      </c>
      <c r="DV21" s="29">
        <v>1</v>
      </c>
      <c r="DW21" s="29">
        <v>1</v>
      </c>
      <c r="DX21" s="29">
        <v>1</v>
      </c>
      <c r="DY21" s="29">
        <v>1</v>
      </c>
      <c r="DZ21" s="29">
        <v>1</v>
      </c>
      <c r="EA21" s="29">
        <v>1</v>
      </c>
      <c r="EB21" s="29">
        <v>1</v>
      </c>
      <c r="EC21" s="29">
        <v>1</v>
      </c>
      <c r="ED21" s="29">
        <v>1</v>
      </c>
      <c r="EE21" s="29">
        <v>1</v>
      </c>
      <c r="EF21" s="29">
        <v>1</v>
      </c>
      <c r="EG21" s="29">
        <v>1</v>
      </c>
      <c r="EH21" s="29">
        <v>1</v>
      </c>
      <c r="EI21" s="29">
        <v>1</v>
      </c>
      <c r="EJ21" s="29">
        <v>1</v>
      </c>
      <c r="EK21" s="29">
        <v>1</v>
      </c>
      <c r="EL21" s="29">
        <v>1</v>
      </c>
      <c r="EM21" s="29">
        <v>1</v>
      </c>
      <c r="EN21" s="29">
        <v>1</v>
      </c>
      <c r="EO21" s="29">
        <v>1</v>
      </c>
      <c r="EP21" s="29">
        <v>1</v>
      </c>
      <c r="EQ21" s="29">
        <v>1</v>
      </c>
      <c r="ER21" s="29">
        <v>1</v>
      </c>
      <c r="ES21" s="29">
        <v>1</v>
      </c>
      <c r="ET21" s="29">
        <v>1</v>
      </c>
      <c r="EU21" s="29">
        <v>1</v>
      </c>
      <c r="EV21" s="29">
        <v>1</v>
      </c>
      <c r="EW21" s="29">
        <v>1</v>
      </c>
      <c r="EX21" s="29">
        <v>1</v>
      </c>
      <c r="EY21" s="29">
        <v>1</v>
      </c>
      <c r="EZ21" s="29">
        <v>1</v>
      </c>
      <c r="FA21" s="29">
        <v>1</v>
      </c>
      <c r="FB21" s="29">
        <v>1</v>
      </c>
      <c r="FC21" s="29">
        <v>1</v>
      </c>
      <c r="FD21" s="29">
        <v>1</v>
      </c>
      <c r="FE21" s="29">
        <v>1</v>
      </c>
      <c r="FF21" s="29">
        <v>1</v>
      </c>
      <c r="FG21" s="29">
        <v>1</v>
      </c>
      <c r="FH21" s="29">
        <v>1</v>
      </c>
      <c r="FI21" s="29">
        <v>1</v>
      </c>
      <c r="FJ21" s="29">
        <v>1</v>
      </c>
      <c r="FK21" s="29">
        <v>1</v>
      </c>
      <c r="FL21" s="29">
        <v>1</v>
      </c>
      <c r="FM21" s="29">
        <v>1</v>
      </c>
      <c r="FN21" s="29">
        <v>1</v>
      </c>
      <c r="FO21" s="29">
        <v>1</v>
      </c>
      <c r="FP21" s="29">
        <v>1</v>
      </c>
      <c r="FQ21" s="29">
        <v>1</v>
      </c>
      <c r="FR21" s="29">
        <v>1</v>
      </c>
      <c r="FS21" s="29">
        <v>1</v>
      </c>
      <c r="FT21" s="29">
        <v>1</v>
      </c>
      <c r="FU21" s="29">
        <v>1</v>
      </c>
      <c r="FV21" s="29">
        <v>1</v>
      </c>
      <c r="FW21" s="29">
        <v>1</v>
      </c>
      <c r="FX21" s="29">
        <v>1</v>
      </c>
      <c r="FY21" s="29">
        <v>1</v>
      </c>
      <c r="FZ21" s="29">
        <v>1</v>
      </c>
      <c r="GA21" s="29">
        <v>1</v>
      </c>
      <c r="GB21" s="29">
        <v>1</v>
      </c>
      <c r="GC21" s="29">
        <v>1</v>
      </c>
      <c r="GD21" s="29">
        <v>1</v>
      </c>
      <c r="GE21" s="29">
        <v>1</v>
      </c>
      <c r="GF21" s="29">
        <v>1</v>
      </c>
      <c r="GG21" s="29"/>
      <c r="GH21" s="29"/>
      <c r="GI21" s="29"/>
      <c r="GJ21" s="29"/>
      <c r="GK21" s="29"/>
      <c r="GL21" s="29"/>
      <c r="GM21" s="29"/>
      <c r="GN21" s="29"/>
      <c r="GO21" s="29"/>
      <c r="GP21" s="29"/>
      <c r="GQ21" s="29"/>
      <c r="GR21" s="29"/>
      <c r="GS21" s="29"/>
      <c r="GT21" s="29"/>
      <c r="GU21" s="29"/>
      <c r="GV21" s="29"/>
      <c r="GW21" s="29"/>
      <c r="GX21" s="29"/>
      <c r="GY21" s="29"/>
      <c r="GZ21" s="29"/>
      <c r="HA21" s="29"/>
      <c r="HB21" s="29"/>
      <c r="HC21" s="29"/>
      <c r="HD21" s="29"/>
      <c r="HE21" s="29"/>
      <c r="HF21" s="29"/>
      <c r="HG21" s="29"/>
      <c r="HH21" s="29"/>
      <c r="HI21" s="29"/>
      <c r="HJ21" s="29"/>
      <c r="HK21" s="29"/>
      <c r="HL21" s="2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345" t="s">
        <v>398</v>
      </c>
      <c r="HY21" s="399" t="s">
        <v>422</v>
      </c>
      <c r="HZ21" s="400" t="s">
        <v>423</v>
      </c>
      <c r="IA21" s="29">
        <v>4</v>
      </c>
      <c r="IB21" s="724"/>
    </row>
    <row r="22" spans="1:236">
      <c r="A22" s="37">
        <v>45950</v>
      </c>
      <c r="B22" s="29" t="s">
        <v>421</v>
      </c>
      <c r="C22" s="284" t="s">
        <v>138</v>
      </c>
      <c r="D22" s="413" t="s">
        <v>274</v>
      </c>
      <c r="E22" s="430" t="s">
        <v>428</v>
      </c>
      <c r="F22" s="29" t="s">
        <v>398</v>
      </c>
      <c r="G22" s="224">
        <v>1</v>
      </c>
      <c r="H22" s="29">
        <v>0</v>
      </c>
      <c r="I22" s="470" t="s">
        <v>696</v>
      </c>
      <c r="J22" s="473" t="b">
        <v>0</v>
      </c>
      <c r="K22" s="224">
        <f>SUM(L22:GI22)</f>
        <v>177</v>
      </c>
      <c r="L22" s="29">
        <v>1</v>
      </c>
      <c r="M22" s="29">
        <v>1</v>
      </c>
      <c r="N22" s="29">
        <v>1</v>
      </c>
      <c r="O22" s="29">
        <v>1</v>
      </c>
      <c r="P22" s="29">
        <v>1</v>
      </c>
      <c r="Q22" s="29">
        <v>1</v>
      </c>
      <c r="R22" s="29">
        <v>1</v>
      </c>
      <c r="S22" s="29">
        <v>1</v>
      </c>
      <c r="T22" s="29">
        <v>1</v>
      </c>
      <c r="U22" s="29">
        <v>1</v>
      </c>
      <c r="V22" s="29">
        <v>1</v>
      </c>
      <c r="W22" s="29">
        <v>1</v>
      </c>
      <c r="X22" s="29">
        <v>1</v>
      </c>
      <c r="Y22" s="29">
        <v>1</v>
      </c>
      <c r="Z22" s="29">
        <v>1</v>
      </c>
      <c r="AA22" s="29">
        <v>1</v>
      </c>
      <c r="AB22" s="29">
        <v>1</v>
      </c>
      <c r="AC22" s="29">
        <v>1</v>
      </c>
      <c r="AD22" s="29">
        <v>1</v>
      </c>
      <c r="AE22" s="29">
        <v>1</v>
      </c>
      <c r="AF22" s="29">
        <v>1</v>
      </c>
      <c r="AG22" s="29">
        <v>1</v>
      </c>
      <c r="AH22" s="29">
        <v>1</v>
      </c>
      <c r="AI22" s="29">
        <v>1</v>
      </c>
      <c r="AJ22" s="29">
        <v>1</v>
      </c>
      <c r="AK22" s="29">
        <v>1</v>
      </c>
      <c r="AL22" s="29">
        <v>1</v>
      </c>
      <c r="AM22" s="29">
        <v>1</v>
      </c>
      <c r="AN22" s="29">
        <v>1</v>
      </c>
      <c r="AO22" s="29">
        <v>1</v>
      </c>
      <c r="AP22" s="29">
        <v>1</v>
      </c>
      <c r="AQ22" s="29">
        <v>1</v>
      </c>
      <c r="AR22" s="29">
        <v>1</v>
      </c>
      <c r="AS22" s="29">
        <v>1</v>
      </c>
      <c r="AT22" s="29">
        <v>1</v>
      </c>
      <c r="AU22" s="29">
        <v>1</v>
      </c>
      <c r="AV22" s="29">
        <v>1</v>
      </c>
      <c r="AW22" s="29">
        <v>1</v>
      </c>
      <c r="AX22" s="29">
        <v>1</v>
      </c>
      <c r="AY22" s="29">
        <v>1</v>
      </c>
      <c r="AZ22" s="29">
        <v>1</v>
      </c>
      <c r="BA22" s="29">
        <v>1</v>
      </c>
      <c r="BB22" s="29">
        <v>1</v>
      </c>
      <c r="BC22" s="29">
        <v>1</v>
      </c>
      <c r="BD22" s="29">
        <v>1</v>
      </c>
      <c r="BE22" s="29">
        <v>1</v>
      </c>
      <c r="BF22" s="29">
        <v>1</v>
      </c>
      <c r="BG22" s="29">
        <v>1</v>
      </c>
      <c r="BH22" s="29">
        <v>1</v>
      </c>
      <c r="BI22" s="29">
        <v>1</v>
      </c>
      <c r="BJ22" s="29">
        <v>1</v>
      </c>
      <c r="BK22" s="29">
        <v>1</v>
      </c>
      <c r="BL22" s="29">
        <v>1</v>
      </c>
      <c r="BM22" s="29">
        <v>1</v>
      </c>
      <c r="BN22" s="29">
        <v>1</v>
      </c>
      <c r="BO22" s="29">
        <v>1</v>
      </c>
      <c r="BP22" s="29">
        <v>1</v>
      </c>
      <c r="BQ22" s="29">
        <v>1</v>
      </c>
      <c r="BR22" s="29">
        <v>1</v>
      </c>
      <c r="BS22" s="29">
        <v>1</v>
      </c>
      <c r="BT22" s="29">
        <v>1</v>
      </c>
      <c r="BU22" s="29">
        <v>1</v>
      </c>
      <c r="BV22" s="29">
        <v>1</v>
      </c>
      <c r="BW22" s="29">
        <v>1</v>
      </c>
      <c r="BX22" s="29">
        <v>1</v>
      </c>
      <c r="BY22" s="29">
        <v>1</v>
      </c>
      <c r="BZ22" s="29">
        <v>1</v>
      </c>
      <c r="CA22" s="29">
        <v>1</v>
      </c>
      <c r="CB22" s="29">
        <v>1</v>
      </c>
      <c r="CC22" s="29">
        <v>1</v>
      </c>
      <c r="CD22" s="29">
        <v>1</v>
      </c>
      <c r="CE22" s="29">
        <v>1</v>
      </c>
      <c r="CF22" s="29">
        <v>1</v>
      </c>
      <c r="CG22" s="29">
        <v>1</v>
      </c>
      <c r="CH22" s="29">
        <v>1</v>
      </c>
      <c r="CI22" s="29">
        <v>1</v>
      </c>
      <c r="CJ22" s="29">
        <v>1</v>
      </c>
      <c r="CK22" s="29">
        <v>1</v>
      </c>
      <c r="CL22" s="29">
        <v>1</v>
      </c>
      <c r="CM22" s="29">
        <v>1</v>
      </c>
      <c r="CN22" s="29">
        <v>1</v>
      </c>
      <c r="CO22" s="29">
        <v>1</v>
      </c>
      <c r="CP22" s="29">
        <v>1</v>
      </c>
      <c r="CQ22" s="29">
        <v>1</v>
      </c>
      <c r="CR22" s="29">
        <v>1</v>
      </c>
      <c r="CS22" s="29">
        <v>1</v>
      </c>
      <c r="CT22" s="29">
        <v>1</v>
      </c>
      <c r="CU22" s="29">
        <v>1</v>
      </c>
      <c r="CV22" s="29">
        <v>1</v>
      </c>
      <c r="CW22" s="29">
        <v>1</v>
      </c>
      <c r="CX22" s="29">
        <v>1</v>
      </c>
      <c r="CY22" s="29">
        <v>1</v>
      </c>
      <c r="CZ22" s="29">
        <v>1</v>
      </c>
      <c r="DA22" s="29">
        <v>1</v>
      </c>
      <c r="DB22" s="29">
        <v>1</v>
      </c>
      <c r="DC22" s="29">
        <v>1</v>
      </c>
      <c r="DD22" s="29">
        <v>1</v>
      </c>
      <c r="DE22" s="29">
        <v>1</v>
      </c>
      <c r="DF22" s="29">
        <v>1</v>
      </c>
      <c r="DG22" s="29">
        <v>1</v>
      </c>
      <c r="DH22" s="29">
        <v>1</v>
      </c>
      <c r="DI22" s="29">
        <v>1</v>
      </c>
      <c r="DJ22" s="29">
        <v>1</v>
      </c>
      <c r="DK22" s="29">
        <v>1</v>
      </c>
      <c r="DL22" s="29">
        <v>1</v>
      </c>
      <c r="DM22" s="29">
        <v>1</v>
      </c>
      <c r="DN22" s="29">
        <v>1</v>
      </c>
      <c r="DO22" s="29">
        <v>1</v>
      </c>
      <c r="DP22" s="29">
        <v>1</v>
      </c>
      <c r="DQ22" s="29">
        <v>1</v>
      </c>
      <c r="DR22" s="29">
        <v>1</v>
      </c>
      <c r="DS22" s="29">
        <v>1</v>
      </c>
      <c r="DT22" s="29">
        <v>1</v>
      </c>
      <c r="DU22" s="29">
        <v>1</v>
      </c>
      <c r="DV22" s="29">
        <v>1</v>
      </c>
      <c r="DW22" s="29">
        <v>1</v>
      </c>
      <c r="DX22" s="29">
        <v>1</v>
      </c>
      <c r="DY22" s="29">
        <v>1</v>
      </c>
      <c r="DZ22" s="29">
        <v>1</v>
      </c>
      <c r="EA22" s="29">
        <v>1</v>
      </c>
      <c r="EB22" s="29">
        <v>1</v>
      </c>
      <c r="EC22" s="29">
        <v>1</v>
      </c>
      <c r="ED22" s="29">
        <v>1</v>
      </c>
      <c r="EE22" s="29">
        <v>1</v>
      </c>
      <c r="EF22" s="29">
        <v>1</v>
      </c>
      <c r="EG22" s="29">
        <v>1</v>
      </c>
      <c r="EH22" s="29">
        <v>1</v>
      </c>
      <c r="EI22" s="29">
        <v>1</v>
      </c>
      <c r="EJ22" s="29">
        <v>1</v>
      </c>
      <c r="EK22" s="29">
        <v>1</v>
      </c>
      <c r="EL22" s="29">
        <v>1</v>
      </c>
      <c r="EM22" s="29">
        <v>1</v>
      </c>
      <c r="EN22" s="29">
        <v>1</v>
      </c>
      <c r="EO22" s="29">
        <v>1</v>
      </c>
      <c r="EP22" s="29">
        <v>1</v>
      </c>
      <c r="EQ22" s="29">
        <v>1</v>
      </c>
      <c r="ER22" s="29">
        <v>1</v>
      </c>
      <c r="ES22" s="29">
        <v>1</v>
      </c>
      <c r="ET22" s="29">
        <v>1</v>
      </c>
      <c r="EU22" s="29">
        <v>1</v>
      </c>
      <c r="EV22" s="29">
        <v>1</v>
      </c>
      <c r="EW22" s="29">
        <v>1</v>
      </c>
      <c r="EX22" s="29">
        <v>1</v>
      </c>
      <c r="EY22" s="29">
        <v>1</v>
      </c>
      <c r="EZ22" s="29">
        <v>1</v>
      </c>
      <c r="FA22" s="29">
        <v>1</v>
      </c>
      <c r="FB22" s="29">
        <v>1</v>
      </c>
      <c r="FC22" s="29">
        <v>1</v>
      </c>
      <c r="FD22" s="29">
        <v>1</v>
      </c>
      <c r="FE22" s="29">
        <v>1</v>
      </c>
      <c r="FF22" s="29">
        <v>1</v>
      </c>
      <c r="FG22" s="29">
        <v>1</v>
      </c>
      <c r="FH22" s="29">
        <v>1</v>
      </c>
      <c r="FI22" s="29">
        <v>1</v>
      </c>
      <c r="FJ22" s="29">
        <v>1</v>
      </c>
      <c r="FK22" s="29">
        <v>1</v>
      </c>
      <c r="FL22" s="29">
        <v>1</v>
      </c>
      <c r="FM22" s="29">
        <v>1</v>
      </c>
      <c r="FN22" s="29">
        <v>1</v>
      </c>
      <c r="FO22" s="29">
        <v>1</v>
      </c>
      <c r="FP22" s="29">
        <v>1</v>
      </c>
      <c r="FQ22" s="29">
        <v>1</v>
      </c>
      <c r="FR22" s="29">
        <v>1</v>
      </c>
      <c r="FS22" s="29">
        <v>1</v>
      </c>
      <c r="FT22" s="29">
        <v>1</v>
      </c>
      <c r="FU22" s="29">
        <v>1</v>
      </c>
      <c r="FV22" s="29">
        <v>1</v>
      </c>
      <c r="FW22" s="29">
        <v>1</v>
      </c>
      <c r="FX22" s="29">
        <v>1</v>
      </c>
      <c r="FY22" s="29">
        <v>1</v>
      </c>
      <c r="FZ22" s="29">
        <v>1</v>
      </c>
      <c r="GA22" s="29">
        <v>1</v>
      </c>
      <c r="GB22" s="29">
        <v>1</v>
      </c>
      <c r="GC22" s="29">
        <v>1</v>
      </c>
      <c r="GD22" s="29">
        <v>1</v>
      </c>
      <c r="GE22" s="29">
        <v>1</v>
      </c>
      <c r="GF22" s="29">
        <v>1</v>
      </c>
      <c r="GG22" s="29"/>
      <c r="GH22" s="29"/>
      <c r="GI22" s="29"/>
      <c r="GJ22" s="29"/>
      <c r="GK22" s="29"/>
      <c r="GL22" s="29"/>
      <c r="GM22" s="29"/>
      <c r="GN22" s="29"/>
      <c r="GO22" s="29"/>
      <c r="GP22" s="29"/>
      <c r="GQ22" s="29"/>
      <c r="GR22" s="29"/>
      <c r="GS22" s="29"/>
      <c r="GT22" s="29"/>
      <c r="GU22" s="29"/>
      <c r="GV22" s="29"/>
      <c r="GW22" s="29"/>
      <c r="GX22" s="29"/>
      <c r="GY22" s="29"/>
      <c r="GZ22" s="29"/>
      <c r="HA22" s="29"/>
      <c r="HB22" s="29"/>
      <c r="HC22" s="29"/>
      <c r="HD22" s="29"/>
      <c r="HE22" s="29"/>
      <c r="HF22" s="29"/>
      <c r="HG22" s="29"/>
      <c r="HH22" s="29"/>
      <c r="HI22" s="29"/>
      <c r="HJ22" s="29"/>
      <c r="HK22" s="29"/>
      <c r="HL22" s="2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345" t="s">
        <v>398</v>
      </c>
      <c r="HY22" s="399" t="s">
        <v>422</v>
      </c>
      <c r="HZ22" s="400" t="s">
        <v>423</v>
      </c>
      <c r="IA22" s="29">
        <v>4</v>
      </c>
      <c r="IB22" s="724"/>
    </row>
    <row r="23" spans="1:236" ht="16.5">
      <c r="A23" s="37">
        <v>45950</v>
      </c>
      <c r="B23" s="29" t="s">
        <v>421</v>
      </c>
      <c r="C23" s="284" t="s">
        <v>138</v>
      </c>
      <c r="D23" s="413" t="s">
        <v>274</v>
      </c>
      <c r="E23" s="30" t="s">
        <v>429</v>
      </c>
      <c r="F23" s="29" t="s">
        <v>511</v>
      </c>
      <c r="G23" s="29">
        <v>0</v>
      </c>
      <c r="H23" s="224">
        <v>1</v>
      </c>
      <c r="I23" s="224"/>
      <c r="J23" s="224"/>
      <c r="K23" s="224">
        <f t="shared" si="0"/>
        <v>3</v>
      </c>
      <c r="L23" s="224">
        <v>1</v>
      </c>
      <c r="M23" s="224">
        <v>1</v>
      </c>
      <c r="N23" s="224">
        <v>1</v>
      </c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4"/>
      <c r="AN23" s="224"/>
      <c r="AO23" s="224"/>
      <c r="AP23" s="224"/>
      <c r="AQ23" s="224"/>
      <c r="AR23" s="224"/>
      <c r="AS23" s="224"/>
      <c r="AT23" s="224"/>
      <c r="AU23" s="224"/>
      <c r="AV23" s="224"/>
      <c r="AW23" s="224"/>
      <c r="AX23" s="224"/>
      <c r="AY23" s="224"/>
      <c r="AZ23" s="224"/>
      <c r="BA23" s="224"/>
      <c r="BB23" s="224"/>
      <c r="BC23" s="224"/>
      <c r="BD23" s="224"/>
      <c r="BE23" s="224"/>
      <c r="BF23" s="224"/>
      <c r="BG23" s="224"/>
      <c r="BH23" s="224"/>
      <c r="BI23" s="224"/>
      <c r="BJ23" s="224"/>
      <c r="BK23" s="224"/>
      <c r="BL23" s="224"/>
      <c r="BM23" s="224"/>
      <c r="BN23" s="224"/>
      <c r="BO23" s="224"/>
      <c r="BP23" s="224"/>
      <c r="BQ23" s="224"/>
      <c r="BR23" s="224"/>
      <c r="BS23" s="224"/>
      <c r="BT23" s="224"/>
      <c r="BU23" s="224"/>
      <c r="BV23" s="224"/>
      <c r="BW23" s="224"/>
      <c r="BX23" s="224"/>
      <c r="BY23" s="224"/>
      <c r="BZ23" s="224"/>
      <c r="CA23" s="224"/>
      <c r="CB23" s="224"/>
      <c r="CC23" s="224"/>
      <c r="CD23" s="224"/>
      <c r="CE23" s="224"/>
      <c r="CF23" s="224"/>
      <c r="CG23" s="224"/>
      <c r="CH23" s="224"/>
      <c r="CI23" s="224"/>
      <c r="CJ23" s="224"/>
      <c r="CK23" s="224"/>
      <c r="CL23" s="224"/>
      <c r="CM23" s="224"/>
      <c r="CN23" s="224"/>
      <c r="CO23" s="224"/>
      <c r="CP23" s="224"/>
      <c r="CQ23" s="224"/>
      <c r="CR23" s="224"/>
      <c r="CS23" s="224"/>
      <c r="CT23" s="224"/>
      <c r="CU23" s="224"/>
      <c r="CV23" s="224"/>
      <c r="CW23" s="224"/>
      <c r="CX23" s="224"/>
      <c r="CY23" s="224"/>
      <c r="CZ23" s="224"/>
      <c r="DA23" s="224"/>
      <c r="DB23" s="224"/>
      <c r="DC23" s="224"/>
      <c r="DD23" s="224"/>
      <c r="DE23" s="224"/>
      <c r="DF23" s="224"/>
      <c r="DG23" s="224"/>
      <c r="DH23" s="224"/>
      <c r="DI23" s="224"/>
      <c r="DJ23" s="224"/>
      <c r="DK23" s="224"/>
      <c r="DL23" s="224"/>
      <c r="DM23" s="224"/>
      <c r="DN23" s="224"/>
      <c r="DO23" s="224"/>
      <c r="DP23" s="224"/>
      <c r="DQ23" s="224"/>
      <c r="DR23" s="224"/>
      <c r="DS23" s="224"/>
      <c r="DT23" s="224"/>
      <c r="DU23" s="224"/>
      <c r="DV23" s="224"/>
      <c r="DW23" s="224"/>
      <c r="DX23" s="224"/>
      <c r="DY23" s="224"/>
      <c r="DZ23" s="224"/>
      <c r="EA23" s="224"/>
      <c r="EB23" s="224"/>
      <c r="EC23" s="224"/>
      <c r="ED23" s="224"/>
      <c r="EE23" s="224"/>
      <c r="EF23" s="224"/>
      <c r="EG23" s="224"/>
      <c r="EH23" s="224"/>
      <c r="EI23" s="224"/>
      <c r="EJ23" s="224"/>
      <c r="EK23" s="224"/>
      <c r="EL23" s="224"/>
      <c r="EM23" s="224"/>
      <c r="EN23" s="224"/>
      <c r="EO23" s="224"/>
      <c r="EP23" s="224"/>
      <c r="EQ23" s="224"/>
      <c r="ER23" s="224"/>
      <c r="ES23" s="224"/>
      <c r="ET23" s="224"/>
      <c r="EU23" s="224"/>
      <c r="EV23" s="224"/>
      <c r="EW23" s="224"/>
      <c r="EX23" s="224"/>
      <c r="EY23" s="224"/>
      <c r="EZ23" s="224"/>
      <c r="FA23" s="224"/>
      <c r="FB23" s="224"/>
      <c r="FC23" s="224"/>
      <c r="FD23" s="224"/>
      <c r="FE23" s="224"/>
      <c r="FF23" s="224"/>
      <c r="FG23" s="224"/>
      <c r="FH23" s="224"/>
      <c r="FI23" s="224"/>
      <c r="FJ23" s="224"/>
      <c r="FK23" s="224"/>
      <c r="FL23" s="224"/>
      <c r="FM23" s="224"/>
      <c r="FN23" s="224"/>
      <c r="FO23" s="224"/>
      <c r="FP23" s="224"/>
      <c r="FQ23" s="224"/>
      <c r="FR23" s="224"/>
      <c r="FS23" s="224"/>
      <c r="FT23" s="224"/>
      <c r="FU23" s="224"/>
      <c r="FV23" s="224"/>
      <c r="FW23" s="224"/>
      <c r="FX23" s="224"/>
      <c r="FY23" s="224"/>
      <c r="FZ23" s="224"/>
      <c r="GA23" s="224"/>
      <c r="GB23" s="224"/>
      <c r="GC23" s="224"/>
      <c r="GD23" s="224"/>
      <c r="GE23" s="224"/>
      <c r="GF23" s="224"/>
      <c r="GG23" s="224"/>
      <c r="GH23" s="224"/>
      <c r="GI23" s="224"/>
      <c r="GJ23" s="224"/>
      <c r="GK23" s="224"/>
      <c r="GL23" s="224"/>
      <c r="GM23" s="224"/>
      <c r="GN23" s="224"/>
      <c r="GO23" s="224"/>
      <c r="GP23" s="224"/>
      <c r="GQ23" s="224"/>
      <c r="GR23" s="224"/>
      <c r="GS23" s="224"/>
      <c r="GT23" s="224"/>
      <c r="GU23" s="224"/>
      <c r="GV23" s="224"/>
      <c r="GW23" s="224"/>
      <c r="GX23" s="224"/>
      <c r="GY23" s="224"/>
      <c r="GZ23" s="224"/>
      <c r="HA23" s="224"/>
      <c r="HB23" s="224"/>
      <c r="HC23" s="224"/>
      <c r="HD23" s="224"/>
      <c r="HE23" s="224"/>
      <c r="HF23" s="224"/>
      <c r="HG23" s="224"/>
      <c r="HH23" s="224"/>
      <c r="HI23" s="224"/>
      <c r="HJ23" s="224"/>
      <c r="HK23" s="224"/>
      <c r="HL23" s="224"/>
      <c r="HM23" s="224"/>
      <c r="HN23" s="224"/>
      <c r="HO23" s="224"/>
      <c r="HP23" s="224"/>
      <c r="HQ23" s="224"/>
      <c r="HR23" s="224"/>
      <c r="HS23" s="224"/>
      <c r="HT23" s="224"/>
      <c r="HU23" s="224"/>
      <c r="HV23" s="224"/>
      <c r="HW23" s="224"/>
      <c r="HX23" s="286">
        <v>45953</v>
      </c>
      <c r="HY23" s="30" t="s">
        <v>140</v>
      </c>
      <c r="HZ23" s="270" t="s">
        <v>392</v>
      </c>
      <c r="IA23" s="29" t="s">
        <v>61</v>
      </c>
      <c r="IB23" s="724"/>
    </row>
    <row r="24" spans="1:236">
      <c r="A24" s="37">
        <v>45950</v>
      </c>
      <c r="B24" s="29" t="s">
        <v>421</v>
      </c>
      <c r="C24" s="284" t="s">
        <v>138</v>
      </c>
      <c r="D24" s="413" t="s">
        <v>274</v>
      </c>
      <c r="E24" s="430" t="s">
        <v>430</v>
      </c>
      <c r="F24" s="29" t="s">
        <v>398</v>
      </c>
      <c r="G24" s="224">
        <v>1</v>
      </c>
      <c r="H24" s="29">
        <v>0</v>
      </c>
      <c r="I24" s="470" t="s">
        <v>695</v>
      </c>
      <c r="J24" s="473" t="b">
        <v>0</v>
      </c>
      <c r="K24" s="224">
        <f>SUM(L24:GI24)</f>
        <v>177</v>
      </c>
      <c r="L24" s="29">
        <v>1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  <c r="AC24" s="29">
        <v>1</v>
      </c>
      <c r="AD24" s="29">
        <v>1</v>
      </c>
      <c r="AE24" s="29">
        <v>1</v>
      </c>
      <c r="AF24" s="29">
        <v>1</v>
      </c>
      <c r="AG24" s="29">
        <v>1</v>
      </c>
      <c r="AH24" s="29">
        <v>1</v>
      </c>
      <c r="AI24" s="29">
        <v>1</v>
      </c>
      <c r="AJ24" s="29">
        <v>1</v>
      </c>
      <c r="AK24" s="29">
        <v>1</v>
      </c>
      <c r="AL24" s="29">
        <v>1</v>
      </c>
      <c r="AM24" s="29">
        <v>1</v>
      </c>
      <c r="AN24" s="29">
        <v>1</v>
      </c>
      <c r="AO24" s="29">
        <v>1</v>
      </c>
      <c r="AP24" s="29">
        <v>1</v>
      </c>
      <c r="AQ24" s="29">
        <v>1</v>
      </c>
      <c r="AR24" s="29">
        <v>1</v>
      </c>
      <c r="AS24" s="29">
        <v>1</v>
      </c>
      <c r="AT24" s="29">
        <v>1</v>
      </c>
      <c r="AU24" s="29">
        <v>1</v>
      </c>
      <c r="AV24" s="29">
        <v>1</v>
      </c>
      <c r="AW24" s="29">
        <v>1</v>
      </c>
      <c r="AX24" s="29">
        <v>1</v>
      </c>
      <c r="AY24" s="29">
        <v>1</v>
      </c>
      <c r="AZ24" s="29">
        <v>1</v>
      </c>
      <c r="BA24" s="29">
        <v>1</v>
      </c>
      <c r="BB24" s="29">
        <v>1</v>
      </c>
      <c r="BC24" s="29">
        <v>1</v>
      </c>
      <c r="BD24" s="29">
        <v>1</v>
      </c>
      <c r="BE24" s="29">
        <v>1</v>
      </c>
      <c r="BF24" s="29">
        <v>1</v>
      </c>
      <c r="BG24" s="29">
        <v>1</v>
      </c>
      <c r="BH24" s="29">
        <v>1</v>
      </c>
      <c r="BI24" s="29">
        <v>1</v>
      </c>
      <c r="BJ24" s="29">
        <v>1</v>
      </c>
      <c r="BK24" s="29">
        <v>1</v>
      </c>
      <c r="BL24" s="29">
        <v>1</v>
      </c>
      <c r="BM24" s="29">
        <v>1</v>
      </c>
      <c r="BN24" s="29">
        <v>1</v>
      </c>
      <c r="BO24" s="29">
        <v>1</v>
      </c>
      <c r="BP24" s="29">
        <v>1</v>
      </c>
      <c r="BQ24" s="29">
        <v>1</v>
      </c>
      <c r="BR24" s="29">
        <v>1</v>
      </c>
      <c r="BS24" s="29">
        <v>1</v>
      </c>
      <c r="BT24" s="29">
        <v>1</v>
      </c>
      <c r="BU24" s="29">
        <v>1</v>
      </c>
      <c r="BV24" s="29">
        <v>1</v>
      </c>
      <c r="BW24" s="29">
        <v>1</v>
      </c>
      <c r="BX24" s="29">
        <v>1</v>
      </c>
      <c r="BY24" s="29">
        <v>1</v>
      </c>
      <c r="BZ24" s="29">
        <v>1</v>
      </c>
      <c r="CA24" s="29">
        <v>1</v>
      </c>
      <c r="CB24" s="29">
        <v>1</v>
      </c>
      <c r="CC24" s="29">
        <v>1</v>
      </c>
      <c r="CD24" s="29">
        <v>1</v>
      </c>
      <c r="CE24" s="29">
        <v>1</v>
      </c>
      <c r="CF24" s="29">
        <v>1</v>
      </c>
      <c r="CG24" s="29">
        <v>1</v>
      </c>
      <c r="CH24" s="29">
        <v>1</v>
      </c>
      <c r="CI24" s="29">
        <v>1</v>
      </c>
      <c r="CJ24" s="29">
        <v>1</v>
      </c>
      <c r="CK24" s="29">
        <v>1</v>
      </c>
      <c r="CL24" s="29">
        <v>1</v>
      </c>
      <c r="CM24" s="29">
        <v>1</v>
      </c>
      <c r="CN24" s="29">
        <v>1</v>
      </c>
      <c r="CO24" s="29">
        <v>1</v>
      </c>
      <c r="CP24" s="29">
        <v>1</v>
      </c>
      <c r="CQ24" s="29">
        <v>1</v>
      </c>
      <c r="CR24" s="29">
        <v>1</v>
      </c>
      <c r="CS24" s="29">
        <v>1</v>
      </c>
      <c r="CT24" s="29">
        <v>1</v>
      </c>
      <c r="CU24" s="29">
        <v>1</v>
      </c>
      <c r="CV24" s="29">
        <v>1</v>
      </c>
      <c r="CW24" s="29">
        <v>1</v>
      </c>
      <c r="CX24" s="29">
        <v>1</v>
      </c>
      <c r="CY24" s="29">
        <v>1</v>
      </c>
      <c r="CZ24" s="29">
        <v>1</v>
      </c>
      <c r="DA24" s="29">
        <v>1</v>
      </c>
      <c r="DB24" s="29">
        <v>1</v>
      </c>
      <c r="DC24" s="29">
        <v>1</v>
      </c>
      <c r="DD24" s="29">
        <v>1</v>
      </c>
      <c r="DE24" s="29">
        <v>1</v>
      </c>
      <c r="DF24" s="29">
        <v>1</v>
      </c>
      <c r="DG24" s="29">
        <v>1</v>
      </c>
      <c r="DH24" s="29">
        <v>1</v>
      </c>
      <c r="DI24" s="29">
        <v>1</v>
      </c>
      <c r="DJ24" s="29">
        <v>1</v>
      </c>
      <c r="DK24" s="29">
        <v>1</v>
      </c>
      <c r="DL24" s="29">
        <v>1</v>
      </c>
      <c r="DM24" s="29">
        <v>1</v>
      </c>
      <c r="DN24" s="29">
        <v>1</v>
      </c>
      <c r="DO24" s="29">
        <v>1</v>
      </c>
      <c r="DP24" s="29">
        <v>1</v>
      </c>
      <c r="DQ24" s="29">
        <v>1</v>
      </c>
      <c r="DR24" s="29">
        <v>1</v>
      </c>
      <c r="DS24" s="29">
        <v>1</v>
      </c>
      <c r="DT24" s="29">
        <v>1</v>
      </c>
      <c r="DU24" s="29">
        <v>1</v>
      </c>
      <c r="DV24" s="29">
        <v>1</v>
      </c>
      <c r="DW24" s="29">
        <v>1</v>
      </c>
      <c r="DX24" s="29">
        <v>1</v>
      </c>
      <c r="DY24" s="29">
        <v>1</v>
      </c>
      <c r="DZ24" s="29">
        <v>1</v>
      </c>
      <c r="EA24" s="29">
        <v>1</v>
      </c>
      <c r="EB24" s="29">
        <v>1</v>
      </c>
      <c r="EC24" s="29">
        <v>1</v>
      </c>
      <c r="ED24" s="29">
        <v>1</v>
      </c>
      <c r="EE24" s="29">
        <v>1</v>
      </c>
      <c r="EF24" s="29">
        <v>1</v>
      </c>
      <c r="EG24" s="29">
        <v>1</v>
      </c>
      <c r="EH24" s="29">
        <v>1</v>
      </c>
      <c r="EI24" s="29">
        <v>1</v>
      </c>
      <c r="EJ24" s="29">
        <v>1</v>
      </c>
      <c r="EK24" s="29">
        <v>1</v>
      </c>
      <c r="EL24" s="29">
        <v>1</v>
      </c>
      <c r="EM24" s="29">
        <v>1</v>
      </c>
      <c r="EN24" s="29">
        <v>1</v>
      </c>
      <c r="EO24" s="29">
        <v>1</v>
      </c>
      <c r="EP24" s="29">
        <v>1</v>
      </c>
      <c r="EQ24" s="29">
        <v>1</v>
      </c>
      <c r="ER24" s="29">
        <v>1</v>
      </c>
      <c r="ES24" s="29">
        <v>1</v>
      </c>
      <c r="ET24" s="29">
        <v>1</v>
      </c>
      <c r="EU24" s="29">
        <v>1</v>
      </c>
      <c r="EV24" s="29">
        <v>1</v>
      </c>
      <c r="EW24" s="29">
        <v>1</v>
      </c>
      <c r="EX24" s="29">
        <v>1</v>
      </c>
      <c r="EY24" s="29">
        <v>1</v>
      </c>
      <c r="EZ24" s="29">
        <v>1</v>
      </c>
      <c r="FA24" s="29">
        <v>1</v>
      </c>
      <c r="FB24" s="29">
        <v>1</v>
      </c>
      <c r="FC24" s="29">
        <v>1</v>
      </c>
      <c r="FD24" s="29">
        <v>1</v>
      </c>
      <c r="FE24" s="29">
        <v>1</v>
      </c>
      <c r="FF24" s="29">
        <v>1</v>
      </c>
      <c r="FG24" s="29">
        <v>1</v>
      </c>
      <c r="FH24" s="29">
        <v>1</v>
      </c>
      <c r="FI24" s="29">
        <v>1</v>
      </c>
      <c r="FJ24" s="29">
        <v>1</v>
      </c>
      <c r="FK24" s="29">
        <v>1</v>
      </c>
      <c r="FL24" s="29">
        <v>1</v>
      </c>
      <c r="FM24" s="29">
        <v>1</v>
      </c>
      <c r="FN24" s="29">
        <v>1</v>
      </c>
      <c r="FO24" s="29">
        <v>1</v>
      </c>
      <c r="FP24" s="29">
        <v>1</v>
      </c>
      <c r="FQ24" s="29">
        <v>1</v>
      </c>
      <c r="FR24" s="29">
        <v>1</v>
      </c>
      <c r="FS24" s="29">
        <v>1</v>
      </c>
      <c r="FT24" s="29">
        <v>1</v>
      </c>
      <c r="FU24" s="29">
        <v>1</v>
      </c>
      <c r="FV24" s="29">
        <v>1</v>
      </c>
      <c r="FW24" s="29">
        <v>1</v>
      </c>
      <c r="FX24" s="29">
        <v>1</v>
      </c>
      <c r="FY24" s="29">
        <v>1</v>
      </c>
      <c r="FZ24" s="29">
        <v>1</v>
      </c>
      <c r="GA24" s="29">
        <v>1</v>
      </c>
      <c r="GB24" s="29">
        <v>1</v>
      </c>
      <c r="GC24" s="29">
        <v>1</v>
      </c>
      <c r="GD24" s="29">
        <v>1</v>
      </c>
      <c r="GE24" s="29">
        <v>1</v>
      </c>
      <c r="GF24" s="29">
        <v>1</v>
      </c>
      <c r="GG24" s="29"/>
      <c r="GH24" s="29"/>
      <c r="GI24" s="29"/>
      <c r="GJ24" s="29"/>
      <c r="GK24" s="29"/>
      <c r="GL24" s="29"/>
      <c r="GM24" s="29"/>
      <c r="GN24" s="29"/>
      <c r="GO24" s="29"/>
      <c r="GP24" s="29"/>
      <c r="GQ24" s="29"/>
      <c r="GR24" s="29"/>
      <c r="GS24" s="29"/>
      <c r="GT24" s="29"/>
      <c r="GU24" s="29"/>
      <c r="GV24" s="29"/>
      <c r="GW24" s="29"/>
      <c r="GX24" s="29"/>
      <c r="GY24" s="29"/>
      <c r="GZ24" s="29"/>
      <c r="HA24" s="29"/>
      <c r="HB24" s="29"/>
      <c r="HC24" s="29"/>
      <c r="HD24" s="29"/>
      <c r="HE24" s="29"/>
      <c r="HF24" s="29"/>
      <c r="HG24" s="29"/>
      <c r="HH24" s="29"/>
      <c r="HI24" s="29"/>
      <c r="HJ24" s="29"/>
      <c r="HK24" s="29"/>
      <c r="HL24" s="2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345" t="s">
        <v>398</v>
      </c>
      <c r="HY24" s="399" t="s">
        <v>422</v>
      </c>
      <c r="HZ24" s="400" t="s">
        <v>423</v>
      </c>
      <c r="IA24" s="29">
        <v>4</v>
      </c>
      <c r="IB24" s="725"/>
    </row>
    <row r="25" spans="1:236" ht="16.5">
      <c r="A25" s="37">
        <v>45952</v>
      </c>
      <c r="B25" s="29" t="s">
        <v>421</v>
      </c>
      <c r="C25" s="285" t="s">
        <v>143</v>
      </c>
      <c r="D25" s="412" t="s">
        <v>276</v>
      </c>
      <c r="E25" s="30" t="s">
        <v>431</v>
      </c>
      <c r="F25" s="29" t="s">
        <v>512</v>
      </c>
      <c r="G25" s="224">
        <v>1</v>
      </c>
      <c r="H25" s="29">
        <v>0</v>
      </c>
      <c r="I25" s="29"/>
      <c r="J25" s="473" t="b">
        <v>0</v>
      </c>
      <c r="K25" s="224">
        <f t="shared" si="0"/>
        <v>7</v>
      </c>
      <c r="L25" s="29">
        <v>1</v>
      </c>
      <c r="M25" s="29">
        <v>1</v>
      </c>
      <c r="N25" s="29">
        <v>1</v>
      </c>
      <c r="O25" s="29">
        <v>1</v>
      </c>
      <c r="P25" s="29">
        <v>1</v>
      </c>
      <c r="Q25" s="29">
        <v>1</v>
      </c>
      <c r="R25" s="29">
        <v>1</v>
      </c>
      <c r="S25" s="29">
        <v>0</v>
      </c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/>
      <c r="GE25" s="29"/>
      <c r="GF25" s="29"/>
      <c r="GG25" s="29"/>
      <c r="GH25" s="29"/>
      <c r="GI25" s="29"/>
      <c r="GJ25" s="29"/>
      <c r="GK25" s="29"/>
      <c r="GL25" s="29"/>
      <c r="GM25" s="29"/>
      <c r="GN25" s="29"/>
      <c r="GO25" s="29"/>
      <c r="GP25" s="29"/>
      <c r="GQ25" s="29"/>
      <c r="GR25" s="29"/>
      <c r="GS25" s="29"/>
      <c r="GT25" s="29"/>
      <c r="GU25" s="29"/>
      <c r="GV25" s="29"/>
      <c r="GW25" s="29"/>
      <c r="GX25" s="29"/>
      <c r="GY25" s="29"/>
      <c r="GZ25" s="29"/>
      <c r="HA25" s="29"/>
      <c r="HB25" s="29"/>
      <c r="HC25" s="29"/>
      <c r="HD25" s="29"/>
      <c r="HE25" s="29"/>
      <c r="HF25" s="29"/>
      <c r="HG25" s="29"/>
      <c r="HH25" s="29"/>
      <c r="HI25" s="29"/>
      <c r="HJ25" s="29"/>
      <c r="HK25" s="29"/>
      <c r="HL25" s="2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402" t="s">
        <v>61</v>
      </c>
      <c r="HY25" s="30" t="s">
        <v>432</v>
      </c>
      <c r="HZ25" s="275" t="s">
        <v>405</v>
      </c>
      <c r="IA25" s="29" t="s">
        <v>61</v>
      </c>
      <c r="IB25" s="29"/>
    </row>
    <row r="26" spans="1:236">
      <c r="A26" s="286">
        <v>45960</v>
      </c>
      <c r="B26" s="222" t="s">
        <v>245</v>
      </c>
      <c r="C26" s="403" t="s">
        <v>168</v>
      </c>
      <c r="D26" s="414" t="s">
        <v>246</v>
      </c>
      <c r="E26" s="430" t="s">
        <v>433</v>
      </c>
      <c r="F26" s="29" t="s">
        <v>398</v>
      </c>
      <c r="G26" s="224">
        <v>1</v>
      </c>
      <c r="H26" s="29">
        <v>0</v>
      </c>
      <c r="I26" s="470" t="s">
        <v>696</v>
      </c>
      <c r="J26" s="473" t="b">
        <v>0</v>
      </c>
      <c r="K26" s="224">
        <f>SUM(L26:GI26)</f>
        <v>167</v>
      </c>
      <c r="L26" s="29">
        <v>1</v>
      </c>
      <c r="M26" s="29">
        <v>1</v>
      </c>
      <c r="N26" s="29">
        <v>1</v>
      </c>
      <c r="O26" s="29">
        <v>1</v>
      </c>
      <c r="P26" s="29">
        <v>1</v>
      </c>
      <c r="Q26" s="29">
        <v>1</v>
      </c>
      <c r="R26" s="29">
        <v>1</v>
      </c>
      <c r="S26" s="29">
        <v>1</v>
      </c>
      <c r="T26" s="29">
        <v>1</v>
      </c>
      <c r="U26" s="29">
        <v>1</v>
      </c>
      <c r="V26" s="29">
        <v>1</v>
      </c>
      <c r="W26" s="29">
        <v>1</v>
      </c>
      <c r="X26" s="29">
        <v>1</v>
      </c>
      <c r="Y26" s="29">
        <v>1</v>
      </c>
      <c r="Z26" s="29">
        <v>1</v>
      </c>
      <c r="AA26" s="29">
        <v>1</v>
      </c>
      <c r="AB26" s="29">
        <v>1</v>
      </c>
      <c r="AC26" s="29">
        <v>1</v>
      </c>
      <c r="AD26" s="29">
        <v>1</v>
      </c>
      <c r="AE26" s="29">
        <v>1</v>
      </c>
      <c r="AF26" s="29">
        <v>1</v>
      </c>
      <c r="AG26" s="29">
        <v>1</v>
      </c>
      <c r="AH26" s="29">
        <v>1</v>
      </c>
      <c r="AI26" s="29">
        <v>1</v>
      </c>
      <c r="AJ26" s="29">
        <v>1</v>
      </c>
      <c r="AK26" s="29">
        <v>1</v>
      </c>
      <c r="AL26" s="29">
        <v>1</v>
      </c>
      <c r="AM26" s="29">
        <v>1</v>
      </c>
      <c r="AN26" s="29">
        <v>1</v>
      </c>
      <c r="AO26" s="29">
        <v>1</v>
      </c>
      <c r="AP26" s="29">
        <v>1</v>
      </c>
      <c r="AQ26" s="29">
        <v>1</v>
      </c>
      <c r="AR26" s="29">
        <v>1</v>
      </c>
      <c r="AS26" s="29">
        <v>1</v>
      </c>
      <c r="AT26" s="29">
        <v>1</v>
      </c>
      <c r="AU26" s="29">
        <v>1</v>
      </c>
      <c r="AV26" s="29">
        <v>1</v>
      </c>
      <c r="AW26" s="29">
        <v>1</v>
      </c>
      <c r="AX26" s="29">
        <v>1</v>
      </c>
      <c r="AY26" s="29">
        <v>1</v>
      </c>
      <c r="AZ26" s="29">
        <v>1</v>
      </c>
      <c r="BA26" s="29">
        <v>1</v>
      </c>
      <c r="BB26" s="29">
        <v>1</v>
      </c>
      <c r="BC26" s="29">
        <v>1</v>
      </c>
      <c r="BD26" s="29">
        <v>1</v>
      </c>
      <c r="BE26" s="29">
        <v>1</v>
      </c>
      <c r="BF26" s="29">
        <v>1</v>
      </c>
      <c r="BG26" s="29">
        <v>1</v>
      </c>
      <c r="BH26" s="29">
        <v>1</v>
      </c>
      <c r="BI26" s="29">
        <v>1</v>
      </c>
      <c r="BJ26" s="29">
        <v>1</v>
      </c>
      <c r="BK26" s="29">
        <v>1</v>
      </c>
      <c r="BL26" s="29">
        <v>1</v>
      </c>
      <c r="BM26" s="29">
        <v>1</v>
      </c>
      <c r="BN26" s="29">
        <v>1</v>
      </c>
      <c r="BO26" s="29">
        <v>1</v>
      </c>
      <c r="BP26" s="29">
        <v>1</v>
      </c>
      <c r="BQ26" s="29">
        <v>1</v>
      </c>
      <c r="BR26" s="29">
        <v>1</v>
      </c>
      <c r="BS26" s="29">
        <v>1</v>
      </c>
      <c r="BT26" s="29">
        <v>1</v>
      </c>
      <c r="BU26" s="29">
        <v>1</v>
      </c>
      <c r="BV26" s="29">
        <v>1</v>
      </c>
      <c r="BW26" s="29">
        <v>1</v>
      </c>
      <c r="BX26" s="29">
        <v>1</v>
      </c>
      <c r="BY26" s="29">
        <v>1</v>
      </c>
      <c r="BZ26" s="29">
        <v>1</v>
      </c>
      <c r="CA26" s="29">
        <v>1</v>
      </c>
      <c r="CB26" s="29">
        <v>1</v>
      </c>
      <c r="CC26" s="29">
        <v>1</v>
      </c>
      <c r="CD26" s="29">
        <v>1</v>
      </c>
      <c r="CE26" s="29">
        <v>1</v>
      </c>
      <c r="CF26" s="29">
        <v>1</v>
      </c>
      <c r="CG26" s="29">
        <v>1</v>
      </c>
      <c r="CH26" s="29">
        <v>1</v>
      </c>
      <c r="CI26" s="29">
        <v>1</v>
      </c>
      <c r="CJ26" s="29">
        <v>1</v>
      </c>
      <c r="CK26" s="29">
        <v>1</v>
      </c>
      <c r="CL26" s="29">
        <v>1</v>
      </c>
      <c r="CM26" s="29">
        <v>1</v>
      </c>
      <c r="CN26" s="29">
        <v>1</v>
      </c>
      <c r="CO26" s="29">
        <v>1</v>
      </c>
      <c r="CP26" s="29">
        <v>1</v>
      </c>
      <c r="CQ26" s="29">
        <v>1</v>
      </c>
      <c r="CR26" s="29">
        <v>1</v>
      </c>
      <c r="CS26" s="29">
        <v>1</v>
      </c>
      <c r="CT26" s="29">
        <v>1</v>
      </c>
      <c r="CU26" s="29">
        <v>1</v>
      </c>
      <c r="CV26" s="29">
        <v>1</v>
      </c>
      <c r="CW26" s="29">
        <v>1</v>
      </c>
      <c r="CX26" s="29">
        <v>1</v>
      </c>
      <c r="CY26" s="29">
        <v>1</v>
      </c>
      <c r="CZ26" s="29">
        <v>1</v>
      </c>
      <c r="DA26" s="29">
        <v>1</v>
      </c>
      <c r="DB26" s="29">
        <v>1</v>
      </c>
      <c r="DC26" s="29">
        <v>1</v>
      </c>
      <c r="DD26" s="29">
        <v>1</v>
      </c>
      <c r="DE26" s="29">
        <v>1</v>
      </c>
      <c r="DF26" s="29">
        <v>1</v>
      </c>
      <c r="DG26" s="29">
        <v>1</v>
      </c>
      <c r="DH26" s="29">
        <v>1</v>
      </c>
      <c r="DI26" s="29">
        <v>1</v>
      </c>
      <c r="DJ26" s="29">
        <v>1</v>
      </c>
      <c r="DK26" s="29">
        <v>1</v>
      </c>
      <c r="DL26" s="29">
        <v>1</v>
      </c>
      <c r="DM26" s="29">
        <v>1</v>
      </c>
      <c r="DN26" s="29">
        <v>1</v>
      </c>
      <c r="DO26" s="29">
        <v>1</v>
      </c>
      <c r="DP26" s="29">
        <v>1</v>
      </c>
      <c r="DQ26" s="29">
        <v>1</v>
      </c>
      <c r="DR26" s="29">
        <v>1</v>
      </c>
      <c r="DS26" s="29">
        <v>1</v>
      </c>
      <c r="DT26" s="29">
        <v>1</v>
      </c>
      <c r="DU26" s="29">
        <v>1</v>
      </c>
      <c r="DV26" s="29">
        <v>1</v>
      </c>
      <c r="DW26" s="29">
        <v>1</v>
      </c>
      <c r="DX26" s="29">
        <v>1</v>
      </c>
      <c r="DY26" s="29">
        <v>1</v>
      </c>
      <c r="DZ26" s="29">
        <v>1</v>
      </c>
      <c r="EA26" s="29">
        <v>1</v>
      </c>
      <c r="EB26" s="29">
        <v>1</v>
      </c>
      <c r="EC26" s="29">
        <v>1</v>
      </c>
      <c r="ED26" s="29">
        <v>1</v>
      </c>
      <c r="EE26" s="29">
        <v>1</v>
      </c>
      <c r="EF26" s="29">
        <v>1</v>
      </c>
      <c r="EG26" s="29">
        <v>1</v>
      </c>
      <c r="EH26" s="29">
        <v>1</v>
      </c>
      <c r="EI26" s="29">
        <v>1</v>
      </c>
      <c r="EJ26" s="29">
        <v>1</v>
      </c>
      <c r="EK26" s="29">
        <v>1</v>
      </c>
      <c r="EL26" s="29">
        <v>1</v>
      </c>
      <c r="EM26" s="29">
        <v>1</v>
      </c>
      <c r="EN26" s="29">
        <v>1</v>
      </c>
      <c r="EO26" s="29">
        <v>1</v>
      </c>
      <c r="EP26" s="29">
        <v>1</v>
      </c>
      <c r="EQ26" s="29">
        <v>1</v>
      </c>
      <c r="ER26" s="29">
        <v>1</v>
      </c>
      <c r="ES26" s="29">
        <v>1</v>
      </c>
      <c r="ET26" s="29">
        <v>1</v>
      </c>
      <c r="EU26" s="29">
        <v>1</v>
      </c>
      <c r="EV26" s="29">
        <v>1</v>
      </c>
      <c r="EW26" s="29">
        <v>1</v>
      </c>
      <c r="EX26" s="29">
        <v>1</v>
      </c>
      <c r="EY26" s="29">
        <v>1</v>
      </c>
      <c r="EZ26" s="29">
        <v>1</v>
      </c>
      <c r="FA26" s="29">
        <v>1</v>
      </c>
      <c r="FB26" s="29">
        <v>1</v>
      </c>
      <c r="FC26" s="29">
        <v>1</v>
      </c>
      <c r="FD26" s="29">
        <v>1</v>
      </c>
      <c r="FE26" s="29">
        <v>1</v>
      </c>
      <c r="FF26" s="29">
        <v>1</v>
      </c>
      <c r="FG26" s="29">
        <v>1</v>
      </c>
      <c r="FH26" s="29">
        <v>1</v>
      </c>
      <c r="FI26" s="29">
        <v>1</v>
      </c>
      <c r="FJ26" s="29">
        <v>1</v>
      </c>
      <c r="FK26" s="29">
        <v>1</v>
      </c>
      <c r="FL26" s="29">
        <v>1</v>
      </c>
      <c r="FM26" s="29">
        <v>1</v>
      </c>
      <c r="FN26" s="29">
        <v>1</v>
      </c>
      <c r="FO26" s="29">
        <v>1</v>
      </c>
      <c r="FP26" s="29">
        <v>1</v>
      </c>
      <c r="FQ26" s="29">
        <v>1</v>
      </c>
      <c r="FR26" s="29">
        <v>1</v>
      </c>
      <c r="FS26" s="29">
        <v>1</v>
      </c>
      <c r="FT26" s="29">
        <v>1</v>
      </c>
      <c r="FU26" s="29">
        <v>1</v>
      </c>
      <c r="FV26" s="29">
        <v>1</v>
      </c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345" t="s">
        <v>398</v>
      </c>
      <c r="HY26" s="399" t="s">
        <v>422</v>
      </c>
      <c r="HZ26" s="400" t="s">
        <v>434</v>
      </c>
      <c r="IA26" s="29">
        <v>5</v>
      </c>
      <c r="IB26" s="29"/>
    </row>
    <row r="27" spans="1:236">
      <c r="A27" s="286">
        <v>45964</v>
      </c>
      <c r="B27" s="29" t="s">
        <v>421</v>
      </c>
      <c r="C27" s="403" t="s">
        <v>172</v>
      </c>
      <c r="D27" s="414" t="s">
        <v>246</v>
      </c>
      <c r="E27" s="30" t="s">
        <v>435</v>
      </c>
      <c r="F27" s="29" t="s">
        <v>511</v>
      </c>
      <c r="G27" s="29">
        <v>0</v>
      </c>
      <c r="H27" s="224">
        <v>1</v>
      </c>
      <c r="I27" s="224"/>
      <c r="J27" s="224"/>
      <c r="K27" s="224">
        <f t="shared" si="0"/>
        <v>6</v>
      </c>
      <c r="L27" s="224">
        <v>1</v>
      </c>
      <c r="M27" s="224">
        <v>1</v>
      </c>
      <c r="N27" s="224">
        <v>1</v>
      </c>
      <c r="O27" s="224">
        <v>1</v>
      </c>
      <c r="P27" s="224">
        <v>1</v>
      </c>
      <c r="Q27" s="224">
        <v>1</v>
      </c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AH27" s="224"/>
      <c r="AI27" s="224"/>
      <c r="AJ27" s="224"/>
      <c r="AK27" s="224"/>
      <c r="AL27" s="224"/>
      <c r="AM27" s="224"/>
      <c r="AN27" s="224"/>
      <c r="AO27" s="224"/>
      <c r="AP27" s="224"/>
      <c r="AQ27" s="224"/>
      <c r="AR27" s="224"/>
      <c r="AS27" s="224"/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4"/>
      <c r="BH27" s="224"/>
      <c r="BI27" s="224"/>
      <c r="BJ27" s="224"/>
      <c r="BK27" s="224"/>
      <c r="BL27" s="224"/>
      <c r="BM27" s="224"/>
      <c r="BN27" s="224"/>
      <c r="BO27" s="224"/>
      <c r="BP27" s="224"/>
      <c r="BQ27" s="224"/>
      <c r="BR27" s="224"/>
      <c r="BS27" s="224"/>
      <c r="BT27" s="224"/>
      <c r="BU27" s="224"/>
      <c r="BV27" s="224"/>
      <c r="BW27" s="224"/>
      <c r="BX27" s="224"/>
      <c r="BY27" s="224"/>
      <c r="BZ27" s="224"/>
      <c r="CA27" s="224"/>
      <c r="CB27" s="224"/>
      <c r="CC27" s="224"/>
      <c r="CD27" s="224"/>
      <c r="CE27" s="224"/>
      <c r="CF27" s="224"/>
      <c r="CG27" s="224"/>
      <c r="CH27" s="224"/>
      <c r="CI27" s="224"/>
      <c r="CJ27" s="224"/>
      <c r="CK27" s="224"/>
      <c r="CL27" s="224"/>
      <c r="CM27" s="224"/>
      <c r="CN27" s="224"/>
      <c r="CO27" s="224"/>
      <c r="CP27" s="224"/>
      <c r="CQ27" s="224"/>
      <c r="CR27" s="224"/>
      <c r="CS27" s="224"/>
      <c r="CT27" s="224"/>
      <c r="CU27" s="224"/>
      <c r="CV27" s="224"/>
      <c r="CW27" s="224"/>
      <c r="CX27" s="224"/>
      <c r="CY27" s="224"/>
      <c r="CZ27" s="224"/>
      <c r="DA27" s="224"/>
      <c r="DB27" s="224"/>
      <c r="DC27" s="224"/>
      <c r="DD27" s="224"/>
      <c r="DE27" s="224"/>
      <c r="DF27" s="224"/>
      <c r="DG27" s="224"/>
      <c r="DH27" s="224"/>
      <c r="DI27" s="224"/>
      <c r="DJ27" s="224"/>
      <c r="DK27" s="224"/>
      <c r="DL27" s="224"/>
      <c r="DM27" s="224"/>
      <c r="DN27" s="224"/>
      <c r="DO27" s="224"/>
      <c r="DP27" s="224"/>
      <c r="DQ27" s="224"/>
      <c r="DR27" s="224"/>
      <c r="DS27" s="224"/>
      <c r="DT27" s="224"/>
      <c r="DU27" s="224"/>
      <c r="DV27" s="224"/>
      <c r="DW27" s="224"/>
      <c r="DX27" s="224"/>
      <c r="DY27" s="224"/>
      <c r="DZ27" s="224"/>
      <c r="EA27" s="224"/>
      <c r="EB27" s="224"/>
      <c r="EC27" s="224"/>
      <c r="ED27" s="224"/>
      <c r="EE27" s="224"/>
      <c r="EF27" s="224"/>
      <c r="EG27" s="224"/>
      <c r="EH27" s="224"/>
      <c r="EI27" s="224"/>
      <c r="EJ27" s="224"/>
      <c r="EK27" s="224"/>
      <c r="EL27" s="224"/>
      <c r="EM27" s="224"/>
      <c r="EN27" s="224"/>
      <c r="EO27" s="224"/>
      <c r="EP27" s="224"/>
      <c r="EQ27" s="224"/>
      <c r="ER27" s="224"/>
      <c r="ES27" s="224"/>
      <c r="ET27" s="224"/>
      <c r="EU27" s="224"/>
      <c r="EV27" s="224"/>
      <c r="EW27" s="224"/>
      <c r="EX27" s="224"/>
      <c r="EY27" s="224"/>
      <c r="EZ27" s="224"/>
      <c r="FA27" s="224"/>
      <c r="FB27" s="224"/>
      <c r="FC27" s="224"/>
      <c r="FD27" s="224"/>
      <c r="FE27" s="224"/>
      <c r="FF27" s="224"/>
      <c r="FG27" s="224"/>
      <c r="FH27" s="224"/>
      <c r="FI27" s="224"/>
      <c r="FJ27" s="224"/>
      <c r="FK27" s="224"/>
      <c r="FL27" s="224"/>
      <c r="FM27" s="224"/>
      <c r="FN27" s="224"/>
      <c r="FO27" s="224"/>
      <c r="FP27" s="224"/>
      <c r="FQ27" s="224"/>
      <c r="FR27" s="224"/>
      <c r="FS27" s="224"/>
      <c r="FT27" s="224"/>
      <c r="FU27" s="224"/>
      <c r="FV27" s="224"/>
      <c r="FW27" s="224"/>
      <c r="FX27" s="224"/>
      <c r="FY27" s="224"/>
      <c r="FZ27" s="224"/>
      <c r="GA27" s="224"/>
      <c r="GB27" s="224"/>
      <c r="GC27" s="224"/>
      <c r="GD27" s="224"/>
      <c r="GE27" s="224"/>
      <c r="GF27" s="224"/>
      <c r="GG27" s="224"/>
      <c r="GH27" s="224"/>
      <c r="GI27" s="224"/>
      <c r="GJ27" s="224"/>
      <c r="GK27" s="224"/>
      <c r="GL27" s="224"/>
      <c r="GM27" s="224"/>
      <c r="GN27" s="224"/>
      <c r="GO27" s="224"/>
      <c r="GP27" s="224"/>
      <c r="GQ27" s="224"/>
      <c r="GR27" s="224"/>
      <c r="GS27" s="224"/>
      <c r="GT27" s="224"/>
      <c r="GU27" s="224"/>
      <c r="GV27" s="224"/>
      <c r="GW27" s="224"/>
      <c r="GX27" s="224"/>
      <c r="GY27" s="224"/>
      <c r="GZ27" s="224"/>
      <c r="HA27" s="224"/>
      <c r="HB27" s="224"/>
      <c r="HC27" s="224"/>
      <c r="HD27" s="224"/>
      <c r="HE27" s="224"/>
      <c r="HF27" s="224"/>
      <c r="HG27" s="224"/>
      <c r="HH27" s="224"/>
      <c r="HI27" s="224"/>
      <c r="HJ27" s="224"/>
      <c r="HK27" s="224"/>
      <c r="HL27" s="224"/>
      <c r="HM27" s="224"/>
      <c r="HN27" s="224"/>
      <c r="HO27" s="224"/>
      <c r="HP27" s="224"/>
      <c r="HQ27" s="224"/>
      <c r="HR27" s="224"/>
      <c r="HS27" s="224"/>
      <c r="HT27" s="224"/>
      <c r="HU27" s="224"/>
      <c r="HV27" s="224"/>
      <c r="HW27" s="224"/>
      <c r="HX27" s="286">
        <v>45970</v>
      </c>
      <c r="HY27" s="30" t="s">
        <v>436</v>
      </c>
      <c r="HZ27" s="29" t="s">
        <v>392</v>
      </c>
      <c r="IA27" s="29" t="s">
        <v>61</v>
      </c>
      <c r="IB27" s="29"/>
    </row>
    <row r="28" spans="1:236" ht="16.5">
      <c r="A28" s="286">
        <v>45964</v>
      </c>
      <c r="B28" s="29" t="s">
        <v>421</v>
      </c>
      <c r="C28" s="403" t="s">
        <v>172</v>
      </c>
      <c r="D28" s="414" t="s">
        <v>246</v>
      </c>
      <c r="E28" s="30" t="s">
        <v>437</v>
      </c>
      <c r="F28" s="29" t="s">
        <v>512</v>
      </c>
      <c r="G28" s="224">
        <v>1</v>
      </c>
      <c r="H28" s="29">
        <v>0</v>
      </c>
      <c r="I28" s="29"/>
      <c r="J28" s="473" t="b">
        <v>0</v>
      </c>
      <c r="K28" s="224">
        <f t="shared" si="0"/>
        <v>4</v>
      </c>
      <c r="L28" s="29">
        <v>1</v>
      </c>
      <c r="M28" s="29">
        <v>1</v>
      </c>
      <c r="N28" s="29">
        <v>1</v>
      </c>
      <c r="O28" s="29">
        <v>1</v>
      </c>
      <c r="P28" s="29">
        <v>0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/>
      <c r="GE28" s="29"/>
      <c r="GF28" s="29"/>
      <c r="GG28" s="29"/>
      <c r="GH28" s="29"/>
      <c r="GI28" s="29"/>
      <c r="GJ28" s="29"/>
      <c r="GK28" s="29"/>
      <c r="GL28" s="29"/>
      <c r="GM28" s="29"/>
      <c r="GN28" s="29"/>
      <c r="GO28" s="29"/>
      <c r="GP28" s="29"/>
      <c r="GQ28" s="29"/>
      <c r="GR28" s="29"/>
      <c r="GS28" s="29"/>
      <c r="GT28" s="29"/>
      <c r="GU28" s="29"/>
      <c r="GV28" s="29"/>
      <c r="GW28" s="29"/>
      <c r="GX28" s="29"/>
      <c r="GY28" s="29"/>
      <c r="GZ28" s="29"/>
      <c r="HA28" s="29"/>
      <c r="HB28" s="29"/>
      <c r="HC28" s="29"/>
      <c r="HD28" s="29"/>
      <c r="HE28" s="29"/>
      <c r="HF28" s="29"/>
      <c r="HG28" s="29"/>
      <c r="HH28" s="29"/>
      <c r="HI28" s="29"/>
      <c r="HJ28" s="29"/>
      <c r="HK28" s="29"/>
      <c r="HL28" s="2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402" t="s">
        <v>61</v>
      </c>
      <c r="HY28" s="30" t="s">
        <v>513</v>
      </c>
      <c r="HZ28" s="275" t="s">
        <v>405</v>
      </c>
      <c r="IA28" s="29">
        <v>6</v>
      </c>
      <c r="IB28" s="723" t="s">
        <v>439</v>
      </c>
    </row>
    <row r="29" spans="1:236">
      <c r="A29" s="286">
        <v>45964</v>
      </c>
      <c r="B29" s="29" t="s">
        <v>421</v>
      </c>
      <c r="C29" s="403" t="s">
        <v>172</v>
      </c>
      <c r="D29" s="414" t="s">
        <v>246</v>
      </c>
      <c r="E29" s="430" t="s">
        <v>514</v>
      </c>
      <c r="F29" s="29" t="s">
        <v>512</v>
      </c>
      <c r="G29" s="224">
        <v>1</v>
      </c>
      <c r="H29" s="29">
        <v>0</v>
      </c>
      <c r="I29" s="29"/>
      <c r="J29" s="473" t="b">
        <v>0</v>
      </c>
      <c r="K29" s="224">
        <f>SUM(L29:DG29)</f>
        <v>13</v>
      </c>
      <c r="L29" s="29">
        <v>1</v>
      </c>
      <c r="M29" s="29">
        <v>1</v>
      </c>
      <c r="N29" s="29">
        <v>1</v>
      </c>
      <c r="O29" s="29">
        <v>1</v>
      </c>
      <c r="P29" s="29">
        <v>1</v>
      </c>
      <c r="Q29" s="29">
        <v>1</v>
      </c>
      <c r="R29" s="29">
        <v>1</v>
      </c>
      <c r="S29" s="29">
        <v>1</v>
      </c>
      <c r="T29" s="29">
        <v>1</v>
      </c>
      <c r="U29" s="29">
        <v>1</v>
      </c>
      <c r="V29" s="29">
        <v>1</v>
      </c>
      <c r="W29" s="29">
        <v>1</v>
      </c>
      <c r="X29" s="29">
        <v>1</v>
      </c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9"/>
      <c r="GW29" s="29"/>
      <c r="GX29" s="29"/>
      <c r="GY29" s="29"/>
      <c r="GZ29" s="29"/>
      <c r="HA29" s="29"/>
      <c r="HB29" s="29"/>
      <c r="HC29" s="29"/>
      <c r="HD29" s="29"/>
      <c r="HE29" s="29"/>
      <c r="HF29" s="29"/>
      <c r="HG29" s="29"/>
      <c r="HH29" s="29"/>
      <c r="HI29" s="29"/>
      <c r="HJ29" s="29"/>
      <c r="HK29" s="29"/>
      <c r="HL29" s="2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345" t="s">
        <v>398</v>
      </c>
      <c r="HY29" s="399" t="s">
        <v>422</v>
      </c>
      <c r="HZ29" s="400" t="s">
        <v>438</v>
      </c>
      <c r="IA29" s="29">
        <v>6</v>
      </c>
      <c r="IB29" s="724"/>
    </row>
    <row r="30" spans="1:236">
      <c r="A30" s="286">
        <v>45964</v>
      </c>
      <c r="B30" s="29" t="s">
        <v>421</v>
      </c>
      <c r="C30" s="403" t="s">
        <v>172</v>
      </c>
      <c r="D30" s="414" t="s">
        <v>246</v>
      </c>
      <c r="E30" s="430" t="s">
        <v>441</v>
      </c>
      <c r="F30" s="29" t="s">
        <v>512</v>
      </c>
      <c r="G30" s="224">
        <v>1</v>
      </c>
      <c r="H30" s="29">
        <v>0</v>
      </c>
      <c r="I30" s="470" t="s">
        <v>696</v>
      </c>
      <c r="J30" s="473" t="b">
        <v>1</v>
      </c>
      <c r="K30" s="224">
        <f t="shared" ref="K30:K37" si="1">SUM(L30:GI30)</f>
        <v>162</v>
      </c>
      <c r="L30" s="29">
        <v>1</v>
      </c>
      <c r="M30" s="29">
        <v>1</v>
      </c>
      <c r="N30" s="29">
        <v>1</v>
      </c>
      <c r="O30" s="29">
        <v>1</v>
      </c>
      <c r="P30" s="29">
        <v>1</v>
      </c>
      <c r="Q30" s="29">
        <v>1</v>
      </c>
      <c r="R30" s="29">
        <v>1</v>
      </c>
      <c r="S30" s="29">
        <v>1</v>
      </c>
      <c r="T30" s="29">
        <v>1</v>
      </c>
      <c r="U30" s="29">
        <v>1</v>
      </c>
      <c r="V30" s="29">
        <v>1</v>
      </c>
      <c r="W30" s="29">
        <v>1</v>
      </c>
      <c r="X30" s="29">
        <v>1</v>
      </c>
      <c r="Y30" s="29">
        <v>1</v>
      </c>
      <c r="Z30" s="29">
        <v>1</v>
      </c>
      <c r="AA30" s="29">
        <v>1</v>
      </c>
      <c r="AB30" s="29">
        <v>1</v>
      </c>
      <c r="AC30" s="29">
        <v>1</v>
      </c>
      <c r="AD30" s="29">
        <v>1</v>
      </c>
      <c r="AE30" s="29">
        <v>1</v>
      </c>
      <c r="AF30" s="29">
        <v>1</v>
      </c>
      <c r="AG30" s="29">
        <v>1</v>
      </c>
      <c r="AH30" s="29">
        <v>1</v>
      </c>
      <c r="AI30" s="29">
        <v>1</v>
      </c>
      <c r="AJ30" s="29">
        <v>1</v>
      </c>
      <c r="AK30" s="29">
        <v>1</v>
      </c>
      <c r="AL30" s="29">
        <v>1</v>
      </c>
      <c r="AM30" s="29">
        <v>1</v>
      </c>
      <c r="AN30" s="29">
        <v>1</v>
      </c>
      <c r="AO30" s="29">
        <v>1</v>
      </c>
      <c r="AP30" s="29">
        <v>1</v>
      </c>
      <c r="AQ30" s="29">
        <v>1</v>
      </c>
      <c r="AR30" s="29">
        <v>1</v>
      </c>
      <c r="AS30" s="29">
        <v>1</v>
      </c>
      <c r="AT30" s="29">
        <v>1</v>
      </c>
      <c r="AU30" s="29">
        <v>1</v>
      </c>
      <c r="AV30" s="29">
        <v>1</v>
      </c>
      <c r="AW30" s="29">
        <v>1</v>
      </c>
      <c r="AX30" s="29">
        <v>1</v>
      </c>
      <c r="AY30" s="29">
        <v>1</v>
      </c>
      <c r="AZ30" s="29">
        <v>1</v>
      </c>
      <c r="BA30" s="29">
        <v>1</v>
      </c>
      <c r="BB30" s="29">
        <v>1</v>
      </c>
      <c r="BC30" s="29">
        <v>1</v>
      </c>
      <c r="BD30" s="29">
        <v>1</v>
      </c>
      <c r="BE30" s="29">
        <v>1</v>
      </c>
      <c r="BF30" s="29">
        <v>1</v>
      </c>
      <c r="BG30" s="29">
        <v>1</v>
      </c>
      <c r="BH30" s="29">
        <v>1</v>
      </c>
      <c r="BI30" s="29">
        <v>1</v>
      </c>
      <c r="BJ30" s="29">
        <v>1</v>
      </c>
      <c r="BK30" s="29">
        <v>1</v>
      </c>
      <c r="BL30" s="29">
        <v>1</v>
      </c>
      <c r="BM30" s="29">
        <v>1</v>
      </c>
      <c r="BN30" s="29">
        <v>1</v>
      </c>
      <c r="BO30" s="29">
        <v>1</v>
      </c>
      <c r="BP30" s="29">
        <v>1</v>
      </c>
      <c r="BQ30" s="29">
        <v>1</v>
      </c>
      <c r="BR30" s="29">
        <v>1</v>
      </c>
      <c r="BS30" s="29">
        <v>1</v>
      </c>
      <c r="BT30" s="29">
        <v>1</v>
      </c>
      <c r="BU30" s="29">
        <v>1</v>
      </c>
      <c r="BV30" s="29">
        <v>1</v>
      </c>
      <c r="BW30" s="29">
        <v>1</v>
      </c>
      <c r="BX30" s="29">
        <v>1</v>
      </c>
      <c r="BY30" s="29">
        <v>1</v>
      </c>
      <c r="BZ30" s="29">
        <v>1</v>
      </c>
      <c r="CA30" s="29">
        <v>1</v>
      </c>
      <c r="CB30" s="29">
        <v>1</v>
      </c>
      <c r="CC30" s="29">
        <v>1</v>
      </c>
      <c r="CD30" s="29">
        <v>1</v>
      </c>
      <c r="CE30" s="29">
        <v>1</v>
      </c>
      <c r="CF30" s="29">
        <v>1</v>
      </c>
      <c r="CG30" s="29">
        <v>1</v>
      </c>
      <c r="CH30" s="29">
        <v>1</v>
      </c>
      <c r="CI30" s="29">
        <v>1</v>
      </c>
      <c r="CJ30" s="29">
        <v>1</v>
      </c>
      <c r="CK30" s="29">
        <v>1</v>
      </c>
      <c r="CL30" s="29">
        <v>1</v>
      </c>
      <c r="CM30" s="29">
        <v>1</v>
      </c>
      <c r="CN30" s="29">
        <v>1</v>
      </c>
      <c r="CO30" s="29">
        <v>1</v>
      </c>
      <c r="CP30" s="29">
        <v>1</v>
      </c>
      <c r="CQ30" s="29">
        <v>1</v>
      </c>
      <c r="CR30" s="29">
        <v>1</v>
      </c>
      <c r="CS30" s="29">
        <v>1</v>
      </c>
      <c r="CT30" s="29">
        <v>1</v>
      </c>
      <c r="CU30" s="29">
        <v>1</v>
      </c>
      <c r="CV30" s="29">
        <v>1</v>
      </c>
      <c r="CW30" s="29">
        <v>1</v>
      </c>
      <c r="CX30" s="29">
        <v>1</v>
      </c>
      <c r="CY30" s="29">
        <v>1</v>
      </c>
      <c r="CZ30" s="29">
        <v>1</v>
      </c>
      <c r="DA30" s="29">
        <v>1</v>
      </c>
      <c r="DB30" s="29">
        <v>1</v>
      </c>
      <c r="DC30" s="29">
        <v>1</v>
      </c>
      <c r="DD30" s="29">
        <v>1</v>
      </c>
      <c r="DE30" s="29">
        <v>1</v>
      </c>
      <c r="DF30" s="29">
        <v>1</v>
      </c>
      <c r="DG30" s="29">
        <v>1</v>
      </c>
      <c r="DH30" s="29">
        <v>1</v>
      </c>
      <c r="DI30" s="29">
        <v>1</v>
      </c>
      <c r="DJ30" s="29">
        <v>1</v>
      </c>
      <c r="DK30" s="29">
        <v>1</v>
      </c>
      <c r="DL30" s="29">
        <v>1</v>
      </c>
      <c r="DM30" s="29">
        <v>1</v>
      </c>
      <c r="DN30" s="29">
        <v>1</v>
      </c>
      <c r="DO30" s="29">
        <v>1</v>
      </c>
      <c r="DP30" s="29">
        <v>1</v>
      </c>
      <c r="DQ30" s="29">
        <v>1</v>
      </c>
      <c r="DR30" s="29">
        <v>1</v>
      </c>
      <c r="DS30" s="29">
        <v>1</v>
      </c>
      <c r="DT30" s="29">
        <v>1</v>
      </c>
      <c r="DU30" s="29">
        <v>1</v>
      </c>
      <c r="DV30" s="29">
        <v>1</v>
      </c>
      <c r="DW30" s="29">
        <v>1</v>
      </c>
      <c r="DX30" s="29">
        <v>1</v>
      </c>
      <c r="DY30" s="29">
        <v>1</v>
      </c>
      <c r="DZ30" s="29">
        <v>1</v>
      </c>
      <c r="EA30" s="29">
        <v>1</v>
      </c>
      <c r="EB30" s="29">
        <v>1</v>
      </c>
      <c r="EC30" s="29">
        <v>1</v>
      </c>
      <c r="ED30" s="29">
        <v>1</v>
      </c>
      <c r="EE30" s="29">
        <v>1</v>
      </c>
      <c r="EF30" s="29">
        <v>1</v>
      </c>
      <c r="EG30" s="29">
        <v>1</v>
      </c>
      <c r="EH30" s="29">
        <v>1</v>
      </c>
      <c r="EI30" s="29">
        <v>1</v>
      </c>
      <c r="EJ30" s="29">
        <v>1</v>
      </c>
      <c r="EK30" s="29">
        <v>1</v>
      </c>
      <c r="EL30" s="29">
        <v>1</v>
      </c>
      <c r="EM30" s="29">
        <v>1</v>
      </c>
      <c r="EN30" s="29">
        <v>1</v>
      </c>
      <c r="EO30" s="29">
        <v>1</v>
      </c>
      <c r="EP30" s="29">
        <v>1</v>
      </c>
      <c r="EQ30" s="29">
        <v>1</v>
      </c>
      <c r="ER30" s="29">
        <v>1</v>
      </c>
      <c r="ES30" s="29">
        <v>1</v>
      </c>
      <c r="ET30" s="29">
        <v>1</v>
      </c>
      <c r="EU30" s="29">
        <v>1</v>
      </c>
      <c r="EV30" s="29">
        <v>1</v>
      </c>
      <c r="EW30" s="29">
        <v>1</v>
      </c>
      <c r="EX30" s="29">
        <v>1</v>
      </c>
      <c r="EY30" s="29">
        <v>1</v>
      </c>
      <c r="EZ30" s="29">
        <v>1</v>
      </c>
      <c r="FA30" s="29">
        <v>1</v>
      </c>
      <c r="FB30" s="29">
        <v>1</v>
      </c>
      <c r="FC30" s="29">
        <v>1</v>
      </c>
      <c r="FD30" s="29">
        <v>1</v>
      </c>
      <c r="FE30" s="29">
        <v>1</v>
      </c>
      <c r="FF30" s="29">
        <v>1</v>
      </c>
      <c r="FG30" s="29">
        <v>1</v>
      </c>
      <c r="FH30" s="29">
        <v>1</v>
      </c>
      <c r="FI30" s="29">
        <v>1</v>
      </c>
      <c r="FJ30" s="29">
        <v>1</v>
      </c>
      <c r="FK30" s="29">
        <v>1</v>
      </c>
      <c r="FL30" s="29">
        <v>1</v>
      </c>
      <c r="FM30" s="29">
        <v>1</v>
      </c>
      <c r="FN30" s="29">
        <v>1</v>
      </c>
      <c r="FO30" s="29">
        <v>1</v>
      </c>
      <c r="FP30" s="29">
        <v>1</v>
      </c>
      <c r="FQ30" s="29">
        <v>1</v>
      </c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/>
      <c r="GE30" s="29"/>
      <c r="GF30" s="29"/>
      <c r="GG30" s="29"/>
      <c r="GH30" s="29" t="s">
        <v>230</v>
      </c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9"/>
      <c r="GW30" s="29"/>
      <c r="GX30" s="29"/>
      <c r="GY30" s="29"/>
      <c r="GZ30" s="29"/>
      <c r="HA30" s="29"/>
      <c r="HB30" s="29"/>
      <c r="HC30" s="29"/>
      <c r="HD30" s="29"/>
      <c r="HE30" s="29"/>
      <c r="HF30" s="29"/>
      <c r="HG30" s="29"/>
      <c r="HH30" s="29"/>
      <c r="HI30" s="29"/>
      <c r="HJ30" s="29"/>
      <c r="HK30" s="29"/>
      <c r="HL30" s="2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345" t="s">
        <v>398</v>
      </c>
      <c r="HY30" s="399" t="s">
        <v>422</v>
      </c>
      <c r="HZ30" s="400" t="s">
        <v>438</v>
      </c>
      <c r="IA30" s="29">
        <v>6</v>
      </c>
      <c r="IB30" s="725"/>
    </row>
    <row r="31" spans="1:236">
      <c r="A31" s="286">
        <v>45968</v>
      </c>
      <c r="B31" s="29" t="s">
        <v>515</v>
      </c>
      <c r="C31" s="285" t="s">
        <v>175</v>
      </c>
      <c r="D31" s="412" t="s">
        <v>276</v>
      </c>
      <c r="E31" s="430" t="s">
        <v>442</v>
      </c>
      <c r="F31" s="29" t="s">
        <v>398</v>
      </c>
      <c r="G31" s="224">
        <v>0</v>
      </c>
      <c r="H31" s="29">
        <v>1</v>
      </c>
      <c r="I31" s="470" t="s">
        <v>696</v>
      </c>
      <c r="J31" s="473" t="b">
        <v>0</v>
      </c>
      <c r="K31" s="224">
        <f t="shared" si="1"/>
        <v>159</v>
      </c>
      <c r="L31" s="29">
        <v>1</v>
      </c>
      <c r="M31" s="29">
        <v>1</v>
      </c>
      <c r="N31" s="29">
        <v>1</v>
      </c>
      <c r="O31" s="29">
        <v>1</v>
      </c>
      <c r="P31" s="29">
        <v>1</v>
      </c>
      <c r="Q31" s="29">
        <v>1</v>
      </c>
      <c r="R31" s="29">
        <v>1</v>
      </c>
      <c r="S31" s="29">
        <v>1</v>
      </c>
      <c r="T31" s="29">
        <v>1</v>
      </c>
      <c r="U31" s="29">
        <v>1</v>
      </c>
      <c r="V31" s="29">
        <v>1</v>
      </c>
      <c r="W31" s="29">
        <v>1</v>
      </c>
      <c r="X31" s="29">
        <v>1</v>
      </c>
      <c r="Y31" s="29">
        <v>1</v>
      </c>
      <c r="Z31" s="29">
        <v>1</v>
      </c>
      <c r="AA31" s="29">
        <v>1</v>
      </c>
      <c r="AB31" s="29">
        <v>1</v>
      </c>
      <c r="AC31" s="29">
        <v>1</v>
      </c>
      <c r="AD31" s="29">
        <v>1</v>
      </c>
      <c r="AE31" s="29">
        <v>1</v>
      </c>
      <c r="AF31" s="29">
        <v>1</v>
      </c>
      <c r="AG31" s="29">
        <v>1</v>
      </c>
      <c r="AH31" s="29">
        <v>1</v>
      </c>
      <c r="AI31" s="29">
        <v>1</v>
      </c>
      <c r="AJ31" s="29">
        <v>1</v>
      </c>
      <c r="AK31" s="29">
        <v>1</v>
      </c>
      <c r="AL31" s="29">
        <v>1</v>
      </c>
      <c r="AM31" s="29">
        <v>1</v>
      </c>
      <c r="AN31" s="29">
        <v>1</v>
      </c>
      <c r="AO31" s="29">
        <v>1</v>
      </c>
      <c r="AP31" s="29">
        <v>1</v>
      </c>
      <c r="AQ31" s="29">
        <v>1</v>
      </c>
      <c r="AR31" s="29">
        <v>1</v>
      </c>
      <c r="AS31" s="29">
        <v>1</v>
      </c>
      <c r="AT31" s="29">
        <v>1</v>
      </c>
      <c r="AU31" s="29">
        <v>1</v>
      </c>
      <c r="AV31" s="29">
        <v>1</v>
      </c>
      <c r="AW31" s="29">
        <v>1</v>
      </c>
      <c r="AX31" s="29">
        <v>1</v>
      </c>
      <c r="AY31" s="29">
        <v>1</v>
      </c>
      <c r="AZ31" s="29">
        <v>1</v>
      </c>
      <c r="BA31" s="29">
        <v>1</v>
      </c>
      <c r="BB31" s="29">
        <v>1</v>
      </c>
      <c r="BC31" s="29">
        <v>1</v>
      </c>
      <c r="BD31" s="29">
        <v>1</v>
      </c>
      <c r="BE31" s="29">
        <v>1</v>
      </c>
      <c r="BF31" s="29">
        <v>1</v>
      </c>
      <c r="BG31" s="29">
        <v>1</v>
      </c>
      <c r="BH31" s="29">
        <v>1</v>
      </c>
      <c r="BI31" s="29">
        <v>1</v>
      </c>
      <c r="BJ31" s="29">
        <v>1</v>
      </c>
      <c r="BK31" s="29">
        <v>1</v>
      </c>
      <c r="BL31" s="29">
        <v>1</v>
      </c>
      <c r="BM31" s="29">
        <v>1</v>
      </c>
      <c r="BN31" s="29">
        <v>1</v>
      </c>
      <c r="BO31" s="29">
        <v>1</v>
      </c>
      <c r="BP31" s="29">
        <v>1</v>
      </c>
      <c r="BQ31" s="29">
        <v>1</v>
      </c>
      <c r="BR31" s="29">
        <v>1</v>
      </c>
      <c r="BS31" s="29">
        <v>1</v>
      </c>
      <c r="BT31" s="29">
        <v>1</v>
      </c>
      <c r="BU31" s="29">
        <v>1</v>
      </c>
      <c r="BV31" s="29">
        <v>1</v>
      </c>
      <c r="BW31" s="29">
        <v>1</v>
      </c>
      <c r="BX31" s="29">
        <v>1</v>
      </c>
      <c r="BY31" s="29">
        <v>1</v>
      </c>
      <c r="BZ31" s="29">
        <v>1</v>
      </c>
      <c r="CA31" s="29">
        <v>1</v>
      </c>
      <c r="CB31" s="29">
        <v>1</v>
      </c>
      <c r="CC31" s="29">
        <v>1</v>
      </c>
      <c r="CD31" s="29">
        <v>1</v>
      </c>
      <c r="CE31" s="29">
        <v>1</v>
      </c>
      <c r="CF31" s="29">
        <v>1</v>
      </c>
      <c r="CG31" s="29">
        <v>1</v>
      </c>
      <c r="CH31" s="29">
        <v>1</v>
      </c>
      <c r="CI31" s="29">
        <v>1</v>
      </c>
      <c r="CJ31" s="29">
        <v>1</v>
      </c>
      <c r="CK31" s="29">
        <v>1</v>
      </c>
      <c r="CL31" s="29">
        <v>1</v>
      </c>
      <c r="CM31" s="29">
        <v>1</v>
      </c>
      <c r="CN31" s="29">
        <v>1</v>
      </c>
      <c r="CO31" s="29">
        <v>1</v>
      </c>
      <c r="CP31" s="29">
        <v>1</v>
      </c>
      <c r="CQ31" s="29">
        <v>1</v>
      </c>
      <c r="CR31" s="29">
        <v>1</v>
      </c>
      <c r="CS31" s="29">
        <v>1</v>
      </c>
      <c r="CT31" s="29">
        <v>1</v>
      </c>
      <c r="CU31" s="29">
        <v>1</v>
      </c>
      <c r="CV31" s="29">
        <v>1</v>
      </c>
      <c r="CW31" s="29">
        <v>1</v>
      </c>
      <c r="CX31" s="29">
        <v>1</v>
      </c>
      <c r="CY31" s="29">
        <v>1</v>
      </c>
      <c r="CZ31" s="29">
        <v>1</v>
      </c>
      <c r="DA31" s="29">
        <v>1</v>
      </c>
      <c r="DB31" s="29">
        <v>1</v>
      </c>
      <c r="DC31" s="29">
        <v>1</v>
      </c>
      <c r="DD31" s="29">
        <v>1</v>
      </c>
      <c r="DE31" s="29">
        <v>1</v>
      </c>
      <c r="DF31" s="29">
        <v>1</v>
      </c>
      <c r="DG31" s="29">
        <v>1</v>
      </c>
      <c r="DH31" s="29">
        <v>1</v>
      </c>
      <c r="DI31" s="29">
        <v>1</v>
      </c>
      <c r="DJ31" s="29">
        <v>1</v>
      </c>
      <c r="DK31" s="29">
        <v>1</v>
      </c>
      <c r="DL31" s="29">
        <v>1</v>
      </c>
      <c r="DM31" s="29">
        <v>1</v>
      </c>
      <c r="DN31" s="29">
        <v>1</v>
      </c>
      <c r="DO31" s="29">
        <v>1</v>
      </c>
      <c r="DP31" s="29">
        <v>1</v>
      </c>
      <c r="DQ31" s="29">
        <v>1</v>
      </c>
      <c r="DR31" s="29">
        <v>1</v>
      </c>
      <c r="DS31" s="29">
        <v>1</v>
      </c>
      <c r="DT31" s="29">
        <v>1</v>
      </c>
      <c r="DU31" s="29">
        <v>1</v>
      </c>
      <c r="DV31" s="29">
        <v>1</v>
      </c>
      <c r="DW31" s="29">
        <v>1</v>
      </c>
      <c r="DX31" s="29">
        <v>1</v>
      </c>
      <c r="DY31" s="29">
        <v>1</v>
      </c>
      <c r="DZ31" s="29">
        <v>1</v>
      </c>
      <c r="EA31" s="29">
        <v>1</v>
      </c>
      <c r="EB31" s="29">
        <v>1</v>
      </c>
      <c r="EC31" s="29">
        <v>1</v>
      </c>
      <c r="ED31" s="29">
        <v>1</v>
      </c>
      <c r="EE31" s="29">
        <v>1</v>
      </c>
      <c r="EF31" s="29">
        <v>1</v>
      </c>
      <c r="EG31" s="29">
        <v>1</v>
      </c>
      <c r="EH31" s="29">
        <v>1</v>
      </c>
      <c r="EI31" s="29">
        <v>1</v>
      </c>
      <c r="EJ31" s="29">
        <v>1</v>
      </c>
      <c r="EK31" s="29">
        <v>1</v>
      </c>
      <c r="EL31" s="29">
        <v>1</v>
      </c>
      <c r="EM31" s="29">
        <v>1</v>
      </c>
      <c r="EN31" s="29">
        <v>1</v>
      </c>
      <c r="EO31" s="29">
        <v>1</v>
      </c>
      <c r="EP31" s="29">
        <v>1</v>
      </c>
      <c r="EQ31" s="29">
        <v>1</v>
      </c>
      <c r="ER31" s="29">
        <v>1</v>
      </c>
      <c r="ES31" s="29">
        <v>1</v>
      </c>
      <c r="ET31" s="29">
        <v>1</v>
      </c>
      <c r="EU31" s="29">
        <v>1</v>
      </c>
      <c r="EV31" s="29">
        <v>1</v>
      </c>
      <c r="EW31" s="29">
        <v>1</v>
      </c>
      <c r="EX31" s="29">
        <v>1</v>
      </c>
      <c r="EY31" s="29">
        <v>1</v>
      </c>
      <c r="EZ31" s="29">
        <v>1</v>
      </c>
      <c r="FA31" s="29">
        <v>1</v>
      </c>
      <c r="FB31" s="29">
        <v>1</v>
      </c>
      <c r="FC31" s="29">
        <v>1</v>
      </c>
      <c r="FD31" s="29">
        <v>1</v>
      </c>
      <c r="FE31" s="29">
        <v>1</v>
      </c>
      <c r="FF31" s="29">
        <v>1</v>
      </c>
      <c r="FG31" s="29">
        <v>1</v>
      </c>
      <c r="FH31" s="29">
        <v>1</v>
      </c>
      <c r="FI31" s="29">
        <v>1</v>
      </c>
      <c r="FJ31" s="29">
        <v>1</v>
      </c>
      <c r="FK31" s="29">
        <v>1</v>
      </c>
      <c r="FL31" s="29">
        <v>1</v>
      </c>
      <c r="FM31" s="29">
        <v>1</v>
      </c>
      <c r="FN31" s="29">
        <v>1</v>
      </c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29"/>
      <c r="GZ31" s="29"/>
      <c r="HA31" s="29"/>
      <c r="HB31" s="29"/>
      <c r="HC31" s="29"/>
      <c r="HD31" s="29"/>
      <c r="HE31" s="29"/>
      <c r="HF31" s="29"/>
      <c r="HG31" s="29"/>
      <c r="HH31" s="29"/>
      <c r="HI31" s="29"/>
      <c r="HJ31" s="29"/>
      <c r="HK31" s="29"/>
      <c r="HL31" s="2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345" t="s">
        <v>398</v>
      </c>
      <c r="HY31" s="399" t="s">
        <v>422</v>
      </c>
      <c r="HZ31" s="400" t="s">
        <v>443</v>
      </c>
      <c r="IA31" s="29">
        <v>7</v>
      </c>
      <c r="IB31" s="29"/>
    </row>
    <row r="32" spans="1:236">
      <c r="A32" s="286">
        <v>45968</v>
      </c>
      <c r="B32" s="29" t="s">
        <v>515</v>
      </c>
      <c r="C32" s="285" t="s">
        <v>175</v>
      </c>
      <c r="D32" s="412" t="s">
        <v>276</v>
      </c>
      <c r="E32" s="430" t="s">
        <v>444</v>
      </c>
      <c r="F32" s="29" t="s">
        <v>398</v>
      </c>
      <c r="G32" s="224">
        <v>0</v>
      </c>
      <c r="H32" s="29">
        <v>1</v>
      </c>
      <c r="I32" s="470" t="s">
        <v>695</v>
      </c>
      <c r="J32" s="473" t="b">
        <v>0</v>
      </c>
      <c r="K32" s="224">
        <f t="shared" si="1"/>
        <v>159</v>
      </c>
      <c r="L32" s="29">
        <v>1</v>
      </c>
      <c r="M32" s="29">
        <v>1</v>
      </c>
      <c r="N32" s="29">
        <v>1</v>
      </c>
      <c r="O32" s="29">
        <v>1</v>
      </c>
      <c r="P32" s="29">
        <v>1</v>
      </c>
      <c r="Q32" s="29">
        <v>1</v>
      </c>
      <c r="R32" s="29">
        <v>1</v>
      </c>
      <c r="S32" s="29">
        <v>1</v>
      </c>
      <c r="T32" s="29">
        <v>1</v>
      </c>
      <c r="U32" s="29">
        <v>1</v>
      </c>
      <c r="V32" s="29">
        <v>1</v>
      </c>
      <c r="W32" s="29">
        <v>1</v>
      </c>
      <c r="X32" s="29">
        <v>1</v>
      </c>
      <c r="Y32" s="29">
        <v>1</v>
      </c>
      <c r="Z32" s="29">
        <v>1</v>
      </c>
      <c r="AA32" s="29">
        <v>1</v>
      </c>
      <c r="AB32" s="29">
        <v>1</v>
      </c>
      <c r="AC32" s="29">
        <v>1</v>
      </c>
      <c r="AD32" s="29">
        <v>1</v>
      </c>
      <c r="AE32" s="29">
        <v>1</v>
      </c>
      <c r="AF32" s="29">
        <v>1</v>
      </c>
      <c r="AG32" s="29">
        <v>1</v>
      </c>
      <c r="AH32" s="29">
        <v>1</v>
      </c>
      <c r="AI32" s="29">
        <v>1</v>
      </c>
      <c r="AJ32" s="29">
        <v>1</v>
      </c>
      <c r="AK32" s="29">
        <v>1</v>
      </c>
      <c r="AL32" s="29">
        <v>1</v>
      </c>
      <c r="AM32" s="29">
        <v>1</v>
      </c>
      <c r="AN32" s="29">
        <v>1</v>
      </c>
      <c r="AO32" s="29">
        <v>1</v>
      </c>
      <c r="AP32" s="29">
        <v>1</v>
      </c>
      <c r="AQ32" s="29">
        <v>1</v>
      </c>
      <c r="AR32" s="29">
        <v>1</v>
      </c>
      <c r="AS32" s="29">
        <v>1</v>
      </c>
      <c r="AT32" s="29">
        <v>1</v>
      </c>
      <c r="AU32" s="29">
        <v>1</v>
      </c>
      <c r="AV32" s="29">
        <v>1</v>
      </c>
      <c r="AW32" s="29">
        <v>1</v>
      </c>
      <c r="AX32" s="29">
        <v>1</v>
      </c>
      <c r="AY32" s="29">
        <v>1</v>
      </c>
      <c r="AZ32" s="29">
        <v>1</v>
      </c>
      <c r="BA32" s="29">
        <v>1</v>
      </c>
      <c r="BB32" s="29">
        <v>1</v>
      </c>
      <c r="BC32" s="29">
        <v>1</v>
      </c>
      <c r="BD32" s="29">
        <v>1</v>
      </c>
      <c r="BE32" s="29">
        <v>1</v>
      </c>
      <c r="BF32" s="29">
        <v>1</v>
      </c>
      <c r="BG32" s="29">
        <v>1</v>
      </c>
      <c r="BH32" s="29">
        <v>1</v>
      </c>
      <c r="BI32" s="29">
        <v>1</v>
      </c>
      <c r="BJ32" s="29">
        <v>1</v>
      </c>
      <c r="BK32" s="29">
        <v>1</v>
      </c>
      <c r="BL32" s="29">
        <v>1</v>
      </c>
      <c r="BM32" s="29">
        <v>1</v>
      </c>
      <c r="BN32" s="29">
        <v>1</v>
      </c>
      <c r="BO32" s="29">
        <v>1</v>
      </c>
      <c r="BP32" s="29">
        <v>1</v>
      </c>
      <c r="BQ32" s="29">
        <v>1</v>
      </c>
      <c r="BR32" s="29">
        <v>1</v>
      </c>
      <c r="BS32" s="29">
        <v>1</v>
      </c>
      <c r="BT32" s="29">
        <v>1</v>
      </c>
      <c r="BU32" s="29">
        <v>1</v>
      </c>
      <c r="BV32" s="29">
        <v>1</v>
      </c>
      <c r="BW32" s="29">
        <v>1</v>
      </c>
      <c r="BX32" s="29">
        <v>1</v>
      </c>
      <c r="BY32" s="29">
        <v>1</v>
      </c>
      <c r="BZ32" s="29">
        <v>1</v>
      </c>
      <c r="CA32" s="29">
        <v>1</v>
      </c>
      <c r="CB32" s="29">
        <v>1</v>
      </c>
      <c r="CC32" s="29">
        <v>1</v>
      </c>
      <c r="CD32" s="29">
        <v>1</v>
      </c>
      <c r="CE32" s="29">
        <v>1</v>
      </c>
      <c r="CF32" s="29">
        <v>1</v>
      </c>
      <c r="CG32" s="29">
        <v>1</v>
      </c>
      <c r="CH32" s="29">
        <v>1</v>
      </c>
      <c r="CI32" s="29">
        <v>1</v>
      </c>
      <c r="CJ32" s="29">
        <v>1</v>
      </c>
      <c r="CK32" s="29">
        <v>1</v>
      </c>
      <c r="CL32" s="29">
        <v>1</v>
      </c>
      <c r="CM32" s="29">
        <v>1</v>
      </c>
      <c r="CN32" s="29">
        <v>1</v>
      </c>
      <c r="CO32" s="29">
        <v>1</v>
      </c>
      <c r="CP32" s="29">
        <v>1</v>
      </c>
      <c r="CQ32" s="29">
        <v>1</v>
      </c>
      <c r="CR32" s="29">
        <v>1</v>
      </c>
      <c r="CS32" s="29">
        <v>1</v>
      </c>
      <c r="CT32" s="29">
        <v>1</v>
      </c>
      <c r="CU32" s="29">
        <v>1</v>
      </c>
      <c r="CV32" s="29">
        <v>1</v>
      </c>
      <c r="CW32" s="29">
        <v>1</v>
      </c>
      <c r="CX32" s="29">
        <v>1</v>
      </c>
      <c r="CY32" s="29">
        <v>1</v>
      </c>
      <c r="CZ32" s="29">
        <v>1</v>
      </c>
      <c r="DA32" s="29">
        <v>1</v>
      </c>
      <c r="DB32" s="29">
        <v>1</v>
      </c>
      <c r="DC32" s="29">
        <v>1</v>
      </c>
      <c r="DD32" s="29">
        <v>1</v>
      </c>
      <c r="DE32" s="29">
        <v>1</v>
      </c>
      <c r="DF32" s="29">
        <v>1</v>
      </c>
      <c r="DG32" s="29">
        <v>1</v>
      </c>
      <c r="DH32" s="29">
        <v>1</v>
      </c>
      <c r="DI32" s="29">
        <v>1</v>
      </c>
      <c r="DJ32" s="29">
        <v>1</v>
      </c>
      <c r="DK32" s="29">
        <v>1</v>
      </c>
      <c r="DL32" s="29">
        <v>1</v>
      </c>
      <c r="DM32" s="29">
        <v>1</v>
      </c>
      <c r="DN32" s="29">
        <v>1</v>
      </c>
      <c r="DO32" s="29">
        <v>1</v>
      </c>
      <c r="DP32" s="29">
        <v>1</v>
      </c>
      <c r="DQ32" s="29">
        <v>1</v>
      </c>
      <c r="DR32" s="29">
        <v>1</v>
      </c>
      <c r="DS32" s="29">
        <v>1</v>
      </c>
      <c r="DT32" s="29">
        <v>1</v>
      </c>
      <c r="DU32" s="29">
        <v>1</v>
      </c>
      <c r="DV32" s="29">
        <v>1</v>
      </c>
      <c r="DW32" s="29">
        <v>1</v>
      </c>
      <c r="DX32" s="29">
        <v>1</v>
      </c>
      <c r="DY32" s="29">
        <v>1</v>
      </c>
      <c r="DZ32" s="29">
        <v>1</v>
      </c>
      <c r="EA32" s="29">
        <v>1</v>
      </c>
      <c r="EB32" s="29">
        <v>1</v>
      </c>
      <c r="EC32" s="29">
        <v>1</v>
      </c>
      <c r="ED32" s="29">
        <v>1</v>
      </c>
      <c r="EE32" s="29">
        <v>1</v>
      </c>
      <c r="EF32" s="29">
        <v>1</v>
      </c>
      <c r="EG32" s="29">
        <v>1</v>
      </c>
      <c r="EH32" s="29">
        <v>1</v>
      </c>
      <c r="EI32" s="29">
        <v>1</v>
      </c>
      <c r="EJ32" s="29">
        <v>1</v>
      </c>
      <c r="EK32" s="29">
        <v>1</v>
      </c>
      <c r="EL32" s="29">
        <v>1</v>
      </c>
      <c r="EM32" s="29">
        <v>1</v>
      </c>
      <c r="EN32" s="29">
        <v>1</v>
      </c>
      <c r="EO32" s="29">
        <v>1</v>
      </c>
      <c r="EP32" s="29">
        <v>1</v>
      </c>
      <c r="EQ32" s="29">
        <v>1</v>
      </c>
      <c r="ER32" s="29">
        <v>1</v>
      </c>
      <c r="ES32" s="29">
        <v>1</v>
      </c>
      <c r="ET32" s="29">
        <v>1</v>
      </c>
      <c r="EU32" s="29">
        <v>1</v>
      </c>
      <c r="EV32" s="29">
        <v>1</v>
      </c>
      <c r="EW32" s="29">
        <v>1</v>
      </c>
      <c r="EX32" s="29">
        <v>1</v>
      </c>
      <c r="EY32" s="29">
        <v>1</v>
      </c>
      <c r="EZ32" s="29">
        <v>1</v>
      </c>
      <c r="FA32" s="29">
        <v>1</v>
      </c>
      <c r="FB32" s="29">
        <v>1</v>
      </c>
      <c r="FC32" s="29">
        <v>1</v>
      </c>
      <c r="FD32" s="29">
        <v>1</v>
      </c>
      <c r="FE32" s="29">
        <v>1</v>
      </c>
      <c r="FF32" s="29">
        <v>1</v>
      </c>
      <c r="FG32" s="29">
        <v>1</v>
      </c>
      <c r="FH32" s="29">
        <v>1</v>
      </c>
      <c r="FI32" s="29">
        <v>1</v>
      </c>
      <c r="FJ32" s="29">
        <v>1</v>
      </c>
      <c r="FK32" s="29">
        <v>1</v>
      </c>
      <c r="FL32" s="29">
        <v>1</v>
      </c>
      <c r="FM32" s="29">
        <v>1</v>
      </c>
      <c r="FN32" s="29">
        <v>1</v>
      </c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/>
      <c r="GE32" s="29"/>
      <c r="GF32" s="29"/>
      <c r="GG32" s="29"/>
      <c r="GH32" s="29"/>
      <c r="GI32" s="29"/>
      <c r="GJ32" s="29"/>
      <c r="GK32" s="29"/>
      <c r="GL32" s="29"/>
      <c r="GM32" s="29"/>
      <c r="GN32" s="29"/>
      <c r="GO32" s="29"/>
      <c r="GP32" s="29"/>
      <c r="GQ32" s="29"/>
      <c r="GR32" s="29"/>
      <c r="GS32" s="29"/>
      <c r="GT32" s="29"/>
      <c r="GU32" s="29"/>
      <c r="GV32" s="29"/>
      <c r="GW32" s="29"/>
      <c r="GX32" s="29"/>
      <c r="GY32" s="29"/>
      <c r="GZ32" s="29"/>
      <c r="HA32" s="29"/>
      <c r="HB32" s="29"/>
      <c r="HC32" s="29"/>
      <c r="HD32" s="29"/>
      <c r="HE32" s="29"/>
      <c r="HF32" s="29"/>
      <c r="HG32" s="29"/>
      <c r="HH32" s="29"/>
      <c r="HI32" s="29"/>
      <c r="HJ32" s="29"/>
      <c r="HK32" s="29"/>
      <c r="HL32" s="2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345" t="s">
        <v>398</v>
      </c>
      <c r="HY32" s="399" t="s">
        <v>422</v>
      </c>
      <c r="HZ32" s="400" t="s">
        <v>443</v>
      </c>
      <c r="IA32" s="29">
        <v>7</v>
      </c>
      <c r="IB32" s="29"/>
    </row>
    <row r="33" spans="1:236">
      <c r="A33" s="286">
        <v>45981</v>
      </c>
      <c r="B33" s="29" t="s">
        <v>515</v>
      </c>
      <c r="C33" s="284" t="s">
        <v>541</v>
      </c>
      <c r="D33" s="413" t="s">
        <v>274</v>
      </c>
      <c r="E33" s="469" t="s">
        <v>688</v>
      </c>
      <c r="F33" s="29" t="s">
        <v>398</v>
      </c>
      <c r="G33" s="224">
        <v>1</v>
      </c>
      <c r="H33" s="29">
        <v>0</v>
      </c>
      <c r="I33" s="470" t="s">
        <v>696</v>
      </c>
      <c r="J33" s="473" t="b">
        <v>0</v>
      </c>
      <c r="K33" s="224">
        <f t="shared" si="1"/>
        <v>146</v>
      </c>
      <c r="L33" s="29">
        <v>1</v>
      </c>
      <c r="M33" s="29">
        <v>1</v>
      </c>
      <c r="N33" s="29">
        <v>1</v>
      </c>
      <c r="O33" s="29">
        <v>1</v>
      </c>
      <c r="P33" s="29">
        <v>1</v>
      </c>
      <c r="Q33" s="29">
        <v>1</v>
      </c>
      <c r="R33" s="29">
        <v>1</v>
      </c>
      <c r="S33" s="29">
        <v>1</v>
      </c>
      <c r="T33" s="29">
        <v>1</v>
      </c>
      <c r="U33" s="29">
        <v>1</v>
      </c>
      <c r="V33" s="29">
        <v>1</v>
      </c>
      <c r="W33" s="29">
        <v>1</v>
      </c>
      <c r="X33" s="29">
        <v>1</v>
      </c>
      <c r="Y33" s="29">
        <v>1</v>
      </c>
      <c r="Z33" s="29">
        <v>1</v>
      </c>
      <c r="AA33" s="29">
        <v>1</v>
      </c>
      <c r="AB33" s="29">
        <v>1</v>
      </c>
      <c r="AC33" s="29">
        <v>1</v>
      </c>
      <c r="AD33" s="29">
        <v>1</v>
      </c>
      <c r="AE33" s="29">
        <v>1</v>
      </c>
      <c r="AF33" s="29">
        <v>1</v>
      </c>
      <c r="AG33" s="29">
        <v>1</v>
      </c>
      <c r="AH33" s="29">
        <v>1</v>
      </c>
      <c r="AI33" s="29">
        <v>1</v>
      </c>
      <c r="AJ33" s="29">
        <v>1</v>
      </c>
      <c r="AK33" s="29">
        <v>1</v>
      </c>
      <c r="AL33" s="29">
        <v>1</v>
      </c>
      <c r="AM33" s="29">
        <v>1</v>
      </c>
      <c r="AN33" s="29">
        <v>1</v>
      </c>
      <c r="AO33" s="29">
        <v>1</v>
      </c>
      <c r="AP33" s="29">
        <v>1</v>
      </c>
      <c r="AQ33" s="29">
        <v>1</v>
      </c>
      <c r="AR33" s="29">
        <v>1</v>
      </c>
      <c r="AS33" s="29">
        <v>1</v>
      </c>
      <c r="AT33" s="29">
        <v>1</v>
      </c>
      <c r="AU33" s="29">
        <v>1</v>
      </c>
      <c r="AV33" s="29">
        <v>1</v>
      </c>
      <c r="AW33" s="29">
        <v>1</v>
      </c>
      <c r="AX33" s="29">
        <v>1</v>
      </c>
      <c r="AY33" s="29">
        <v>1</v>
      </c>
      <c r="AZ33" s="29">
        <v>1</v>
      </c>
      <c r="BA33" s="29">
        <v>1</v>
      </c>
      <c r="BB33" s="29">
        <v>1</v>
      </c>
      <c r="BC33" s="29">
        <v>1</v>
      </c>
      <c r="BD33" s="29">
        <v>1</v>
      </c>
      <c r="BE33" s="29">
        <v>1</v>
      </c>
      <c r="BF33" s="29">
        <v>1</v>
      </c>
      <c r="BG33" s="29">
        <v>1</v>
      </c>
      <c r="BH33" s="29">
        <v>1</v>
      </c>
      <c r="BI33" s="29">
        <v>1</v>
      </c>
      <c r="BJ33" s="29">
        <v>1</v>
      </c>
      <c r="BK33" s="29">
        <v>1</v>
      </c>
      <c r="BL33" s="29">
        <v>1</v>
      </c>
      <c r="BM33" s="29">
        <v>1</v>
      </c>
      <c r="BN33" s="29">
        <v>1</v>
      </c>
      <c r="BO33" s="29">
        <v>1</v>
      </c>
      <c r="BP33" s="29">
        <v>1</v>
      </c>
      <c r="BQ33" s="29">
        <v>1</v>
      </c>
      <c r="BR33" s="29">
        <v>1</v>
      </c>
      <c r="BS33" s="29">
        <v>1</v>
      </c>
      <c r="BT33" s="29">
        <v>1</v>
      </c>
      <c r="BU33" s="29">
        <v>1</v>
      </c>
      <c r="BV33" s="29">
        <v>1</v>
      </c>
      <c r="BW33" s="29">
        <v>1</v>
      </c>
      <c r="BX33" s="29">
        <v>1</v>
      </c>
      <c r="BY33" s="29">
        <v>1</v>
      </c>
      <c r="BZ33" s="29">
        <v>1</v>
      </c>
      <c r="CA33" s="29">
        <v>1</v>
      </c>
      <c r="CB33" s="29">
        <v>1</v>
      </c>
      <c r="CC33" s="29">
        <v>1</v>
      </c>
      <c r="CD33" s="29">
        <v>1</v>
      </c>
      <c r="CE33" s="29">
        <v>1</v>
      </c>
      <c r="CF33" s="29">
        <v>1</v>
      </c>
      <c r="CG33" s="29">
        <v>1</v>
      </c>
      <c r="CH33" s="29">
        <v>1</v>
      </c>
      <c r="CI33" s="29">
        <v>1</v>
      </c>
      <c r="CJ33" s="29">
        <v>1</v>
      </c>
      <c r="CK33" s="29">
        <v>1</v>
      </c>
      <c r="CL33" s="29">
        <v>1</v>
      </c>
      <c r="CM33" s="29">
        <v>1</v>
      </c>
      <c r="CN33" s="29">
        <v>1</v>
      </c>
      <c r="CO33" s="29">
        <v>1</v>
      </c>
      <c r="CP33" s="29">
        <v>1</v>
      </c>
      <c r="CQ33" s="29">
        <v>1</v>
      </c>
      <c r="CR33" s="29">
        <v>1</v>
      </c>
      <c r="CS33" s="29">
        <v>1</v>
      </c>
      <c r="CT33" s="29">
        <v>1</v>
      </c>
      <c r="CU33" s="29">
        <v>1</v>
      </c>
      <c r="CV33" s="29">
        <v>1</v>
      </c>
      <c r="CW33" s="29">
        <v>1</v>
      </c>
      <c r="CX33" s="29">
        <v>1</v>
      </c>
      <c r="CY33" s="29">
        <v>1</v>
      </c>
      <c r="CZ33" s="29">
        <v>1</v>
      </c>
      <c r="DA33" s="29">
        <v>1</v>
      </c>
      <c r="DB33" s="29">
        <v>1</v>
      </c>
      <c r="DC33" s="29">
        <v>1</v>
      </c>
      <c r="DD33" s="29">
        <v>1</v>
      </c>
      <c r="DE33" s="29">
        <v>1</v>
      </c>
      <c r="DF33" s="29">
        <v>1</v>
      </c>
      <c r="DG33" s="29">
        <v>1</v>
      </c>
      <c r="DH33" s="29">
        <v>1</v>
      </c>
      <c r="DI33" s="29">
        <v>1</v>
      </c>
      <c r="DJ33" s="29">
        <v>1</v>
      </c>
      <c r="DK33" s="29">
        <v>1</v>
      </c>
      <c r="DL33" s="29">
        <v>1</v>
      </c>
      <c r="DM33" s="29">
        <v>1</v>
      </c>
      <c r="DN33" s="29">
        <v>1</v>
      </c>
      <c r="DO33" s="29">
        <v>1</v>
      </c>
      <c r="DP33" s="29">
        <v>1</v>
      </c>
      <c r="DQ33" s="29">
        <v>1</v>
      </c>
      <c r="DR33" s="29">
        <v>1</v>
      </c>
      <c r="DS33" s="29">
        <v>1</v>
      </c>
      <c r="DT33" s="29">
        <v>1</v>
      </c>
      <c r="DU33" s="29">
        <v>1</v>
      </c>
      <c r="DV33" s="29">
        <v>1</v>
      </c>
      <c r="DW33" s="29">
        <v>1</v>
      </c>
      <c r="DX33" s="29">
        <v>1</v>
      </c>
      <c r="DY33" s="29">
        <v>1</v>
      </c>
      <c r="DZ33" s="29">
        <v>1</v>
      </c>
      <c r="EA33" s="29">
        <v>1</v>
      </c>
      <c r="EB33" s="29">
        <v>1</v>
      </c>
      <c r="EC33" s="29">
        <v>1</v>
      </c>
      <c r="ED33" s="29">
        <v>1</v>
      </c>
      <c r="EE33" s="29">
        <v>1</v>
      </c>
      <c r="EF33" s="29">
        <v>1</v>
      </c>
      <c r="EG33" s="29">
        <v>1</v>
      </c>
      <c r="EH33" s="29">
        <v>1</v>
      </c>
      <c r="EI33" s="29">
        <v>1</v>
      </c>
      <c r="EJ33" s="29">
        <v>1</v>
      </c>
      <c r="EK33" s="29">
        <v>1</v>
      </c>
      <c r="EL33" s="29">
        <v>1</v>
      </c>
      <c r="EM33" s="29">
        <v>1</v>
      </c>
      <c r="EN33" s="29">
        <v>1</v>
      </c>
      <c r="EO33" s="29">
        <v>1</v>
      </c>
      <c r="EP33" s="29">
        <v>1</v>
      </c>
      <c r="EQ33" s="29">
        <v>1</v>
      </c>
      <c r="ER33" s="29">
        <v>1</v>
      </c>
      <c r="ES33" s="29">
        <v>1</v>
      </c>
      <c r="ET33" s="29">
        <v>1</v>
      </c>
      <c r="EU33" s="29">
        <v>1</v>
      </c>
      <c r="EV33" s="29">
        <v>1</v>
      </c>
      <c r="EW33" s="29">
        <v>1</v>
      </c>
      <c r="EX33" s="29">
        <v>1</v>
      </c>
      <c r="EY33" s="29">
        <v>1</v>
      </c>
      <c r="EZ33" s="29">
        <v>1</v>
      </c>
      <c r="FA33" s="29">
        <v>1</v>
      </c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9"/>
      <c r="GZ33" s="29"/>
      <c r="HA33" s="29"/>
      <c r="HB33" s="29"/>
      <c r="HC33" s="29"/>
      <c r="HD33" s="29"/>
      <c r="HE33" s="29"/>
      <c r="HF33" s="29"/>
      <c r="HG33" s="29"/>
      <c r="HH33" s="29"/>
      <c r="HI33" s="29"/>
      <c r="HJ33" s="29"/>
      <c r="HK33" s="29"/>
      <c r="HL33" s="2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345"/>
      <c r="HY33" s="399"/>
      <c r="HZ33" s="400"/>
      <c r="IA33" s="29"/>
      <c r="IB33" s="29"/>
    </row>
    <row r="34" spans="1:236" ht="15" customHeight="1">
      <c r="A34" s="286">
        <v>45986</v>
      </c>
      <c r="B34" s="462" t="s">
        <v>547</v>
      </c>
      <c r="C34" s="284" t="s">
        <v>544</v>
      </c>
      <c r="D34" s="413" t="s">
        <v>274</v>
      </c>
      <c r="E34" s="469" t="s">
        <v>689</v>
      </c>
      <c r="F34" s="29" t="s">
        <v>398</v>
      </c>
      <c r="G34" s="29">
        <v>0</v>
      </c>
      <c r="H34" s="29">
        <v>1</v>
      </c>
      <c r="I34" s="470" t="s">
        <v>696</v>
      </c>
      <c r="J34" s="473" t="b">
        <v>0</v>
      </c>
      <c r="K34" s="464">
        <f t="shared" si="1"/>
        <v>141</v>
      </c>
      <c r="L34" s="29">
        <v>1</v>
      </c>
      <c r="M34" s="29">
        <v>1</v>
      </c>
      <c r="N34" s="29">
        <v>1</v>
      </c>
      <c r="O34" s="29">
        <v>1</v>
      </c>
      <c r="P34" s="29">
        <v>1</v>
      </c>
      <c r="Q34" s="29">
        <v>1</v>
      </c>
      <c r="R34" s="29">
        <v>1</v>
      </c>
      <c r="S34" s="29">
        <v>1</v>
      </c>
      <c r="T34" s="29">
        <v>1</v>
      </c>
      <c r="U34" s="29">
        <v>1</v>
      </c>
      <c r="V34" s="29">
        <v>1</v>
      </c>
      <c r="W34" s="29">
        <v>1</v>
      </c>
      <c r="X34" s="29">
        <v>1</v>
      </c>
      <c r="Y34" s="29">
        <v>1</v>
      </c>
      <c r="Z34" s="29">
        <v>1</v>
      </c>
      <c r="AA34" s="29">
        <v>1</v>
      </c>
      <c r="AB34" s="29">
        <v>1</v>
      </c>
      <c r="AC34" s="29">
        <v>1</v>
      </c>
      <c r="AD34" s="29">
        <v>1</v>
      </c>
      <c r="AE34" s="29">
        <v>1</v>
      </c>
      <c r="AF34" s="29">
        <v>1</v>
      </c>
      <c r="AG34" s="29">
        <v>1</v>
      </c>
      <c r="AH34" s="29">
        <v>1</v>
      </c>
      <c r="AI34" s="29">
        <v>1</v>
      </c>
      <c r="AJ34" s="29">
        <v>1</v>
      </c>
      <c r="AK34" s="29">
        <v>1</v>
      </c>
      <c r="AL34" s="29">
        <v>1</v>
      </c>
      <c r="AM34" s="29">
        <v>1</v>
      </c>
      <c r="AN34" s="29">
        <v>1</v>
      </c>
      <c r="AO34" s="29">
        <v>1</v>
      </c>
      <c r="AP34" s="29">
        <v>1</v>
      </c>
      <c r="AQ34" s="29">
        <v>1</v>
      </c>
      <c r="AR34" s="29">
        <v>1</v>
      </c>
      <c r="AS34" s="29">
        <v>1</v>
      </c>
      <c r="AT34" s="29">
        <v>1</v>
      </c>
      <c r="AU34" s="29">
        <v>1</v>
      </c>
      <c r="AV34" s="29">
        <v>1</v>
      </c>
      <c r="AW34" s="29">
        <v>1</v>
      </c>
      <c r="AX34" s="29">
        <v>1</v>
      </c>
      <c r="AY34" s="29">
        <v>1</v>
      </c>
      <c r="AZ34" s="29">
        <v>1</v>
      </c>
      <c r="BA34" s="29">
        <v>1</v>
      </c>
      <c r="BB34" s="29">
        <v>1</v>
      </c>
      <c r="BC34" s="29">
        <v>1</v>
      </c>
      <c r="BD34" s="29">
        <v>1</v>
      </c>
      <c r="BE34" s="29">
        <v>1</v>
      </c>
      <c r="BF34" s="29">
        <v>1</v>
      </c>
      <c r="BG34" s="29">
        <v>1</v>
      </c>
      <c r="BH34" s="29">
        <v>1</v>
      </c>
      <c r="BI34" s="29">
        <v>1</v>
      </c>
      <c r="BJ34" s="29">
        <v>1</v>
      </c>
      <c r="BK34" s="29">
        <v>1</v>
      </c>
      <c r="BL34" s="29">
        <v>1</v>
      </c>
      <c r="BM34" s="29">
        <v>1</v>
      </c>
      <c r="BN34" s="29">
        <v>1</v>
      </c>
      <c r="BO34" s="29">
        <v>1</v>
      </c>
      <c r="BP34" s="29">
        <v>1</v>
      </c>
      <c r="BQ34" s="29">
        <v>1</v>
      </c>
      <c r="BR34" s="29">
        <v>1</v>
      </c>
      <c r="BS34" s="29">
        <v>1</v>
      </c>
      <c r="BT34" s="29">
        <v>1</v>
      </c>
      <c r="BU34" s="29">
        <v>1</v>
      </c>
      <c r="BV34" s="29">
        <v>1</v>
      </c>
      <c r="BW34" s="29">
        <v>1</v>
      </c>
      <c r="BX34" s="29">
        <v>1</v>
      </c>
      <c r="BY34" s="29">
        <v>1</v>
      </c>
      <c r="BZ34" s="29">
        <v>1</v>
      </c>
      <c r="CA34" s="29">
        <v>1</v>
      </c>
      <c r="CB34" s="29">
        <v>1</v>
      </c>
      <c r="CC34" s="29">
        <v>1</v>
      </c>
      <c r="CD34" s="29">
        <v>1</v>
      </c>
      <c r="CE34" s="29">
        <v>1</v>
      </c>
      <c r="CF34" s="29">
        <v>1</v>
      </c>
      <c r="CG34" s="29">
        <v>1</v>
      </c>
      <c r="CH34" s="29">
        <v>1</v>
      </c>
      <c r="CI34" s="29">
        <v>1</v>
      </c>
      <c r="CJ34" s="29">
        <v>1</v>
      </c>
      <c r="CK34" s="29">
        <v>1</v>
      </c>
      <c r="CL34" s="29">
        <v>1</v>
      </c>
      <c r="CM34" s="29">
        <v>1</v>
      </c>
      <c r="CN34" s="29">
        <v>1</v>
      </c>
      <c r="CO34" s="29">
        <v>1</v>
      </c>
      <c r="CP34" s="29">
        <v>1</v>
      </c>
      <c r="CQ34" s="29">
        <v>1</v>
      </c>
      <c r="CR34" s="29">
        <v>1</v>
      </c>
      <c r="CS34" s="29">
        <v>1</v>
      </c>
      <c r="CT34" s="29">
        <v>1</v>
      </c>
      <c r="CU34" s="29">
        <v>1</v>
      </c>
      <c r="CV34" s="29">
        <v>1</v>
      </c>
      <c r="CW34" s="29">
        <v>1</v>
      </c>
      <c r="CX34" s="29">
        <v>1</v>
      </c>
      <c r="CY34" s="29">
        <v>1</v>
      </c>
      <c r="CZ34" s="29">
        <v>1</v>
      </c>
      <c r="DA34" s="29">
        <v>1</v>
      </c>
      <c r="DB34" s="29">
        <v>1</v>
      </c>
      <c r="DC34" s="29">
        <v>1</v>
      </c>
      <c r="DD34" s="29">
        <v>1</v>
      </c>
      <c r="DE34" s="29">
        <v>1</v>
      </c>
      <c r="DF34" s="29">
        <v>1</v>
      </c>
      <c r="DG34" s="29">
        <v>1</v>
      </c>
      <c r="DH34" s="29">
        <v>1</v>
      </c>
      <c r="DI34" s="29">
        <v>1</v>
      </c>
      <c r="DJ34" s="29">
        <v>1</v>
      </c>
      <c r="DK34" s="29">
        <v>1</v>
      </c>
      <c r="DL34" s="29">
        <v>1</v>
      </c>
      <c r="DM34" s="29">
        <v>1</v>
      </c>
      <c r="DN34" s="29">
        <v>1</v>
      </c>
      <c r="DO34" s="29">
        <v>1</v>
      </c>
      <c r="DP34" s="29">
        <v>1</v>
      </c>
      <c r="DQ34" s="29">
        <v>1</v>
      </c>
      <c r="DR34" s="29">
        <v>1</v>
      </c>
      <c r="DS34" s="29">
        <v>1</v>
      </c>
      <c r="DT34" s="29">
        <v>1</v>
      </c>
      <c r="DU34" s="29">
        <v>1</v>
      </c>
      <c r="DV34" s="29">
        <v>1</v>
      </c>
      <c r="DW34" s="29">
        <v>1</v>
      </c>
      <c r="DX34" s="29">
        <v>1</v>
      </c>
      <c r="DY34" s="29">
        <v>1</v>
      </c>
      <c r="DZ34" s="29">
        <v>1</v>
      </c>
      <c r="EA34" s="29">
        <v>1</v>
      </c>
      <c r="EB34" s="29">
        <v>1</v>
      </c>
      <c r="EC34" s="29">
        <v>1</v>
      </c>
      <c r="ED34" s="29">
        <v>1</v>
      </c>
      <c r="EE34" s="29">
        <v>1</v>
      </c>
      <c r="EF34" s="29">
        <v>1</v>
      </c>
      <c r="EG34" s="29">
        <v>1</v>
      </c>
      <c r="EH34" s="29">
        <v>1</v>
      </c>
      <c r="EI34" s="29">
        <v>1</v>
      </c>
      <c r="EJ34" s="29">
        <v>1</v>
      </c>
      <c r="EK34" s="29">
        <v>1</v>
      </c>
      <c r="EL34" s="29">
        <v>1</v>
      </c>
      <c r="EM34" s="29">
        <v>1</v>
      </c>
      <c r="EN34" s="29">
        <v>1</v>
      </c>
      <c r="EO34" s="29">
        <v>1</v>
      </c>
      <c r="EP34" s="29">
        <v>1</v>
      </c>
      <c r="EQ34" s="29">
        <v>1</v>
      </c>
      <c r="ER34" s="29">
        <v>1</v>
      </c>
      <c r="ES34" s="29">
        <v>1</v>
      </c>
      <c r="ET34" s="29">
        <v>1</v>
      </c>
      <c r="EU34" s="29">
        <v>1</v>
      </c>
      <c r="EV34" s="29">
        <v>1</v>
      </c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/>
      <c r="GE34" s="29"/>
      <c r="GF34" s="29"/>
      <c r="GG34" s="29"/>
      <c r="GH34" s="29"/>
      <c r="GI34" s="29"/>
      <c r="GJ34" s="29"/>
      <c r="GK34" s="29"/>
      <c r="GL34" s="29"/>
      <c r="GM34" s="29"/>
      <c r="GN34" s="29"/>
      <c r="GO34" s="29"/>
      <c r="GP34" s="29"/>
      <c r="GQ34" s="29"/>
      <c r="GR34" s="29"/>
      <c r="GS34" s="29"/>
      <c r="GT34" s="29"/>
      <c r="GU34" s="29"/>
      <c r="GV34" s="29"/>
      <c r="GW34" s="29"/>
      <c r="GX34" s="29"/>
      <c r="GY34" s="29"/>
      <c r="GZ34" s="29"/>
      <c r="HA34" s="29"/>
      <c r="HB34" s="29"/>
      <c r="HC34" s="29"/>
      <c r="HD34" s="29"/>
      <c r="HE34" s="29"/>
      <c r="HF34" s="29"/>
      <c r="HG34" s="29"/>
      <c r="HH34" s="29"/>
      <c r="HI34" s="29"/>
      <c r="HJ34" s="29"/>
      <c r="HK34" s="29"/>
      <c r="HL34" s="2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463"/>
      <c r="HY34" s="463"/>
      <c r="HZ34" s="463"/>
      <c r="IA34" s="463"/>
      <c r="IB34" s="463"/>
    </row>
    <row r="35" spans="1:236" ht="15" customHeight="1">
      <c r="A35" s="37">
        <v>45986</v>
      </c>
      <c r="B35" s="462" t="s">
        <v>515</v>
      </c>
      <c r="C35" s="284" t="s">
        <v>544</v>
      </c>
      <c r="D35" s="413" t="s">
        <v>274</v>
      </c>
      <c r="E35" s="469" t="s">
        <v>690</v>
      </c>
      <c r="F35" s="29" t="s">
        <v>398</v>
      </c>
      <c r="G35" s="29">
        <v>1</v>
      </c>
      <c r="H35" s="29">
        <v>0</v>
      </c>
      <c r="I35" s="470" t="s">
        <v>696</v>
      </c>
      <c r="J35" s="473" t="b">
        <v>0</v>
      </c>
      <c r="K35" s="224">
        <f t="shared" si="1"/>
        <v>141</v>
      </c>
      <c r="L35" s="29">
        <v>1</v>
      </c>
      <c r="M35" s="29">
        <v>1</v>
      </c>
      <c r="N35" s="29">
        <v>1</v>
      </c>
      <c r="O35" s="29">
        <v>1</v>
      </c>
      <c r="P35" s="29">
        <v>1</v>
      </c>
      <c r="Q35" s="29">
        <v>1</v>
      </c>
      <c r="R35" s="29">
        <v>1</v>
      </c>
      <c r="S35" s="29">
        <v>1</v>
      </c>
      <c r="T35" s="29">
        <v>1</v>
      </c>
      <c r="U35" s="29">
        <v>1</v>
      </c>
      <c r="V35" s="29">
        <v>1</v>
      </c>
      <c r="W35" s="29">
        <v>1</v>
      </c>
      <c r="X35" s="29">
        <v>1</v>
      </c>
      <c r="Y35" s="29">
        <v>1</v>
      </c>
      <c r="Z35" s="29">
        <v>1</v>
      </c>
      <c r="AA35" s="29">
        <v>1</v>
      </c>
      <c r="AB35" s="29">
        <v>1</v>
      </c>
      <c r="AC35" s="29">
        <v>1</v>
      </c>
      <c r="AD35" s="29">
        <v>1</v>
      </c>
      <c r="AE35" s="29">
        <v>1</v>
      </c>
      <c r="AF35" s="29">
        <v>1</v>
      </c>
      <c r="AG35" s="29">
        <v>1</v>
      </c>
      <c r="AH35" s="29">
        <v>1</v>
      </c>
      <c r="AI35" s="29">
        <v>1</v>
      </c>
      <c r="AJ35" s="29">
        <v>1</v>
      </c>
      <c r="AK35" s="29">
        <v>1</v>
      </c>
      <c r="AL35" s="29">
        <v>1</v>
      </c>
      <c r="AM35" s="29">
        <v>1</v>
      </c>
      <c r="AN35" s="29">
        <v>1</v>
      </c>
      <c r="AO35" s="29">
        <v>1</v>
      </c>
      <c r="AP35" s="29">
        <v>1</v>
      </c>
      <c r="AQ35" s="29">
        <v>1</v>
      </c>
      <c r="AR35" s="29">
        <v>1</v>
      </c>
      <c r="AS35" s="29">
        <v>1</v>
      </c>
      <c r="AT35" s="29">
        <v>1</v>
      </c>
      <c r="AU35" s="29">
        <v>1</v>
      </c>
      <c r="AV35" s="29">
        <v>1</v>
      </c>
      <c r="AW35" s="29">
        <v>1</v>
      </c>
      <c r="AX35" s="29">
        <v>1</v>
      </c>
      <c r="AY35" s="29">
        <v>1</v>
      </c>
      <c r="AZ35" s="29">
        <v>1</v>
      </c>
      <c r="BA35" s="29">
        <v>1</v>
      </c>
      <c r="BB35" s="29">
        <v>1</v>
      </c>
      <c r="BC35" s="29">
        <v>1</v>
      </c>
      <c r="BD35" s="29">
        <v>1</v>
      </c>
      <c r="BE35" s="29">
        <v>1</v>
      </c>
      <c r="BF35" s="29">
        <v>1</v>
      </c>
      <c r="BG35" s="29">
        <v>1</v>
      </c>
      <c r="BH35" s="29">
        <v>1</v>
      </c>
      <c r="BI35" s="29">
        <v>1</v>
      </c>
      <c r="BJ35" s="29">
        <v>1</v>
      </c>
      <c r="BK35" s="29">
        <v>1</v>
      </c>
      <c r="BL35" s="29">
        <v>1</v>
      </c>
      <c r="BM35" s="29">
        <v>1</v>
      </c>
      <c r="BN35" s="29">
        <v>1</v>
      </c>
      <c r="BO35" s="29">
        <v>1</v>
      </c>
      <c r="BP35" s="29">
        <v>1</v>
      </c>
      <c r="BQ35" s="29">
        <v>1</v>
      </c>
      <c r="BR35" s="29">
        <v>1</v>
      </c>
      <c r="BS35" s="29">
        <v>1</v>
      </c>
      <c r="BT35" s="29">
        <v>1</v>
      </c>
      <c r="BU35" s="29">
        <v>1</v>
      </c>
      <c r="BV35" s="29">
        <v>1</v>
      </c>
      <c r="BW35" s="29">
        <v>1</v>
      </c>
      <c r="BX35" s="29">
        <v>1</v>
      </c>
      <c r="BY35" s="29">
        <v>1</v>
      </c>
      <c r="BZ35" s="29">
        <v>1</v>
      </c>
      <c r="CA35" s="29">
        <v>1</v>
      </c>
      <c r="CB35" s="29">
        <v>1</v>
      </c>
      <c r="CC35" s="29">
        <v>1</v>
      </c>
      <c r="CD35" s="29">
        <v>1</v>
      </c>
      <c r="CE35" s="29">
        <v>1</v>
      </c>
      <c r="CF35" s="29">
        <v>1</v>
      </c>
      <c r="CG35" s="29">
        <v>1</v>
      </c>
      <c r="CH35" s="29">
        <v>1</v>
      </c>
      <c r="CI35" s="29">
        <v>1</v>
      </c>
      <c r="CJ35" s="29">
        <v>1</v>
      </c>
      <c r="CK35" s="29">
        <v>1</v>
      </c>
      <c r="CL35" s="29">
        <v>1</v>
      </c>
      <c r="CM35" s="29">
        <v>1</v>
      </c>
      <c r="CN35" s="29">
        <v>1</v>
      </c>
      <c r="CO35" s="29">
        <v>1</v>
      </c>
      <c r="CP35" s="29">
        <v>1</v>
      </c>
      <c r="CQ35" s="29">
        <v>1</v>
      </c>
      <c r="CR35" s="29">
        <v>1</v>
      </c>
      <c r="CS35" s="29">
        <v>1</v>
      </c>
      <c r="CT35" s="29">
        <v>1</v>
      </c>
      <c r="CU35" s="29">
        <v>1</v>
      </c>
      <c r="CV35" s="29">
        <v>1</v>
      </c>
      <c r="CW35" s="29">
        <v>1</v>
      </c>
      <c r="CX35" s="29">
        <v>1</v>
      </c>
      <c r="CY35" s="29">
        <v>1</v>
      </c>
      <c r="CZ35" s="29">
        <v>1</v>
      </c>
      <c r="DA35" s="29">
        <v>1</v>
      </c>
      <c r="DB35" s="29">
        <v>1</v>
      </c>
      <c r="DC35" s="29">
        <v>1</v>
      </c>
      <c r="DD35" s="29">
        <v>1</v>
      </c>
      <c r="DE35" s="29">
        <v>1</v>
      </c>
      <c r="DF35" s="29">
        <v>1</v>
      </c>
      <c r="DG35" s="29">
        <v>1</v>
      </c>
      <c r="DH35" s="29">
        <v>1</v>
      </c>
      <c r="DI35" s="29">
        <v>1</v>
      </c>
      <c r="DJ35" s="29">
        <v>1</v>
      </c>
      <c r="DK35" s="29">
        <v>1</v>
      </c>
      <c r="DL35" s="29">
        <v>1</v>
      </c>
      <c r="DM35" s="29">
        <v>1</v>
      </c>
      <c r="DN35" s="29">
        <v>1</v>
      </c>
      <c r="DO35" s="29">
        <v>1</v>
      </c>
      <c r="DP35" s="29">
        <v>1</v>
      </c>
      <c r="DQ35" s="29">
        <v>1</v>
      </c>
      <c r="DR35" s="29">
        <v>1</v>
      </c>
      <c r="DS35" s="29">
        <v>1</v>
      </c>
      <c r="DT35" s="29">
        <v>1</v>
      </c>
      <c r="DU35" s="29">
        <v>1</v>
      </c>
      <c r="DV35" s="29">
        <v>1</v>
      </c>
      <c r="DW35" s="29">
        <v>1</v>
      </c>
      <c r="DX35" s="29">
        <v>1</v>
      </c>
      <c r="DY35" s="29">
        <v>1</v>
      </c>
      <c r="DZ35" s="29">
        <v>1</v>
      </c>
      <c r="EA35" s="29">
        <v>1</v>
      </c>
      <c r="EB35" s="29">
        <v>1</v>
      </c>
      <c r="EC35" s="29">
        <v>1</v>
      </c>
      <c r="ED35" s="29">
        <v>1</v>
      </c>
      <c r="EE35" s="29">
        <v>1</v>
      </c>
      <c r="EF35" s="29">
        <v>1</v>
      </c>
      <c r="EG35" s="29">
        <v>1</v>
      </c>
      <c r="EH35" s="29">
        <v>1</v>
      </c>
      <c r="EI35" s="29">
        <v>1</v>
      </c>
      <c r="EJ35" s="29">
        <v>1</v>
      </c>
      <c r="EK35" s="29">
        <v>1</v>
      </c>
      <c r="EL35" s="29">
        <v>1</v>
      </c>
      <c r="EM35" s="29">
        <v>1</v>
      </c>
      <c r="EN35" s="29">
        <v>1</v>
      </c>
      <c r="EO35" s="29">
        <v>1</v>
      </c>
      <c r="EP35" s="29">
        <v>1</v>
      </c>
      <c r="EQ35" s="29">
        <v>1</v>
      </c>
      <c r="ER35" s="29">
        <v>1</v>
      </c>
      <c r="ES35" s="29">
        <v>1</v>
      </c>
      <c r="ET35" s="29">
        <v>1</v>
      </c>
      <c r="EU35" s="29">
        <v>1</v>
      </c>
      <c r="EV35" s="29">
        <v>1</v>
      </c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/>
      <c r="GE35" s="29"/>
      <c r="GF35" s="29"/>
      <c r="GG35" s="29"/>
      <c r="GH35" s="29"/>
      <c r="GI35" s="29"/>
      <c r="GJ35" s="29"/>
      <c r="GK35" s="29"/>
      <c r="GL35" s="29"/>
      <c r="GM35" s="29"/>
      <c r="GN35" s="29"/>
      <c r="GO35" s="29"/>
      <c r="GP35" s="29"/>
      <c r="GQ35" s="29"/>
      <c r="GR35" s="29"/>
      <c r="GS35" s="29"/>
      <c r="GT35" s="29"/>
      <c r="GU35" s="29"/>
      <c r="GV35" s="29"/>
      <c r="GW35" s="29"/>
      <c r="GX35" s="29"/>
      <c r="GY35" s="29"/>
      <c r="GZ35" s="29"/>
      <c r="HA35" s="29"/>
      <c r="HB35" s="29"/>
      <c r="HC35" s="29"/>
      <c r="HD35" s="29"/>
      <c r="HE35" s="29"/>
      <c r="HF35" s="29"/>
      <c r="HG35" s="29"/>
      <c r="HH35" s="29"/>
      <c r="HI35" s="29"/>
      <c r="HJ35" s="29"/>
      <c r="HK35" s="29"/>
      <c r="HL35" s="2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463"/>
      <c r="HY35" s="463"/>
      <c r="HZ35" s="463"/>
      <c r="IA35" s="463"/>
      <c r="IB35" s="463"/>
    </row>
    <row r="36" spans="1:236" s="552" customFormat="1" ht="15" customHeight="1">
      <c r="A36" s="543">
        <v>45986</v>
      </c>
      <c r="B36" s="544" t="s">
        <v>515</v>
      </c>
      <c r="C36" s="545" t="s">
        <v>544</v>
      </c>
      <c r="D36" s="546" t="s">
        <v>274</v>
      </c>
      <c r="E36" s="547" t="s">
        <v>886</v>
      </c>
      <c r="F36" s="405" t="s">
        <v>512</v>
      </c>
      <c r="G36" s="405">
        <v>0</v>
      </c>
      <c r="H36" s="405">
        <v>1</v>
      </c>
      <c r="I36" s="548"/>
      <c r="J36" s="549"/>
      <c r="K36" s="550">
        <v>4</v>
      </c>
      <c r="L36" s="405">
        <v>1</v>
      </c>
      <c r="M36" s="405">
        <v>1</v>
      </c>
      <c r="N36" s="405">
        <v>1</v>
      </c>
      <c r="O36" s="405">
        <v>1</v>
      </c>
      <c r="P36" s="405"/>
      <c r="Q36" s="405"/>
      <c r="R36" s="405"/>
      <c r="S36" s="405"/>
      <c r="T36" s="405"/>
      <c r="U36" s="405"/>
      <c r="V36" s="405"/>
      <c r="W36" s="405"/>
      <c r="X36" s="405"/>
      <c r="Y36" s="405"/>
      <c r="Z36" s="405"/>
      <c r="AA36" s="405"/>
      <c r="AB36" s="405"/>
      <c r="AC36" s="405"/>
      <c r="AD36" s="405"/>
      <c r="AE36" s="405"/>
      <c r="AF36" s="405"/>
      <c r="AG36" s="405"/>
      <c r="AH36" s="405"/>
      <c r="AI36" s="405"/>
      <c r="AJ36" s="405"/>
      <c r="AK36" s="405"/>
      <c r="AL36" s="405"/>
      <c r="AM36" s="405"/>
      <c r="AN36" s="405"/>
      <c r="AO36" s="405"/>
      <c r="AP36" s="405"/>
      <c r="AQ36" s="405"/>
      <c r="AR36" s="405"/>
      <c r="AS36" s="405"/>
      <c r="AT36" s="405"/>
      <c r="AU36" s="405"/>
      <c r="AV36" s="405"/>
      <c r="AW36" s="405"/>
      <c r="AX36" s="405"/>
      <c r="AY36" s="405"/>
      <c r="AZ36" s="405"/>
      <c r="BA36" s="405"/>
      <c r="BB36" s="405"/>
      <c r="BC36" s="405"/>
      <c r="BD36" s="405"/>
      <c r="BE36" s="405"/>
      <c r="BF36" s="405"/>
      <c r="BG36" s="405"/>
      <c r="BH36" s="405"/>
      <c r="BI36" s="405"/>
      <c r="BJ36" s="405"/>
      <c r="BK36" s="405"/>
      <c r="BL36" s="405"/>
      <c r="BM36" s="405"/>
      <c r="BN36" s="405"/>
      <c r="BO36" s="405"/>
      <c r="BP36" s="405"/>
      <c r="BQ36" s="405"/>
      <c r="BR36" s="405"/>
      <c r="BS36" s="405"/>
      <c r="BT36" s="405"/>
      <c r="BU36" s="405"/>
      <c r="BV36" s="405"/>
      <c r="BW36" s="405"/>
      <c r="BX36" s="405"/>
      <c r="BY36" s="405"/>
      <c r="BZ36" s="405"/>
      <c r="CA36" s="405"/>
      <c r="CB36" s="405"/>
      <c r="CC36" s="405"/>
      <c r="CD36" s="405"/>
      <c r="CE36" s="405"/>
      <c r="CF36" s="405"/>
      <c r="CG36" s="405"/>
      <c r="CH36" s="405"/>
      <c r="CI36" s="405"/>
      <c r="CJ36" s="405"/>
      <c r="CK36" s="405"/>
      <c r="CL36" s="405"/>
      <c r="CM36" s="405"/>
      <c r="CN36" s="405"/>
      <c r="CO36" s="405"/>
      <c r="CP36" s="405"/>
      <c r="CQ36" s="405"/>
      <c r="CR36" s="405"/>
      <c r="CS36" s="405"/>
      <c r="CT36" s="405"/>
      <c r="CU36" s="405"/>
      <c r="CV36" s="405"/>
      <c r="CW36" s="405"/>
      <c r="CX36" s="405"/>
      <c r="CY36" s="405"/>
      <c r="CZ36" s="405"/>
      <c r="DA36" s="405"/>
      <c r="DB36" s="405"/>
      <c r="DC36" s="405"/>
      <c r="DD36" s="405"/>
      <c r="DE36" s="405"/>
      <c r="DF36" s="405"/>
      <c r="DG36" s="405"/>
      <c r="DH36" s="405"/>
      <c r="DI36" s="405"/>
      <c r="DJ36" s="405"/>
      <c r="DK36" s="405"/>
      <c r="DL36" s="405"/>
      <c r="DM36" s="405"/>
      <c r="DN36" s="405"/>
      <c r="DO36" s="405"/>
      <c r="DP36" s="405"/>
      <c r="DQ36" s="405"/>
      <c r="DR36" s="405"/>
      <c r="DS36" s="405"/>
      <c r="DT36" s="405"/>
      <c r="DU36" s="405"/>
      <c r="DV36" s="405"/>
      <c r="DW36" s="405"/>
      <c r="DX36" s="405"/>
      <c r="DY36" s="405"/>
      <c r="DZ36" s="405"/>
      <c r="EA36" s="405"/>
      <c r="EB36" s="405"/>
      <c r="EC36" s="405"/>
      <c r="ED36" s="405"/>
      <c r="EE36" s="405"/>
      <c r="EF36" s="405"/>
      <c r="EG36" s="405"/>
      <c r="EH36" s="405"/>
      <c r="EI36" s="405"/>
      <c r="EJ36" s="405"/>
      <c r="EK36" s="405"/>
      <c r="EL36" s="405"/>
      <c r="EM36" s="405"/>
      <c r="EN36" s="405"/>
      <c r="EO36" s="405"/>
      <c r="EP36" s="405"/>
      <c r="EQ36" s="405"/>
      <c r="ER36" s="405"/>
      <c r="ES36" s="405"/>
      <c r="ET36" s="405"/>
      <c r="EU36" s="405"/>
      <c r="EV36" s="405"/>
      <c r="EW36" s="405"/>
      <c r="EX36" s="405"/>
      <c r="EY36" s="405"/>
      <c r="EZ36" s="405"/>
      <c r="FA36" s="405"/>
      <c r="FB36" s="405"/>
      <c r="FC36" s="405"/>
      <c r="FD36" s="405"/>
      <c r="FE36" s="405"/>
      <c r="FF36" s="405"/>
      <c r="FG36" s="405"/>
      <c r="FH36" s="405"/>
      <c r="FI36" s="405"/>
      <c r="FJ36" s="405"/>
      <c r="FK36" s="405"/>
      <c r="FL36" s="405"/>
      <c r="FM36" s="405"/>
      <c r="FN36" s="405"/>
      <c r="FO36" s="405"/>
      <c r="FP36" s="405"/>
      <c r="FQ36" s="405"/>
      <c r="FR36" s="405"/>
      <c r="FS36" s="405"/>
      <c r="FT36" s="405"/>
      <c r="FU36" s="405"/>
      <c r="FV36" s="405"/>
      <c r="FW36" s="405"/>
      <c r="FX36" s="405"/>
      <c r="FY36" s="405"/>
      <c r="FZ36" s="405"/>
      <c r="GA36" s="405"/>
      <c r="GB36" s="405"/>
      <c r="GC36" s="405"/>
      <c r="GD36" s="405"/>
      <c r="GE36" s="405"/>
      <c r="GF36" s="405"/>
      <c r="GG36" s="405"/>
      <c r="GH36" s="405"/>
      <c r="GI36" s="405"/>
      <c r="GJ36" s="405"/>
      <c r="GK36" s="405"/>
      <c r="GL36" s="405"/>
      <c r="GM36" s="405"/>
      <c r="GN36" s="405"/>
      <c r="GO36" s="405"/>
      <c r="GP36" s="405"/>
      <c r="GQ36" s="405"/>
      <c r="GR36" s="405"/>
      <c r="GS36" s="405"/>
      <c r="GT36" s="405"/>
      <c r="GU36" s="405"/>
      <c r="GV36" s="405"/>
      <c r="GW36" s="405"/>
      <c r="GX36" s="405"/>
      <c r="GY36" s="405"/>
      <c r="GZ36" s="405"/>
      <c r="HA36" s="405"/>
      <c r="HB36" s="405"/>
      <c r="HC36" s="405"/>
      <c r="HD36" s="405"/>
      <c r="HE36" s="405"/>
      <c r="HF36" s="405"/>
      <c r="HG36" s="405"/>
      <c r="HH36" s="405"/>
      <c r="HI36" s="405"/>
      <c r="HJ36" s="405"/>
      <c r="HK36" s="405"/>
      <c r="HL36" s="405"/>
      <c r="HM36" s="405"/>
      <c r="HN36" s="405"/>
      <c r="HO36" s="405"/>
      <c r="HP36" s="405"/>
      <c r="HQ36" s="405"/>
      <c r="HR36" s="405"/>
      <c r="HS36" s="405"/>
      <c r="HT36" s="405"/>
      <c r="HU36" s="405"/>
      <c r="HV36" s="405"/>
      <c r="HW36" s="405"/>
      <c r="HX36" s="551"/>
      <c r="HY36" s="551"/>
      <c r="HZ36" s="551"/>
      <c r="IA36" s="551"/>
      <c r="IB36" s="551"/>
    </row>
    <row r="37" spans="1:236" ht="15" customHeight="1">
      <c r="A37" s="37">
        <v>45986</v>
      </c>
      <c r="B37" s="462" t="s">
        <v>515</v>
      </c>
      <c r="C37" s="284" t="s">
        <v>544</v>
      </c>
      <c r="D37" s="413" t="s">
        <v>274</v>
      </c>
      <c r="E37" s="469" t="s">
        <v>691</v>
      </c>
      <c r="F37" s="29" t="s">
        <v>398</v>
      </c>
      <c r="G37" s="29">
        <v>1</v>
      </c>
      <c r="H37" s="29">
        <v>0</v>
      </c>
      <c r="I37" s="470" t="s">
        <v>696</v>
      </c>
      <c r="J37" s="473" t="b">
        <v>0</v>
      </c>
      <c r="K37" s="224">
        <f t="shared" si="1"/>
        <v>141</v>
      </c>
      <c r="L37" s="29">
        <v>1</v>
      </c>
      <c r="M37" s="29">
        <v>1</v>
      </c>
      <c r="N37" s="29">
        <v>1</v>
      </c>
      <c r="O37" s="29">
        <v>1</v>
      </c>
      <c r="P37" s="29">
        <v>1</v>
      </c>
      <c r="Q37" s="29">
        <v>1</v>
      </c>
      <c r="R37" s="29">
        <v>1</v>
      </c>
      <c r="S37" s="29">
        <v>1</v>
      </c>
      <c r="T37" s="29">
        <v>1</v>
      </c>
      <c r="U37" s="29">
        <v>1</v>
      </c>
      <c r="V37" s="29">
        <v>1</v>
      </c>
      <c r="W37" s="29">
        <v>1</v>
      </c>
      <c r="X37" s="29">
        <v>1</v>
      </c>
      <c r="Y37" s="29">
        <v>1</v>
      </c>
      <c r="Z37" s="29">
        <v>1</v>
      </c>
      <c r="AA37" s="29">
        <v>1</v>
      </c>
      <c r="AB37" s="29">
        <v>1</v>
      </c>
      <c r="AC37" s="29">
        <v>1</v>
      </c>
      <c r="AD37" s="29">
        <v>1</v>
      </c>
      <c r="AE37" s="29">
        <v>1</v>
      </c>
      <c r="AF37" s="29">
        <v>1</v>
      </c>
      <c r="AG37" s="29">
        <v>1</v>
      </c>
      <c r="AH37" s="29">
        <v>1</v>
      </c>
      <c r="AI37" s="29">
        <v>1</v>
      </c>
      <c r="AJ37" s="29">
        <v>1</v>
      </c>
      <c r="AK37" s="29">
        <v>1</v>
      </c>
      <c r="AL37" s="29">
        <v>1</v>
      </c>
      <c r="AM37" s="29">
        <v>1</v>
      </c>
      <c r="AN37" s="29">
        <v>1</v>
      </c>
      <c r="AO37" s="29">
        <v>1</v>
      </c>
      <c r="AP37" s="29">
        <v>1</v>
      </c>
      <c r="AQ37" s="29">
        <v>1</v>
      </c>
      <c r="AR37" s="29">
        <v>1</v>
      </c>
      <c r="AS37" s="29">
        <v>1</v>
      </c>
      <c r="AT37" s="29">
        <v>1</v>
      </c>
      <c r="AU37" s="29">
        <v>1</v>
      </c>
      <c r="AV37" s="29">
        <v>1</v>
      </c>
      <c r="AW37" s="29">
        <v>1</v>
      </c>
      <c r="AX37" s="29">
        <v>1</v>
      </c>
      <c r="AY37" s="29">
        <v>1</v>
      </c>
      <c r="AZ37" s="29">
        <v>1</v>
      </c>
      <c r="BA37" s="29">
        <v>1</v>
      </c>
      <c r="BB37" s="29">
        <v>1</v>
      </c>
      <c r="BC37" s="29">
        <v>1</v>
      </c>
      <c r="BD37" s="29">
        <v>1</v>
      </c>
      <c r="BE37" s="29">
        <v>1</v>
      </c>
      <c r="BF37" s="29">
        <v>1</v>
      </c>
      <c r="BG37" s="29">
        <v>1</v>
      </c>
      <c r="BH37" s="29">
        <v>1</v>
      </c>
      <c r="BI37" s="29">
        <v>1</v>
      </c>
      <c r="BJ37" s="29">
        <v>1</v>
      </c>
      <c r="BK37" s="29">
        <v>1</v>
      </c>
      <c r="BL37" s="29">
        <v>1</v>
      </c>
      <c r="BM37" s="29">
        <v>1</v>
      </c>
      <c r="BN37" s="29">
        <v>1</v>
      </c>
      <c r="BO37" s="29">
        <v>1</v>
      </c>
      <c r="BP37" s="29">
        <v>1</v>
      </c>
      <c r="BQ37" s="29">
        <v>1</v>
      </c>
      <c r="BR37" s="29">
        <v>1</v>
      </c>
      <c r="BS37" s="29">
        <v>1</v>
      </c>
      <c r="BT37" s="29">
        <v>1</v>
      </c>
      <c r="BU37" s="29">
        <v>1</v>
      </c>
      <c r="BV37" s="29">
        <v>1</v>
      </c>
      <c r="BW37" s="29">
        <v>1</v>
      </c>
      <c r="BX37" s="29">
        <v>1</v>
      </c>
      <c r="BY37" s="29">
        <v>1</v>
      </c>
      <c r="BZ37" s="29">
        <v>1</v>
      </c>
      <c r="CA37" s="29">
        <v>1</v>
      </c>
      <c r="CB37" s="29">
        <v>1</v>
      </c>
      <c r="CC37" s="29">
        <v>1</v>
      </c>
      <c r="CD37" s="29">
        <v>1</v>
      </c>
      <c r="CE37" s="29">
        <v>1</v>
      </c>
      <c r="CF37" s="29">
        <v>1</v>
      </c>
      <c r="CG37" s="29">
        <v>1</v>
      </c>
      <c r="CH37" s="29">
        <v>1</v>
      </c>
      <c r="CI37" s="29">
        <v>1</v>
      </c>
      <c r="CJ37" s="29">
        <v>1</v>
      </c>
      <c r="CK37" s="29">
        <v>1</v>
      </c>
      <c r="CL37" s="29">
        <v>1</v>
      </c>
      <c r="CM37" s="29">
        <v>1</v>
      </c>
      <c r="CN37" s="29">
        <v>1</v>
      </c>
      <c r="CO37" s="29">
        <v>1</v>
      </c>
      <c r="CP37" s="29">
        <v>1</v>
      </c>
      <c r="CQ37" s="29">
        <v>1</v>
      </c>
      <c r="CR37" s="29">
        <v>1</v>
      </c>
      <c r="CS37" s="29">
        <v>1</v>
      </c>
      <c r="CT37" s="29">
        <v>1</v>
      </c>
      <c r="CU37" s="29">
        <v>1</v>
      </c>
      <c r="CV37" s="29">
        <v>1</v>
      </c>
      <c r="CW37" s="29">
        <v>1</v>
      </c>
      <c r="CX37" s="29">
        <v>1</v>
      </c>
      <c r="CY37" s="29">
        <v>1</v>
      </c>
      <c r="CZ37" s="29">
        <v>1</v>
      </c>
      <c r="DA37" s="29">
        <v>1</v>
      </c>
      <c r="DB37" s="29">
        <v>1</v>
      </c>
      <c r="DC37" s="29">
        <v>1</v>
      </c>
      <c r="DD37" s="29">
        <v>1</v>
      </c>
      <c r="DE37" s="29">
        <v>1</v>
      </c>
      <c r="DF37" s="29">
        <v>1</v>
      </c>
      <c r="DG37" s="29">
        <v>1</v>
      </c>
      <c r="DH37" s="29">
        <v>1</v>
      </c>
      <c r="DI37" s="29">
        <v>1</v>
      </c>
      <c r="DJ37" s="29">
        <v>1</v>
      </c>
      <c r="DK37" s="29">
        <v>1</v>
      </c>
      <c r="DL37" s="29">
        <v>1</v>
      </c>
      <c r="DM37" s="29">
        <v>1</v>
      </c>
      <c r="DN37" s="29">
        <v>1</v>
      </c>
      <c r="DO37" s="29">
        <v>1</v>
      </c>
      <c r="DP37" s="29">
        <v>1</v>
      </c>
      <c r="DQ37" s="29">
        <v>1</v>
      </c>
      <c r="DR37" s="29">
        <v>1</v>
      </c>
      <c r="DS37" s="29">
        <v>1</v>
      </c>
      <c r="DT37" s="29">
        <v>1</v>
      </c>
      <c r="DU37" s="29">
        <v>1</v>
      </c>
      <c r="DV37" s="29">
        <v>1</v>
      </c>
      <c r="DW37" s="29">
        <v>1</v>
      </c>
      <c r="DX37" s="29">
        <v>1</v>
      </c>
      <c r="DY37" s="29">
        <v>1</v>
      </c>
      <c r="DZ37" s="29">
        <v>1</v>
      </c>
      <c r="EA37" s="29">
        <v>1</v>
      </c>
      <c r="EB37" s="29">
        <v>1</v>
      </c>
      <c r="EC37" s="29">
        <v>1</v>
      </c>
      <c r="ED37" s="29">
        <v>1</v>
      </c>
      <c r="EE37" s="29">
        <v>1</v>
      </c>
      <c r="EF37" s="29">
        <v>1</v>
      </c>
      <c r="EG37" s="29">
        <v>1</v>
      </c>
      <c r="EH37" s="29">
        <v>1</v>
      </c>
      <c r="EI37" s="29">
        <v>1</v>
      </c>
      <c r="EJ37" s="29">
        <v>1</v>
      </c>
      <c r="EK37" s="29">
        <v>1</v>
      </c>
      <c r="EL37" s="29">
        <v>1</v>
      </c>
      <c r="EM37" s="29">
        <v>1</v>
      </c>
      <c r="EN37" s="29">
        <v>1</v>
      </c>
      <c r="EO37" s="29">
        <v>1</v>
      </c>
      <c r="EP37" s="29">
        <v>1</v>
      </c>
      <c r="EQ37" s="29">
        <v>1</v>
      </c>
      <c r="ER37" s="29">
        <v>1</v>
      </c>
      <c r="ES37" s="29">
        <v>1</v>
      </c>
      <c r="ET37" s="29">
        <v>1</v>
      </c>
      <c r="EU37" s="29">
        <v>1</v>
      </c>
      <c r="EV37" s="29">
        <v>1</v>
      </c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/>
      <c r="GE37" s="29"/>
      <c r="GF37" s="29"/>
      <c r="GG37" s="29"/>
      <c r="GH37" s="29"/>
      <c r="GI37" s="29"/>
      <c r="GJ37" s="29"/>
      <c r="GK37" s="29"/>
      <c r="GL37" s="29"/>
      <c r="GM37" s="29"/>
      <c r="GN37" s="29"/>
      <c r="GO37" s="29"/>
      <c r="GP37" s="29"/>
      <c r="GQ37" s="29"/>
      <c r="GR37" s="29"/>
      <c r="GS37" s="29"/>
      <c r="GT37" s="29"/>
      <c r="GU37" s="29"/>
      <c r="GV37" s="29"/>
      <c r="GW37" s="29"/>
      <c r="GX37" s="29"/>
      <c r="GY37" s="29"/>
      <c r="GZ37" s="29"/>
      <c r="HA37" s="29"/>
      <c r="HB37" s="29"/>
      <c r="HC37" s="29"/>
      <c r="HD37" s="29"/>
      <c r="HE37" s="29"/>
      <c r="HF37" s="29"/>
      <c r="HG37" s="29"/>
      <c r="HH37" s="29"/>
      <c r="HI37" s="29"/>
      <c r="HJ37" s="29"/>
      <c r="HK37" s="29"/>
      <c r="HL37" s="2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463"/>
      <c r="HY37" s="463"/>
      <c r="HZ37" s="463"/>
      <c r="IA37" s="463"/>
      <c r="IB37" s="463"/>
    </row>
    <row r="38" spans="1:236" s="552" customFormat="1" ht="15" customHeight="1">
      <c r="A38" s="543">
        <v>45986</v>
      </c>
      <c r="B38" s="544" t="s">
        <v>515</v>
      </c>
      <c r="C38" s="545" t="s">
        <v>544</v>
      </c>
      <c r="D38" s="546" t="s">
        <v>274</v>
      </c>
      <c r="E38" s="547" t="s">
        <v>889</v>
      </c>
      <c r="F38" s="405" t="s">
        <v>512</v>
      </c>
      <c r="G38" s="405">
        <v>0</v>
      </c>
      <c r="H38" s="405">
        <v>1</v>
      </c>
      <c r="I38" s="548"/>
      <c r="J38" s="549" t="b">
        <v>0</v>
      </c>
      <c r="K38" s="550">
        <v>3</v>
      </c>
      <c r="L38" s="405">
        <v>1</v>
      </c>
      <c r="M38" s="405">
        <v>1</v>
      </c>
      <c r="N38" s="405">
        <v>1</v>
      </c>
      <c r="O38" s="405"/>
      <c r="P38" s="405"/>
      <c r="Q38" s="405"/>
      <c r="R38" s="405"/>
      <c r="S38" s="405"/>
      <c r="T38" s="405"/>
      <c r="U38" s="405"/>
      <c r="V38" s="405"/>
      <c r="W38" s="405"/>
      <c r="X38" s="405"/>
      <c r="Y38" s="405"/>
      <c r="Z38" s="405"/>
      <c r="AA38" s="405"/>
      <c r="AB38" s="405"/>
      <c r="AC38" s="405"/>
      <c r="AD38" s="405"/>
      <c r="AE38" s="405"/>
      <c r="AF38" s="405"/>
      <c r="AG38" s="405"/>
      <c r="AH38" s="405"/>
      <c r="AI38" s="405"/>
      <c r="AJ38" s="405"/>
      <c r="AK38" s="405"/>
      <c r="AL38" s="405"/>
      <c r="AM38" s="405"/>
      <c r="AN38" s="405"/>
      <c r="AO38" s="405"/>
      <c r="AP38" s="405"/>
      <c r="AQ38" s="405"/>
      <c r="AR38" s="405"/>
      <c r="AS38" s="405"/>
      <c r="AT38" s="405"/>
      <c r="AU38" s="405"/>
      <c r="AV38" s="405"/>
      <c r="AW38" s="405"/>
      <c r="AX38" s="405"/>
      <c r="AY38" s="405"/>
      <c r="AZ38" s="405"/>
      <c r="BA38" s="405"/>
      <c r="BB38" s="405"/>
      <c r="BC38" s="405"/>
      <c r="BD38" s="405"/>
      <c r="BE38" s="405"/>
      <c r="BF38" s="405"/>
      <c r="BG38" s="405"/>
      <c r="BH38" s="405"/>
      <c r="BI38" s="405"/>
      <c r="BJ38" s="405"/>
      <c r="BK38" s="405"/>
      <c r="BL38" s="405"/>
      <c r="BM38" s="405"/>
      <c r="BN38" s="405"/>
      <c r="BO38" s="405"/>
      <c r="BP38" s="405"/>
      <c r="BQ38" s="405"/>
      <c r="BR38" s="405"/>
      <c r="BS38" s="405"/>
      <c r="BT38" s="405"/>
      <c r="BU38" s="405"/>
      <c r="BV38" s="405"/>
      <c r="BW38" s="405"/>
      <c r="BX38" s="405"/>
      <c r="BY38" s="405"/>
      <c r="BZ38" s="405"/>
      <c r="CA38" s="405"/>
      <c r="CB38" s="405"/>
      <c r="CC38" s="405"/>
      <c r="CD38" s="405"/>
      <c r="CE38" s="405"/>
      <c r="CF38" s="405"/>
      <c r="CG38" s="405"/>
      <c r="CH38" s="405"/>
      <c r="CI38" s="405"/>
      <c r="CJ38" s="405"/>
      <c r="CK38" s="405"/>
      <c r="CL38" s="405"/>
      <c r="CM38" s="405"/>
      <c r="CN38" s="405"/>
      <c r="CO38" s="405"/>
      <c r="CP38" s="405"/>
      <c r="CQ38" s="405"/>
      <c r="CR38" s="405"/>
      <c r="CS38" s="405"/>
      <c r="CT38" s="405"/>
      <c r="CU38" s="405"/>
      <c r="CV38" s="405"/>
      <c r="CW38" s="405"/>
      <c r="CX38" s="405"/>
      <c r="CY38" s="405"/>
      <c r="CZ38" s="405"/>
      <c r="DA38" s="405"/>
      <c r="DB38" s="405"/>
      <c r="DC38" s="405"/>
      <c r="DD38" s="405"/>
      <c r="DE38" s="405"/>
      <c r="DF38" s="405"/>
      <c r="DG38" s="405"/>
      <c r="DH38" s="405"/>
      <c r="DI38" s="405"/>
      <c r="DJ38" s="405"/>
      <c r="DK38" s="405"/>
      <c r="DL38" s="405"/>
      <c r="DM38" s="405"/>
      <c r="DN38" s="405"/>
      <c r="DO38" s="405"/>
      <c r="DP38" s="405"/>
      <c r="DQ38" s="405"/>
      <c r="DR38" s="405"/>
      <c r="DS38" s="405"/>
      <c r="DT38" s="405"/>
      <c r="DU38" s="405"/>
      <c r="DV38" s="405"/>
      <c r="DW38" s="405"/>
      <c r="DX38" s="405"/>
      <c r="DY38" s="405"/>
      <c r="DZ38" s="405"/>
      <c r="EA38" s="405"/>
      <c r="EB38" s="405"/>
      <c r="EC38" s="405"/>
      <c r="ED38" s="405"/>
      <c r="EE38" s="405"/>
      <c r="EF38" s="405"/>
      <c r="EG38" s="405"/>
      <c r="EH38" s="405"/>
      <c r="EI38" s="405"/>
      <c r="EJ38" s="405"/>
      <c r="EK38" s="405"/>
      <c r="EL38" s="405"/>
      <c r="EM38" s="405"/>
      <c r="EN38" s="405"/>
      <c r="EO38" s="405"/>
      <c r="EP38" s="405"/>
      <c r="EQ38" s="405"/>
      <c r="ER38" s="405"/>
      <c r="ES38" s="405"/>
      <c r="ET38" s="405"/>
      <c r="EU38" s="405"/>
      <c r="EV38" s="405"/>
      <c r="EW38" s="405"/>
      <c r="EX38" s="405"/>
      <c r="EY38" s="405"/>
      <c r="EZ38" s="405"/>
      <c r="FA38" s="405"/>
      <c r="FB38" s="405"/>
      <c r="FC38" s="405"/>
      <c r="FD38" s="405"/>
      <c r="FE38" s="405"/>
      <c r="FF38" s="405"/>
      <c r="FG38" s="405"/>
      <c r="FH38" s="405"/>
      <c r="FI38" s="405"/>
      <c r="FJ38" s="405"/>
      <c r="FK38" s="405"/>
      <c r="FL38" s="405"/>
      <c r="FM38" s="405"/>
      <c r="FN38" s="405"/>
      <c r="FO38" s="405"/>
      <c r="FP38" s="405"/>
      <c r="FQ38" s="405"/>
      <c r="FR38" s="405"/>
      <c r="FS38" s="405"/>
      <c r="FT38" s="405"/>
      <c r="FU38" s="405"/>
      <c r="FV38" s="405"/>
      <c r="FW38" s="405"/>
      <c r="FX38" s="405"/>
      <c r="FY38" s="405"/>
      <c r="FZ38" s="405"/>
      <c r="GA38" s="405"/>
      <c r="GB38" s="405"/>
      <c r="GC38" s="405"/>
      <c r="GD38" s="405"/>
      <c r="GE38" s="405"/>
      <c r="GF38" s="405"/>
      <c r="GG38" s="405"/>
      <c r="GH38" s="405"/>
      <c r="GI38" s="405"/>
      <c r="GJ38" s="405"/>
      <c r="GK38" s="405"/>
      <c r="GL38" s="405"/>
      <c r="GM38" s="405"/>
      <c r="GN38" s="405"/>
      <c r="GO38" s="405"/>
      <c r="GP38" s="405"/>
      <c r="GQ38" s="405"/>
      <c r="GR38" s="405"/>
      <c r="GS38" s="405"/>
      <c r="GT38" s="405"/>
      <c r="GU38" s="405"/>
      <c r="GV38" s="405"/>
      <c r="GW38" s="405"/>
      <c r="GX38" s="405"/>
      <c r="GY38" s="405"/>
      <c r="GZ38" s="405"/>
      <c r="HA38" s="405"/>
      <c r="HB38" s="405"/>
      <c r="HC38" s="405"/>
      <c r="HD38" s="405"/>
      <c r="HE38" s="405"/>
      <c r="HF38" s="405"/>
      <c r="HG38" s="405"/>
      <c r="HH38" s="405"/>
      <c r="HI38" s="405"/>
      <c r="HJ38" s="405"/>
      <c r="HK38" s="405"/>
      <c r="HL38" s="405"/>
      <c r="HM38" s="405"/>
      <c r="HN38" s="405"/>
      <c r="HO38" s="405"/>
      <c r="HP38" s="405"/>
      <c r="HQ38" s="405"/>
      <c r="HR38" s="405"/>
      <c r="HS38" s="405"/>
      <c r="HT38" s="405"/>
      <c r="HU38" s="405"/>
      <c r="HV38" s="405"/>
      <c r="HW38" s="405"/>
      <c r="HX38" s="551"/>
      <c r="HY38" s="551"/>
      <c r="HZ38" s="551"/>
      <c r="IA38" s="551"/>
      <c r="IB38" s="551"/>
    </row>
    <row r="39" spans="1:236" s="552" customFormat="1" ht="15" customHeight="1">
      <c r="A39" s="543">
        <v>45986</v>
      </c>
      <c r="B39" s="544" t="s">
        <v>515</v>
      </c>
      <c r="C39" s="545" t="s">
        <v>544</v>
      </c>
      <c r="D39" s="546" t="s">
        <v>274</v>
      </c>
      <c r="E39" s="547" t="s">
        <v>890</v>
      </c>
      <c r="F39" s="405" t="s">
        <v>512</v>
      </c>
      <c r="G39" s="405">
        <v>0</v>
      </c>
      <c r="H39" s="405">
        <v>1</v>
      </c>
      <c r="I39" s="548"/>
      <c r="J39" s="549" t="b">
        <v>0</v>
      </c>
      <c r="K39" s="550">
        <v>3</v>
      </c>
      <c r="L39" s="405">
        <v>1</v>
      </c>
      <c r="M39" s="405">
        <v>1</v>
      </c>
      <c r="N39" s="405">
        <v>1</v>
      </c>
      <c r="O39" s="405"/>
      <c r="P39" s="405"/>
      <c r="Q39" s="405"/>
      <c r="R39" s="405"/>
      <c r="S39" s="405"/>
      <c r="T39" s="405"/>
      <c r="U39" s="405"/>
      <c r="V39" s="405"/>
      <c r="W39" s="405"/>
      <c r="X39" s="405"/>
      <c r="Y39" s="405"/>
      <c r="Z39" s="405"/>
      <c r="AA39" s="405"/>
      <c r="AB39" s="405"/>
      <c r="AC39" s="405"/>
      <c r="AD39" s="405"/>
      <c r="AE39" s="405"/>
      <c r="AF39" s="405"/>
      <c r="AG39" s="405"/>
      <c r="AH39" s="405"/>
      <c r="AI39" s="405"/>
      <c r="AJ39" s="405"/>
      <c r="AK39" s="405"/>
      <c r="AL39" s="405"/>
      <c r="AM39" s="405"/>
      <c r="AN39" s="405"/>
      <c r="AO39" s="405"/>
      <c r="AP39" s="405"/>
      <c r="AQ39" s="405"/>
      <c r="AR39" s="405"/>
      <c r="AS39" s="405"/>
      <c r="AT39" s="405"/>
      <c r="AU39" s="405"/>
      <c r="AV39" s="405"/>
      <c r="AW39" s="405"/>
      <c r="AX39" s="405"/>
      <c r="AY39" s="405"/>
      <c r="AZ39" s="405"/>
      <c r="BA39" s="405"/>
      <c r="BB39" s="405"/>
      <c r="BC39" s="405"/>
      <c r="BD39" s="405"/>
      <c r="BE39" s="405"/>
      <c r="BF39" s="405"/>
      <c r="BG39" s="405"/>
      <c r="BH39" s="405"/>
      <c r="BI39" s="405"/>
      <c r="BJ39" s="405"/>
      <c r="BK39" s="405"/>
      <c r="BL39" s="405"/>
      <c r="BM39" s="405"/>
      <c r="BN39" s="405"/>
      <c r="BO39" s="405"/>
      <c r="BP39" s="405"/>
      <c r="BQ39" s="405"/>
      <c r="BR39" s="405"/>
      <c r="BS39" s="405"/>
      <c r="BT39" s="405"/>
      <c r="BU39" s="405"/>
      <c r="BV39" s="405"/>
      <c r="BW39" s="405"/>
      <c r="BX39" s="405"/>
      <c r="BY39" s="405"/>
      <c r="BZ39" s="405"/>
      <c r="CA39" s="405"/>
      <c r="CB39" s="405"/>
      <c r="CC39" s="405"/>
      <c r="CD39" s="405"/>
      <c r="CE39" s="405"/>
      <c r="CF39" s="405"/>
      <c r="CG39" s="405"/>
      <c r="CH39" s="405"/>
      <c r="CI39" s="405"/>
      <c r="CJ39" s="405"/>
      <c r="CK39" s="405"/>
      <c r="CL39" s="405"/>
      <c r="CM39" s="405"/>
      <c r="CN39" s="405"/>
      <c r="CO39" s="405"/>
      <c r="CP39" s="405"/>
      <c r="CQ39" s="405"/>
      <c r="CR39" s="405"/>
      <c r="CS39" s="405"/>
      <c r="CT39" s="405"/>
      <c r="CU39" s="405"/>
      <c r="CV39" s="405"/>
      <c r="CW39" s="405"/>
      <c r="CX39" s="405"/>
      <c r="CY39" s="405"/>
      <c r="CZ39" s="405"/>
      <c r="DA39" s="405"/>
      <c r="DB39" s="405"/>
      <c r="DC39" s="405"/>
      <c r="DD39" s="405"/>
      <c r="DE39" s="405"/>
      <c r="DF39" s="405"/>
      <c r="DG39" s="405"/>
      <c r="DH39" s="405"/>
      <c r="DI39" s="405"/>
      <c r="DJ39" s="405"/>
      <c r="DK39" s="405"/>
      <c r="DL39" s="405"/>
      <c r="DM39" s="405"/>
      <c r="DN39" s="405"/>
      <c r="DO39" s="405"/>
      <c r="DP39" s="405"/>
      <c r="DQ39" s="405"/>
      <c r="DR39" s="405"/>
      <c r="DS39" s="405"/>
      <c r="DT39" s="405"/>
      <c r="DU39" s="405"/>
      <c r="DV39" s="405"/>
      <c r="DW39" s="405"/>
      <c r="DX39" s="405"/>
      <c r="DY39" s="405"/>
      <c r="DZ39" s="405"/>
      <c r="EA39" s="405"/>
      <c r="EB39" s="405"/>
      <c r="EC39" s="405"/>
      <c r="ED39" s="405"/>
      <c r="EE39" s="405"/>
      <c r="EF39" s="405"/>
      <c r="EG39" s="405"/>
      <c r="EH39" s="405"/>
      <c r="EI39" s="405"/>
      <c r="EJ39" s="405"/>
      <c r="EK39" s="405"/>
      <c r="EL39" s="405"/>
      <c r="EM39" s="405"/>
      <c r="EN39" s="405"/>
      <c r="EO39" s="405"/>
      <c r="EP39" s="405"/>
      <c r="EQ39" s="405"/>
      <c r="ER39" s="405"/>
      <c r="ES39" s="405"/>
      <c r="ET39" s="405"/>
      <c r="EU39" s="405"/>
      <c r="EV39" s="405"/>
      <c r="EW39" s="405"/>
      <c r="EX39" s="405"/>
      <c r="EY39" s="405"/>
      <c r="EZ39" s="405"/>
      <c r="FA39" s="405"/>
      <c r="FB39" s="405"/>
      <c r="FC39" s="405"/>
      <c r="FD39" s="405"/>
      <c r="FE39" s="405"/>
      <c r="FF39" s="405"/>
      <c r="FG39" s="405"/>
      <c r="FH39" s="405"/>
      <c r="FI39" s="405"/>
      <c r="FJ39" s="405"/>
      <c r="FK39" s="405"/>
      <c r="FL39" s="405"/>
      <c r="FM39" s="405"/>
      <c r="FN39" s="405"/>
      <c r="FO39" s="405"/>
      <c r="FP39" s="405"/>
      <c r="FQ39" s="405"/>
      <c r="FR39" s="405"/>
      <c r="FS39" s="405"/>
      <c r="FT39" s="405"/>
      <c r="FU39" s="405"/>
      <c r="FV39" s="405"/>
      <c r="FW39" s="405"/>
      <c r="FX39" s="405"/>
      <c r="FY39" s="405"/>
      <c r="FZ39" s="405"/>
      <c r="GA39" s="405"/>
      <c r="GB39" s="405"/>
      <c r="GC39" s="405"/>
      <c r="GD39" s="405"/>
      <c r="GE39" s="405"/>
      <c r="GF39" s="405"/>
      <c r="GG39" s="405"/>
      <c r="GH39" s="405"/>
      <c r="GI39" s="405"/>
      <c r="GJ39" s="405"/>
      <c r="GK39" s="405"/>
      <c r="GL39" s="405"/>
      <c r="GM39" s="405"/>
      <c r="GN39" s="405"/>
      <c r="GO39" s="405"/>
      <c r="GP39" s="405"/>
      <c r="GQ39" s="405"/>
      <c r="GR39" s="405"/>
      <c r="GS39" s="405"/>
      <c r="GT39" s="405"/>
      <c r="GU39" s="405"/>
      <c r="GV39" s="405"/>
      <c r="GW39" s="405"/>
      <c r="GX39" s="405"/>
      <c r="GY39" s="405"/>
      <c r="GZ39" s="405"/>
      <c r="HA39" s="405"/>
      <c r="HB39" s="405"/>
      <c r="HC39" s="405"/>
      <c r="HD39" s="405"/>
      <c r="HE39" s="405"/>
      <c r="HF39" s="405"/>
      <c r="HG39" s="405"/>
      <c r="HH39" s="405"/>
      <c r="HI39" s="405"/>
      <c r="HJ39" s="405"/>
      <c r="HK39" s="405"/>
      <c r="HL39" s="405"/>
      <c r="HM39" s="405"/>
      <c r="HN39" s="405"/>
      <c r="HO39" s="405"/>
      <c r="HP39" s="405"/>
      <c r="HQ39" s="405"/>
      <c r="HR39" s="405"/>
      <c r="HS39" s="405"/>
      <c r="HT39" s="405"/>
      <c r="HU39" s="405"/>
      <c r="HV39" s="405"/>
      <c r="HW39" s="405"/>
      <c r="HX39" s="551"/>
      <c r="HY39" s="551"/>
      <c r="HZ39" s="551"/>
      <c r="IA39" s="551"/>
      <c r="IB39" s="551"/>
    </row>
    <row r="40" spans="1:236" ht="15" customHeight="1">
      <c r="A40" s="286">
        <v>45988</v>
      </c>
      <c r="B40" s="462" t="s">
        <v>547</v>
      </c>
      <c r="C40" s="284" t="s">
        <v>546</v>
      </c>
      <c r="D40" s="413" t="s">
        <v>274</v>
      </c>
      <c r="E40" s="469" t="s">
        <v>887</v>
      </c>
      <c r="F40" s="29" t="s">
        <v>512</v>
      </c>
      <c r="G40" s="29">
        <v>1</v>
      </c>
      <c r="H40" s="29">
        <v>0</v>
      </c>
      <c r="I40" s="29"/>
      <c r="J40" s="473" t="b">
        <v>0</v>
      </c>
      <c r="K40" s="224">
        <f t="shared" ref="K40:K41" si="2">SUM(L40:DG40)</f>
        <v>11</v>
      </c>
      <c r="L40" s="29">
        <v>1</v>
      </c>
      <c r="M40" s="29">
        <v>1</v>
      </c>
      <c r="N40" s="29">
        <v>1</v>
      </c>
      <c r="O40" s="29">
        <v>1</v>
      </c>
      <c r="P40" s="29">
        <v>1</v>
      </c>
      <c r="Q40" s="29">
        <v>1</v>
      </c>
      <c r="R40" s="29">
        <v>1</v>
      </c>
      <c r="S40" s="29">
        <v>1</v>
      </c>
      <c r="T40" s="29">
        <v>1</v>
      </c>
      <c r="U40" s="29">
        <v>1</v>
      </c>
      <c r="V40" s="29">
        <v>1</v>
      </c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9"/>
      <c r="GZ40" s="29"/>
      <c r="HA40" s="29"/>
      <c r="HB40" s="29"/>
      <c r="HC40" s="29"/>
      <c r="HD40" s="29"/>
      <c r="HE40" s="29"/>
      <c r="HF40" s="29"/>
      <c r="HG40" s="29"/>
      <c r="HH40" s="29"/>
      <c r="HI40" s="29"/>
      <c r="HJ40" s="29"/>
      <c r="HK40" s="29"/>
      <c r="HL40" s="2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463"/>
      <c r="HY40" s="463"/>
      <c r="HZ40" s="463"/>
      <c r="IA40" s="463"/>
      <c r="IB40" s="463"/>
    </row>
    <row r="41" spans="1:236" ht="15" customHeight="1">
      <c r="A41" s="286">
        <v>45988</v>
      </c>
      <c r="B41" s="462" t="s">
        <v>515</v>
      </c>
      <c r="C41" s="284" t="s">
        <v>546</v>
      </c>
      <c r="D41" s="413" t="s">
        <v>274</v>
      </c>
      <c r="E41" s="469" t="s">
        <v>888</v>
      </c>
      <c r="F41" s="29" t="s">
        <v>512</v>
      </c>
      <c r="G41" s="29">
        <v>1</v>
      </c>
      <c r="H41" s="29">
        <v>0</v>
      </c>
      <c r="I41" s="29"/>
      <c r="J41" s="473" t="b">
        <v>0</v>
      </c>
      <c r="K41" s="224">
        <f t="shared" si="2"/>
        <v>47</v>
      </c>
      <c r="L41" s="29">
        <v>1</v>
      </c>
      <c r="M41" s="29">
        <v>1</v>
      </c>
      <c r="N41" s="29">
        <v>1</v>
      </c>
      <c r="O41" s="29">
        <v>1</v>
      </c>
      <c r="P41" s="29">
        <v>1</v>
      </c>
      <c r="Q41" s="29">
        <v>1</v>
      </c>
      <c r="R41" s="29">
        <v>1</v>
      </c>
      <c r="S41" s="29">
        <v>1</v>
      </c>
      <c r="T41" s="29">
        <v>1</v>
      </c>
      <c r="U41" s="29">
        <v>1</v>
      </c>
      <c r="V41" s="29">
        <v>1</v>
      </c>
      <c r="W41" s="29">
        <v>1</v>
      </c>
      <c r="X41" s="29">
        <v>1</v>
      </c>
      <c r="Y41" s="29">
        <v>1</v>
      </c>
      <c r="Z41" s="29">
        <v>1</v>
      </c>
      <c r="AA41" s="29">
        <v>1</v>
      </c>
      <c r="AB41" s="29">
        <v>1</v>
      </c>
      <c r="AC41" s="29">
        <v>1</v>
      </c>
      <c r="AD41" s="29">
        <v>1</v>
      </c>
      <c r="AE41" s="29">
        <v>1</v>
      </c>
      <c r="AF41" s="29">
        <v>1</v>
      </c>
      <c r="AG41" s="29">
        <v>1</v>
      </c>
      <c r="AH41" s="29">
        <v>1</v>
      </c>
      <c r="AI41" s="29">
        <v>1</v>
      </c>
      <c r="AJ41" s="29">
        <v>1</v>
      </c>
      <c r="AK41" s="29">
        <v>1</v>
      </c>
      <c r="AL41" s="29">
        <v>1</v>
      </c>
      <c r="AM41" s="29">
        <v>1</v>
      </c>
      <c r="AN41" s="29">
        <v>1</v>
      </c>
      <c r="AO41" s="29">
        <v>1</v>
      </c>
      <c r="AP41" s="29">
        <v>1</v>
      </c>
      <c r="AQ41" s="29">
        <v>1</v>
      </c>
      <c r="AR41" s="29">
        <v>1</v>
      </c>
      <c r="AS41" s="29">
        <v>1</v>
      </c>
      <c r="AT41" s="29">
        <v>1</v>
      </c>
      <c r="AU41" s="29">
        <v>1</v>
      </c>
      <c r="AV41" s="29">
        <v>1</v>
      </c>
      <c r="AW41" s="29">
        <v>1</v>
      </c>
      <c r="AX41" s="29">
        <v>1</v>
      </c>
      <c r="AY41" s="29">
        <v>1</v>
      </c>
      <c r="AZ41" s="29">
        <v>1</v>
      </c>
      <c r="BA41" s="29">
        <v>1</v>
      </c>
      <c r="BB41" s="29">
        <v>1</v>
      </c>
      <c r="BC41" s="29">
        <v>1</v>
      </c>
      <c r="BD41" s="29">
        <v>1</v>
      </c>
      <c r="BE41" s="29">
        <v>1</v>
      </c>
      <c r="BF41" s="29">
        <v>1</v>
      </c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/>
      <c r="GE41" s="29"/>
      <c r="GF41" s="29"/>
      <c r="GG41" s="29"/>
      <c r="GH41" s="29"/>
      <c r="GI41" s="29"/>
      <c r="GJ41" s="29"/>
      <c r="GK41" s="29"/>
      <c r="GL41" s="29"/>
      <c r="GM41" s="29"/>
      <c r="GN41" s="29"/>
      <c r="GO41" s="29"/>
      <c r="GP41" s="29"/>
      <c r="GQ41" s="29"/>
      <c r="GR41" s="29"/>
      <c r="GS41" s="29"/>
      <c r="GT41" s="29"/>
      <c r="GU41" s="29"/>
      <c r="GV41" s="29"/>
      <c r="GW41" s="29"/>
      <c r="GX41" s="29"/>
      <c r="GY41" s="29"/>
      <c r="GZ41" s="29"/>
      <c r="HA41" s="29"/>
      <c r="HB41" s="29"/>
      <c r="HC41" s="29"/>
      <c r="HD41" s="29"/>
      <c r="HE41" s="29"/>
      <c r="HF41" s="29"/>
      <c r="HG41" s="29"/>
      <c r="HH41" s="29"/>
      <c r="HI41" s="29"/>
      <c r="HJ41" s="29"/>
      <c r="HK41" s="29"/>
      <c r="HL41" s="2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463"/>
      <c r="HY41" s="463"/>
      <c r="HZ41" s="463"/>
      <c r="IA41" s="463"/>
      <c r="IB41" s="463"/>
    </row>
    <row r="42" spans="1:236" s="552" customFormat="1" ht="15" customHeight="1">
      <c r="A42" s="553">
        <v>45988</v>
      </c>
      <c r="B42" s="544" t="s">
        <v>515</v>
      </c>
      <c r="C42" s="545" t="s">
        <v>546</v>
      </c>
      <c r="D42" s="546" t="s">
        <v>274</v>
      </c>
      <c r="E42" s="547" t="s">
        <v>891</v>
      </c>
      <c r="F42" s="405" t="s">
        <v>512</v>
      </c>
      <c r="G42" s="405">
        <v>0</v>
      </c>
      <c r="H42" s="405">
        <v>1</v>
      </c>
      <c r="I42" s="405"/>
      <c r="J42" s="549" t="b">
        <v>0</v>
      </c>
      <c r="K42" s="550">
        <v>2</v>
      </c>
      <c r="L42" s="405">
        <v>1</v>
      </c>
      <c r="M42" s="405">
        <v>1</v>
      </c>
      <c r="N42" s="405"/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  <c r="Z42" s="405"/>
      <c r="AA42" s="405"/>
      <c r="AB42" s="405"/>
      <c r="AC42" s="405"/>
      <c r="AD42" s="405"/>
      <c r="AE42" s="405"/>
      <c r="AF42" s="405"/>
      <c r="AG42" s="405"/>
      <c r="AH42" s="405"/>
      <c r="AI42" s="405"/>
      <c r="AJ42" s="405"/>
      <c r="AK42" s="405"/>
      <c r="AL42" s="405"/>
      <c r="AM42" s="405"/>
      <c r="AN42" s="405"/>
      <c r="AO42" s="405"/>
      <c r="AP42" s="405"/>
      <c r="AQ42" s="405"/>
      <c r="AR42" s="405"/>
      <c r="AS42" s="405"/>
      <c r="AT42" s="405"/>
      <c r="AU42" s="405"/>
      <c r="AV42" s="405"/>
      <c r="AW42" s="405"/>
      <c r="AX42" s="405"/>
      <c r="AY42" s="405"/>
      <c r="AZ42" s="405"/>
      <c r="BA42" s="405"/>
      <c r="BB42" s="405"/>
      <c r="BC42" s="405"/>
      <c r="BD42" s="405"/>
      <c r="BE42" s="405"/>
      <c r="BF42" s="405"/>
      <c r="BG42" s="405"/>
      <c r="BH42" s="405"/>
      <c r="BI42" s="405"/>
      <c r="BJ42" s="405"/>
      <c r="BK42" s="405"/>
      <c r="BL42" s="405"/>
      <c r="BM42" s="405"/>
      <c r="BN42" s="405"/>
      <c r="BO42" s="405"/>
      <c r="BP42" s="405"/>
      <c r="BQ42" s="405"/>
      <c r="BR42" s="405"/>
      <c r="BS42" s="405"/>
      <c r="BT42" s="405"/>
      <c r="BU42" s="405"/>
      <c r="BV42" s="405"/>
      <c r="BW42" s="405"/>
      <c r="BX42" s="405"/>
      <c r="BY42" s="405"/>
      <c r="BZ42" s="405"/>
      <c r="CA42" s="405"/>
      <c r="CB42" s="405"/>
      <c r="CC42" s="405"/>
      <c r="CD42" s="405"/>
      <c r="CE42" s="405"/>
      <c r="CF42" s="405"/>
      <c r="CG42" s="405"/>
      <c r="CH42" s="405"/>
      <c r="CI42" s="405"/>
      <c r="CJ42" s="405"/>
      <c r="CK42" s="405"/>
      <c r="CL42" s="405"/>
      <c r="CM42" s="405"/>
      <c r="CN42" s="405"/>
      <c r="CO42" s="405"/>
      <c r="CP42" s="405"/>
      <c r="CQ42" s="405"/>
      <c r="CR42" s="405"/>
      <c r="CS42" s="405"/>
      <c r="CT42" s="405"/>
      <c r="CU42" s="405"/>
      <c r="CV42" s="405"/>
      <c r="CW42" s="405"/>
      <c r="CX42" s="405"/>
      <c r="CY42" s="405"/>
      <c r="CZ42" s="405"/>
      <c r="DA42" s="405"/>
      <c r="DB42" s="405"/>
      <c r="DC42" s="405"/>
      <c r="DD42" s="405"/>
      <c r="DE42" s="405"/>
      <c r="DF42" s="405"/>
      <c r="DG42" s="405"/>
      <c r="DH42" s="405"/>
      <c r="DI42" s="405"/>
      <c r="DJ42" s="405"/>
      <c r="DK42" s="405"/>
      <c r="DL42" s="405"/>
      <c r="DM42" s="405"/>
      <c r="DN42" s="405"/>
      <c r="DO42" s="405"/>
      <c r="DP42" s="405"/>
      <c r="DQ42" s="405"/>
      <c r="DR42" s="405"/>
      <c r="DS42" s="405"/>
      <c r="DT42" s="405"/>
      <c r="DU42" s="405"/>
      <c r="DV42" s="405"/>
      <c r="DW42" s="405"/>
      <c r="DX42" s="405"/>
      <c r="DY42" s="405"/>
      <c r="DZ42" s="405"/>
      <c r="EA42" s="405"/>
      <c r="EB42" s="405"/>
      <c r="EC42" s="405"/>
      <c r="ED42" s="405"/>
      <c r="EE42" s="405"/>
      <c r="EF42" s="405"/>
      <c r="EG42" s="405"/>
      <c r="EH42" s="405"/>
      <c r="EI42" s="405"/>
      <c r="EJ42" s="405"/>
      <c r="EK42" s="405"/>
      <c r="EL42" s="405"/>
      <c r="EM42" s="405"/>
      <c r="EN42" s="405"/>
      <c r="EO42" s="405"/>
      <c r="EP42" s="405"/>
      <c r="EQ42" s="405"/>
      <c r="ER42" s="405"/>
      <c r="ES42" s="405"/>
      <c r="ET42" s="405"/>
      <c r="EU42" s="405"/>
      <c r="EV42" s="405"/>
      <c r="EW42" s="405"/>
      <c r="EX42" s="405"/>
      <c r="EY42" s="405"/>
      <c r="EZ42" s="405"/>
      <c r="FA42" s="405"/>
      <c r="FB42" s="405"/>
      <c r="FC42" s="405"/>
      <c r="FD42" s="405"/>
      <c r="FE42" s="405"/>
      <c r="FF42" s="405"/>
      <c r="FG42" s="405"/>
      <c r="FH42" s="405"/>
      <c r="FI42" s="405"/>
      <c r="FJ42" s="405"/>
      <c r="FK42" s="405"/>
      <c r="FL42" s="405"/>
      <c r="FM42" s="405"/>
      <c r="FN42" s="405"/>
      <c r="FO42" s="405"/>
      <c r="FP42" s="405"/>
      <c r="FQ42" s="405"/>
      <c r="FR42" s="405"/>
      <c r="FS42" s="405"/>
      <c r="FT42" s="405"/>
      <c r="FU42" s="405"/>
      <c r="FV42" s="405"/>
      <c r="FW42" s="405"/>
      <c r="FX42" s="405"/>
      <c r="FY42" s="405"/>
      <c r="FZ42" s="405"/>
      <c r="GA42" s="405"/>
      <c r="GB42" s="405"/>
      <c r="GC42" s="405"/>
      <c r="GD42" s="405"/>
      <c r="GE42" s="405"/>
      <c r="GF42" s="405"/>
      <c r="GG42" s="405"/>
      <c r="GH42" s="405"/>
      <c r="GI42" s="405"/>
      <c r="GJ42" s="405"/>
      <c r="GK42" s="405"/>
      <c r="GL42" s="405"/>
      <c r="GM42" s="405"/>
      <c r="GN42" s="405"/>
      <c r="GO42" s="405"/>
      <c r="GP42" s="405"/>
      <c r="GQ42" s="405"/>
      <c r="GR42" s="405"/>
      <c r="GS42" s="405"/>
      <c r="GT42" s="405"/>
      <c r="GU42" s="405"/>
      <c r="GV42" s="405"/>
      <c r="GW42" s="405"/>
      <c r="GX42" s="405"/>
      <c r="GY42" s="405"/>
      <c r="GZ42" s="405"/>
      <c r="HA42" s="405"/>
      <c r="HB42" s="405"/>
      <c r="HC42" s="405"/>
      <c r="HD42" s="405"/>
      <c r="HE42" s="405"/>
      <c r="HF42" s="405"/>
      <c r="HG42" s="405"/>
      <c r="HH42" s="405"/>
      <c r="HI42" s="405"/>
      <c r="HJ42" s="405"/>
      <c r="HK42" s="405"/>
      <c r="HL42" s="405"/>
      <c r="HM42" s="405"/>
      <c r="HN42" s="405"/>
      <c r="HO42" s="405"/>
      <c r="HP42" s="405"/>
      <c r="HQ42" s="405"/>
      <c r="HR42" s="405"/>
      <c r="HS42" s="405"/>
      <c r="HT42" s="405"/>
      <c r="HU42" s="405"/>
      <c r="HV42" s="405"/>
      <c r="HW42" s="405"/>
      <c r="HX42" s="551"/>
      <c r="HY42" s="551"/>
      <c r="HZ42" s="551"/>
      <c r="IA42" s="551"/>
      <c r="IB42" s="551"/>
    </row>
    <row r="43" spans="1:236" s="552" customFormat="1" ht="15" customHeight="1">
      <c r="A43" s="553">
        <v>45988</v>
      </c>
      <c r="B43" s="544" t="s">
        <v>515</v>
      </c>
      <c r="C43" s="545" t="s">
        <v>546</v>
      </c>
      <c r="D43" s="546" t="s">
        <v>274</v>
      </c>
      <c r="E43" s="547" t="s">
        <v>892</v>
      </c>
      <c r="F43" s="405" t="s">
        <v>512</v>
      </c>
      <c r="G43" s="405">
        <v>0</v>
      </c>
      <c r="H43" s="405">
        <v>1</v>
      </c>
      <c r="I43" s="405"/>
      <c r="J43" s="549" t="b">
        <v>0</v>
      </c>
      <c r="K43" s="550">
        <v>2</v>
      </c>
      <c r="L43" s="405">
        <v>1</v>
      </c>
      <c r="M43" s="405">
        <v>1</v>
      </c>
      <c r="N43" s="405"/>
      <c r="O43" s="405"/>
      <c r="P43" s="405"/>
      <c r="Q43" s="405"/>
      <c r="R43" s="405"/>
      <c r="S43" s="405"/>
      <c r="T43" s="405"/>
      <c r="U43" s="405"/>
      <c r="V43" s="405"/>
      <c r="W43" s="405"/>
      <c r="X43" s="405"/>
      <c r="Y43" s="405"/>
      <c r="Z43" s="405"/>
      <c r="AA43" s="405"/>
      <c r="AB43" s="405"/>
      <c r="AC43" s="405"/>
      <c r="AD43" s="405"/>
      <c r="AE43" s="405"/>
      <c r="AF43" s="405"/>
      <c r="AG43" s="405"/>
      <c r="AH43" s="405"/>
      <c r="AI43" s="405"/>
      <c r="AJ43" s="405"/>
      <c r="AK43" s="405"/>
      <c r="AL43" s="405"/>
      <c r="AM43" s="405"/>
      <c r="AN43" s="405"/>
      <c r="AO43" s="405"/>
      <c r="AP43" s="405"/>
      <c r="AQ43" s="405"/>
      <c r="AR43" s="405"/>
      <c r="AS43" s="405"/>
      <c r="AT43" s="405"/>
      <c r="AU43" s="405"/>
      <c r="AV43" s="405"/>
      <c r="AW43" s="405"/>
      <c r="AX43" s="405"/>
      <c r="AY43" s="405"/>
      <c r="AZ43" s="405"/>
      <c r="BA43" s="405"/>
      <c r="BB43" s="405"/>
      <c r="BC43" s="405"/>
      <c r="BD43" s="405"/>
      <c r="BE43" s="405"/>
      <c r="BF43" s="405"/>
      <c r="BG43" s="405"/>
      <c r="BH43" s="405"/>
      <c r="BI43" s="405"/>
      <c r="BJ43" s="405"/>
      <c r="BK43" s="405"/>
      <c r="BL43" s="405"/>
      <c r="BM43" s="405"/>
      <c r="BN43" s="405"/>
      <c r="BO43" s="405"/>
      <c r="BP43" s="405"/>
      <c r="BQ43" s="405"/>
      <c r="BR43" s="405"/>
      <c r="BS43" s="405"/>
      <c r="BT43" s="405"/>
      <c r="BU43" s="405"/>
      <c r="BV43" s="405"/>
      <c r="BW43" s="405"/>
      <c r="BX43" s="405"/>
      <c r="BY43" s="405"/>
      <c r="BZ43" s="405"/>
      <c r="CA43" s="405"/>
      <c r="CB43" s="405"/>
      <c r="CC43" s="405"/>
      <c r="CD43" s="405"/>
      <c r="CE43" s="405"/>
      <c r="CF43" s="405"/>
      <c r="CG43" s="405"/>
      <c r="CH43" s="405"/>
      <c r="CI43" s="405"/>
      <c r="CJ43" s="405"/>
      <c r="CK43" s="405"/>
      <c r="CL43" s="405"/>
      <c r="CM43" s="405"/>
      <c r="CN43" s="405"/>
      <c r="CO43" s="405"/>
      <c r="CP43" s="405"/>
      <c r="CQ43" s="405"/>
      <c r="CR43" s="405"/>
      <c r="CS43" s="405"/>
      <c r="CT43" s="405"/>
      <c r="CU43" s="405"/>
      <c r="CV43" s="405"/>
      <c r="CW43" s="405"/>
      <c r="CX43" s="405"/>
      <c r="CY43" s="405"/>
      <c r="CZ43" s="405"/>
      <c r="DA43" s="405"/>
      <c r="DB43" s="405"/>
      <c r="DC43" s="405"/>
      <c r="DD43" s="405"/>
      <c r="DE43" s="405"/>
      <c r="DF43" s="405"/>
      <c r="DG43" s="405"/>
      <c r="DH43" s="405"/>
      <c r="DI43" s="405"/>
      <c r="DJ43" s="405"/>
      <c r="DK43" s="405"/>
      <c r="DL43" s="405"/>
      <c r="DM43" s="405"/>
      <c r="DN43" s="405"/>
      <c r="DO43" s="405"/>
      <c r="DP43" s="405"/>
      <c r="DQ43" s="405"/>
      <c r="DR43" s="405"/>
      <c r="DS43" s="405"/>
      <c r="DT43" s="405"/>
      <c r="DU43" s="405"/>
      <c r="DV43" s="405"/>
      <c r="DW43" s="405"/>
      <c r="DX43" s="405"/>
      <c r="DY43" s="405"/>
      <c r="DZ43" s="405"/>
      <c r="EA43" s="405"/>
      <c r="EB43" s="405"/>
      <c r="EC43" s="405"/>
      <c r="ED43" s="405"/>
      <c r="EE43" s="405"/>
      <c r="EF43" s="405"/>
      <c r="EG43" s="405"/>
      <c r="EH43" s="405"/>
      <c r="EI43" s="405"/>
      <c r="EJ43" s="405"/>
      <c r="EK43" s="405"/>
      <c r="EL43" s="405"/>
      <c r="EM43" s="405"/>
      <c r="EN43" s="405"/>
      <c r="EO43" s="405"/>
      <c r="EP43" s="405"/>
      <c r="EQ43" s="405"/>
      <c r="ER43" s="405"/>
      <c r="ES43" s="405"/>
      <c r="ET43" s="405"/>
      <c r="EU43" s="405"/>
      <c r="EV43" s="405"/>
      <c r="EW43" s="405"/>
      <c r="EX43" s="405"/>
      <c r="EY43" s="405"/>
      <c r="EZ43" s="405"/>
      <c r="FA43" s="405"/>
      <c r="FB43" s="405"/>
      <c r="FC43" s="405"/>
      <c r="FD43" s="405"/>
      <c r="FE43" s="405"/>
      <c r="FF43" s="405"/>
      <c r="FG43" s="405"/>
      <c r="FH43" s="405"/>
      <c r="FI43" s="405"/>
      <c r="FJ43" s="405"/>
      <c r="FK43" s="405"/>
      <c r="FL43" s="405"/>
      <c r="FM43" s="405"/>
      <c r="FN43" s="405"/>
      <c r="FO43" s="405"/>
      <c r="FP43" s="405"/>
      <c r="FQ43" s="405"/>
      <c r="FR43" s="405"/>
      <c r="FS43" s="405"/>
      <c r="FT43" s="405"/>
      <c r="FU43" s="405"/>
      <c r="FV43" s="405"/>
      <c r="FW43" s="405"/>
      <c r="FX43" s="405"/>
      <c r="FY43" s="405"/>
      <c r="FZ43" s="405"/>
      <c r="GA43" s="405"/>
      <c r="GB43" s="405"/>
      <c r="GC43" s="405"/>
      <c r="GD43" s="405"/>
      <c r="GE43" s="405"/>
      <c r="GF43" s="405"/>
      <c r="GG43" s="405"/>
      <c r="GH43" s="405"/>
      <c r="GI43" s="405"/>
      <c r="GJ43" s="405"/>
      <c r="GK43" s="405"/>
      <c r="GL43" s="405"/>
      <c r="GM43" s="405"/>
      <c r="GN43" s="405"/>
      <c r="GO43" s="405"/>
      <c r="GP43" s="405"/>
      <c r="GQ43" s="405"/>
      <c r="GR43" s="405"/>
      <c r="GS43" s="405"/>
      <c r="GT43" s="405"/>
      <c r="GU43" s="405"/>
      <c r="GV43" s="405"/>
      <c r="GW43" s="405"/>
      <c r="GX43" s="405"/>
      <c r="GY43" s="405"/>
      <c r="GZ43" s="405"/>
      <c r="HA43" s="405"/>
      <c r="HB43" s="405"/>
      <c r="HC43" s="405"/>
      <c r="HD43" s="405"/>
      <c r="HE43" s="405"/>
      <c r="HF43" s="405"/>
      <c r="HG43" s="405"/>
      <c r="HH43" s="405"/>
      <c r="HI43" s="405"/>
      <c r="HJ43" s="405"/>
      <c r="HK43" s="405"/>
      <c r="HL43" s="405"/>
      <c r="HM43" s="405"/>
      <c r="HN43" s="405"/>
      <c r="HO43" s="405"/>
      <c r="HP43" s="405"/>
      <c r="HQ43" s="405"/>
      <c r="HR43" s="405"/>
      <c r="HS43" s="405"/>
      <c r="HT43" s="405"/>
      <c r="HU43" s="405"/>
      <c r="HV43" s="405"/>
      <c r="HW43" s="405"/>
      <c r="HX43" s="551"/>
      <c r="HY43" s="551"/>
      <c r="HZ43" s="551"/>
      <c r="IA43" s="551"/>
      <c r="IB43" s="551"/>
    </row>
    <row r="44" spans="1:236" s="552" customFormat="1" ht="15" customHeight="1">
      <c r="A44" s="553">
        <v>45988</v>
      </c>
      <c r="B44" s="544" t="s">
        <v>515</v>
      </c>
      <c r="C44" s="545" t="s">
        <v>546</v>
      </c>
      <c r="D44" s="546" t="s">
        <v>274</v>
      </c>
      <c r="E44" s="547" t="s">
        <v>893</v>
      </c>
      <c r="F44" s="405" t="s">
        <v>512</v>
      </c>
      <c r="G44" s="405">
        <v>0</v>
      </c>
      <c r="H44" s="405">
        <v>1</v>
      </c>
      <c r="I44" s="405"/>
      <c r="J44" s="549" t="b">
        <v>0</v>
      </c>
      <c r="K44" s="550">
        <v>2</v>
      </c>
      <c r="L44" s="405">
        <v>1</v>
      </c>
      <c r="M44" s="405">
        <v>1</v>
      </c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5"/>
      <c r="Z44" s="405"/>
      <c r="AA44" s="405"/>
      <c r="AB44" s="405"/>
      <c r="AC44" s="405"/>
      <c r="AD44" s="405"/>
      <c r="AE44" s="405"/>
      <c r="AF44" s="405"/>
      <c r="AG44" s="405"/>
      <c r="AH44" s="405"/>
      <c r="AI44" s="405"/>
      <c r="AJ44" s="405"/>
      <c r="AK44" s="405"/>
      <c r="AL44" s="405"/>
      <c r="AM44" s="405"/>
      <c r="AN44" s="405"/>
      <c r="AO44" s="405"/>
      <c r="AP44" s="405"/>
      <c r="AQ44" s="405"/>
      <c r="AR44" s="405"/>
      <c r="AS44" s="405"/>
      <c r="AT44" s="405"/>
      <c r="AU44" s="405"/>
      <c r="AV44" s="405"/>
      <c r="AW44" s="405"/>
      <c r="AX44" s="405"/>
      <c r="AY44" s="405"/>
      <c r="AZ44" s="405"/>
      <c r="BA44" s="405"/>
      <c r="BB44" s="405"/>
      <c r="BC44" s="405"/>
      <c r="BD44" s="405"/>
      <c r="BE44" s="405"/>
      <c r="BF44" s="405"/>
      <c r="BG44" s="405"/>
      <c r="BH44" s="405"/>
      <c r="BI44" s="405"/>
      <c r="BJ44" s="405"/>
      <c r="BK44" s="405"/>
      <c r="BL44" s="405"/>
      <c r="BM44" s="405"/>
      <c r="BN44" s="405"/>
      <c r="BO44" s="405"/>
      <c r="BP44" s="405"/>
      <c r="BQ44" s="405"/>
      <c r="BR44" s="405"/>
      <c r="BS44" s="405"/>
      <c r="BT44" s="405"/>
      <c r="BU44" s="405"/>
      <c r="BV44" s="405"/>
      <c r="BW44" s="405"/>
      <c r="BX44" s="405"/>
      <c r="BY44" s="405"/>
      <c r="BZ44" s="405"/>
      <c r="CA44" s="405"/>
      <c r="CB44" s="405"/>
      <c r="CC44" s="405"/>
      <c r="CD44" s="405"/>
      <c r="CE44" s="405"/>
      <c r="CF44" s="405"/>
      <c r="CG44" s="405"/>
      <c r="CH44" s="405"/>
      <c r="CI44" s="405"/>
      <c r="CJ44" s="405"/>
      <c r="CK44" s="405"/>
      <c r="CL44" s="405"/>
      <c r="CM44" s="405"/>
      <c r="CN44" s="405"/>
      <c r="CO44" s="405"/>
      <c r="CP44" s="405"/>
      <c r="CQ44" s="405"/>
      <c r="CR44" s="405"/>
      <c r="CS44" s="405"/>
      <c r="CT44" s="405"/>
      <c r="CU44" s="405"/>
      <c r="CV44" s="405"/>
      <c r="CW44" s="405"/>
      <c r="CX44" s="405"/>
      <c r="CY44" s="405"/>
      <c r="CZ44" s="405"/>
      <c r="DA44" s="405"/>
      <c r="DB44" s="405"/>
      <c r="DC44" s="405"/>
      <c r="DD44" s="405"/>
      <c r="DE44" s="405"/>
      <c r="DF44" s="405"/>
      <c r="DG44" s="405"/>
      <c r="DH44" s="405"/>
      <c r="DI44" s="405"/>
      <c r="DJ44" s="405"/>
      <c r="DK44" s="405"/>
      <c r="DL44" s="405"/>
      <c r="DM44" s="405"/>
      <c r="DN44" s="405"/>
      <c r="DO44" s="405"/>
      <c r="DP44" s="405"/>
      <c r="DQ44" s="405"/>
      <c r="DR44" s="405"/>
      <c r="DS44" s="405"/>
      <c r="DT44" s="405"/>
      <c r="DU44" s="405"/>
      <c r="DV44" s="405"/>
      <c r="DW44" s="405"/>
      <c r="DX44" s="405"/>
      <c r="DY44" s="405"/>
      <c r="DZ44" s="405"/>
      <c r="EA44" s="405"/>
      <c r="EB44" s="405"/>
      <c r="EC44" s="405"/>
      <c r="ED44" s="405"/>
      <c r="EE44" s="405"/>
      <c r="EF44" s="405"/>
      <c r="EG44" s="405"/>
      <c r="EH44" s="405"/>
      <c r="EI44" s="405"/>
      <c r="EJ44" s="405"/>
      <c r="EK44" s="405"/>
      <c r="EL44" s="405"/>
      <c r="EM44" s="405"/>
      <c r="EN44" s="405"/>
      <c r="EO44" s="405"/>
      <c r="EP44" s="405"/>
      <c r="EQ44" s="405"/>
      <c r="ER44" s="405"/>
      <c r="ES44" s="405"/>
      <c r="ET44" s="405"/>
      <c r="EU44" s="405"/>
      <c r="EV44" s="405"/>
      <c r="EW44" s="405"/>
      <c r="EX44" s="405"/>
      <c r="EY44" s="405"/>
      <c r="EZ44" s="405"/>
      <c r="FA44" s="405"/>
      <c r="FB44" s="405"/>
      <c r="FC44" s="405"/>
      <c r="FD44" s="405"/>
      <c r="FE44" s="405"/>
      <c r="FF44" s="405"/>
      <c r="FG44" s="405"/>
      <c r="FH44" s="405"/>
      <c r="FI44" s="405"/>
      <c r="FJ44" s="405"/>
      <c r="FK44" s="405"/>
      <c r="FL44" s="405"/>
      <c r="FM44" s="405"/>
      <c r="FN44" s="405"/>
      <c r="FO44" s="405"/>
      <c r="FP44" s="405"/>
      <c r="FQ44" s="405"/>
      <c r="FR44" s="405"/>
      <c r="FS44" s="405"/>
      <c r="FT44" s="405"/>
      <c r="FU44" s="405"/>
      <c r="FV44" s="405"/>
      <c r="FW44" s="405"/>
      <c r="FX44" s="405"/>
      <c r="FY44" s="405"/>
      <c r="FZ44" s="405"/>
      <c r="GA44" s="405"/>
      <c r="GB44" s="405"/>
      <c r="GC44" s="405"/>
      <c r="GD44" s="405"/>
      <c r="GE44" s="405"/>
      <c r="GF44" s="405"/>
      <c r="GG44" s="405"/>
      <c r="GH44" s="405"/>
      <c r="GI44" s="405"/>
      <c r="GJ44" s="405"/>
      <c r="GK44" s="405"/>
      <c r="GL44" s="405"/>
      <c r="GM44" s="405"/>
      <c r="GN44" s="405"/>
      <c r="GO44" s="405"/>
      <c r="GP44" s="405"/>
      <c r="GQ44" s="405"/>
      <c r="GR44" s="405"/>
      <c r="GS44" s="405"/>
      <c r="GT44" s="405"/>
      <c r="GU44" s="405"/>
      <c r="GV44" s="405"/>
      <c r="GW44" s="405"/>
      <c r="GX44" s="405"/>
      <c r="GY44" s="405"/>
      <c r="GZ44" s="405"/>
      <c r="HA44" s="405"/>
      <c r="HB44" s="405"/>
      <c r="HC44" s="405"/>
      <c r="HD44" s="405"/>
      <c r="HE44" s="405"/>
      <c r="HF44" s="405"/>
      <c r="HG44" s="405"/>
      <c r="HH44" s="405"/>
      <c r="HI44" s="405"/>
      <c r="HJ44" s="405"/>
      <c r="HK44" s="405"/>
      <c r="HL44" s="405"/>
      <c r="HM44" s="405"/>
      <c r="HN44" s="405"/>
      <c r="HO44" s="405"/>
      <c r="HP44" s="405"/>
      <c r="HQ44" s="405"/>
      <c r="HR44" s="405"/>
      <c r="HS44" s="405"/>
      <c r="HT44" s="405"/>
      <c r="HU44" s="405"/>
      <c r="HV44" s="405"/>
      <c r="HW44" s="405"/>
      <c r="HX44" s="551"/>
      <c r="HY44" s="551"/>
      <c r="HZ44" s="551"/>
      <c r="IA44" s="551"/>
      <c r="IB44" s="551"/>
    </row>
    <row r="45" spans="1:236" s="552" customFormat="1" ht="15" customHeight="1">
      <c r="A45" s="553">
        <v>45988</v>
      </c>
      <c r="B45" s="544" t="s">
        <v>515</v>
      </c>
      <c r="C45" s="545" t="s">
        <v>546</v>
      </c>
      <c r="D45" s="546" t="s">
        <v>274</v>
      </c>
      <c r="E45" s="547" t="s">
        <v>894</v>
      </c>
      <c r="F45" s="405" t="s">
        <v>512</v>
      </c>
      <c r="G45" s="405">
        <v>0</v>
      </c>
      <c r="H45" s="405">
        <v>1</v>
      </c>
      <c r="I45" s="405"/>
      <c r="J45" s="549" t="b">
        <v>0</v>
      </c>
      <c r="K45" s="550">
        <v>2</v>
      </c>
      <c r="L45" s="405">
        <v>1</v>
      </c>
      <c r="M45" s="405">
        <v>1</v>
      </c>
      <c r="N45" s="405"/>
      <c r="O45" s="405"/>
      <c r="P45" s="405"/>
      <c r="Q45" s="405"/>
      <c r="R45" s="405"/>
      <c r="S45" s="405"/>
      <c r="T45" s="405"/>
      <c r="U45" s="405"/>
      <c r="V45" s="405"/>
      <c r="W45" s="405"/>
      <c r="X45" s="405"/>
      <c r="Y45" s="405"/>
      <c r="Z45" s="405"/>
      <c r="AA45" s="405"/>
      <c r="AB45" s="405"/>
      <c r="AC45" s="405"/>
      <c r="AD45" s="405"/>
      <c r="AE45" s="405"/>
      <c r="AF45" s="405"/>
      <c r="AG45" s="405"/>
      <c r="AH45" s="405"/>
      <c r="AI45" s="405"/>
      <c r="AJ45" s="405"/>
      <c r="AK45" s="405"/>
      <c r="AL45" s="405"/>
      <c r="AM45" s="405"/>
      <c r="AN45" s="405"/>
      <c r="AO45" s="405"/>
      <c r="AP45" s="405"/>
      <c r="AQ45" s="405"/>
      <c r="AR45" s="405"/>
      <c r="AS45" s="405"/>
      <c r="AT45" s="405"/>
      <c r="AU45" s="405"/>
      <c r="AV45" s="405"/>
      <c r="AW45" s="405"/>
      <c r="AX45" s="405"/>
      <c r="AY45" s="405"/>
      <c r="AZ45" s="405"/>
      <c r="BA45" s="405"/>
      <c r="BB45" s="405"/>
      <c r="BC45" s="405"/>
      <c r="BD45" s="405"/>
      <c r="BE45" s="405"/>
      <c r="BF45" s="405"/>
      <c r="BG45" s="405"/>
      <c r="BH45" s="405"/>
      <c r="BI45" s="405"/>
      <c r="BJ45" s="405"/>
      <c r="BK45" s="405"/>
      <c r="BL45" s="405"/>
      <c r="BM45" s="405"/>
      <c r="BN45" s="405"/>
      <c r="BO45" s="405"/>
      <c r="BP45" s="405"/>
      <c r="BQ45" s="405"/>
      <c r="BR45" s="405"/>
      <c r="BS45" s="405"/>
      <c r="BT45" s="405"/>
      <c r="BU45" s="405"/>
      <c r="BV45" s="405"/>
      <c r="BW45" s="405"/>
      <c r="BX45" s="405"/>
      <c r="BY45" s="405"/>
      <c r="BZ45" s="405"/>
      <c r="CA45" s="405"/>
      <c r="CB45" s="405"/>
      <c r="CC45" s="405"/>
      <c r="CD45" s="405"/>
      <c r="CE45" s="405"/>
      <c r="CF45" s="405"/>
      <c r="CG45" s="405"/>
      <c r="CH45" s="405"/>
      <c r="CI45" s="405"/>
      <c r="CJ45" s="405"/>
      <c r="CK45" s="405"/>
      <c r="CL45" s="405"/>
      <c r="CM45" s="405"/>
      <c r="CN45" s="405"/>
      <c r="CO45" s="405"/>
      <c r="CP45" s="405"/>
      <c r="CQ45" s="405"/>
      <c r="CR45" s="405"/>
      <c r="CS45" s="405"/>
      <c r="CT45" s="405"/>
      <c r="CU45" s="405"/>
      <c r="CV45" s="405"/>
      <c r="CW45" s="405"/>
      <c r="CX45" s="405"/>
      <c r="CY45" s="405"/>
      <c r="CZ45" s="405"/>
      <c r="DA45" s="405"/>
      <c r="DB45" s="405"/>
      <c r="DC45" s="405"/>
      <c r="DD45" s="405"/>
      <c r="DE45" s="405"/>
      <c r="DF45" s="405"/>
      <c r="DG45" s="405"/>
      <c r="DH45" s="405"/>
      <c r="DI45" s="405"/>
      <c r="DJ45" s="405"/>
      <c r="DK45" s="405"/>
      <c r="DL45" s="405"/>
      <c r="DM45" s="405"/>
      <c r="DN45" s="405"/>
      <c r="DO45" s="405"/>
      <c r="DP45" s="405"/>
      <c r="DQ45" s="405"/>
      <c r="DR45" s="405"/>
      <c r="DS45" s="405"/>
      <c r="DT45" s="405"/>
      <c r="DU45" s="405"/>
      <c r="DV45" s="405"/>
      <c r="DW45" s="405"/>
      <c r="DX45" s="405"/>
      <c r="DY45" s="405"/>
      <c r="DZ45" s="405"/>
      <c r="EA45" s="405"/>
      <c r="EB45" s="405"/>
      <c r="EC45" s="405"/>
      <c r="ED45" s="405"/>
      <c r="EE45" s="405"/>
      <c r="EF45" s="405"/>
      <c r="EG45" s="405"/>
      <c r="EH45" s="405"/>
      <c r="EI45" s="405"/>
      <c r="EJ45" s="405"/>
      <c r="EK45" s="405"/>
      <c r="EL45" s="405"/>
      <c r="EM45" s="405"/>
      <c r="EN45" s="405"/>
      <c r="EO45" s="405"/>
      <c r="EP45" s="405"/>
      <c r="EQ45" s="405"/>
      <c r="ER45" s="405"/>
      <c r="ES45" s="405"/>
      <c r="ET45" s="405"/>
      <c r="EU45" s="405"/>
      <c r="EV45" s="405"/>
      <c r="EW45" s="405"/>
      <c r="EX45" s="405"/>
      <c r="EY45" s="405"/>
      <c r="EZ45" s="405"/>
      <c r="FA45" s="405"/>
      <c r="FB45" s="405"/>
      <c r="FC45" s="405"/>
      <c r="FD45" s="405"/>
      <c r="FE45" s="405"/>
      <c r="FF45" s="405"/>
      <c r="FG45" s="405"/>
      <c r="FH45" s="405"/>
      <c r="FI45" s="405"/>
      <c r="FJ45" s="405"/>
      <c r="FK45" s="405"/>
      <c r="FL45" s="405"/>
      <c r="FM45" s="405"/>
      <c r="FN45" s="405"/>
      <c r="FO45" s="405"/>
      <c r="FP45" s="405"/>
      <c r="FQ45" s="405"/>
      <c r="FR45" s="405"/>
      <c r="FS45" s="405"/>
      <c r="FT45" s="405"/>
      <c r="FU45" s="405"/>
      <c r="FV45" s="405"/>
      <c r="FW45" s="405"/>
      <c r="FX45" s="405"/>
      <c r="FY45" s="405"/>
      <c r="FZ45" s="405"/>
      <c r="GA45" s="405"/>
      <c r="GB45" s="405"/>
      <c r="GC45" s="405"/>
      <c r="GD45" s="405"/>
      <c r="GE45" s="405"/>
      <c r="GF45" s="405"/>
      <c r="GG45" s="405"/>
      <c r="GH45" s="405"/>
      <c r="GI45" s="405"/>
      <c r="GJ45" s="405"/>
      <c r="GK45" s="405"/>
      <c r="GL45" s="405"/>
      <c r="GM45" s="405"/>
      <c r="GN45" s="405"/>
      <c r="GO45" s="405"/>
      <c r="GP45" s="405"/>
      <c r="GQ45" s="405"/>
      <c r="GR45" s="405"/>
      <c r="GS45" s="405"/>
      <c r="GT45" s="405"/>
      <c r="GU45" s="405"/>
      <c r="GV45" s="405"/>
      <c r="GW45" s="405"/>
      <c r="GX45" s="405"/>
      <c r="GY45" s="405"/>
      <c r="GZ45" s="405"/>
      <c r="HA45" s="405"/>
      <c r="HB45" s="405"/>
      <c r="HC45" s="405"/>
      <c r="HD45" s="405"/>
      <c r="HE45" s="405"/>
      <c r="HF45" s="405"/>
      <c r="HG45" s="405"/>
      <c r="HH45" s="405"/>
      <c r="HI45" s="405"/>
      <c r="HJ45" s="405"/>
      <c r="HK45" s="405"/>
      <c r="HL45" s="405"/>
      <c r="HM45" s="405"/>
      <c r="HN45" s="405"/>
      <c r="HO45" s="405"/>
      <c r="HP45" s="405"/>
      <c r="HQ45" s="405"/>
      <c r="HR45" s="405"/>
      <c r="HS45" s="405"/>
      <c r="HT45" s="405"/>
      <c r="HU45" s="405"/>
      <c r="HV45" s="405"/>
      <c r="HW45" s="405"/>
      <c r="HX45" s="551"/>
      <c r="HY45" s="551"/>
      <c r="HZ45" s="551"/>
      <c r="IA45" s="551"/>
      <c r="IB45" s="551"/>
    </row>
    <row r="46" spans="1:236" ht="15" customHeight="1">
      <c r="A46" s="286">
        <v>45988</v>
      </c>
      <c r="B46" s="462" t="s">
        <v>515</v>
      </c>
      <c r="C46" s="284" t="s">
        <v>546</v>
      </c>
      <c r="D46" s="413" t="s">
        <v>274</v>
      </c>
      <c r="E46" s="469" t="s">
        <v>692</v>
      </c>
      <c r="F46" s="29" t="s">
        <v>398</v>
      </c>
      <c r="G46" s="29">
        <v>1</v>
      </c>
      <c r="H46" s="29">
        <v>0</v>
      </c>
      <c r="I46" s="470" t="s">
        <v>696</v>
      </c>
      <c r="J46" s="473" t="b">
        <v>0</v>
      </c>
      <c r="K46" s="224">
        <f>SUM(L46:GI46)</f>
        <v>139</v>
      </c>
      <c r="L46" s="29">
        <v>1</v>
      </c>
      <c r="M46" s="29">
        <v>1</v>
      </c>
      <c r="N46" s="29">
        <v>1</v>
      </c>
      <c r="O46" s="29">
        <v>1</v>
      </c>
      <c r="P46" s="29">
        <v>1</v>
      </c>
      <c r="Q46" s="29">
        <v>1</v>
      </c>
      <c r="R46" s="29">
        <v>1</v>
      </c>
      <c r="S46" s="29">
        <v>1</v>
      </c>
      <c r="T46" s="29">
        <v>1</v>
      </c>
      <c r="U46" s="29">
        <v>1</v>
      </c>
      <c r="V46" s="29">
        <v>1</v>
      </c>
      <c r="W46" s="29">
        <v>1</v>
      </c>
      <c r="X46" s="29">
        <v>1</v>
      </c>
      <c r="Y46" s="29">
        <v>1</v>
      </c>
      <c r="Z46" s="29">
        <v>1</v>
      </c>
      <c r="AA46" s="29">
        <v>1</v>
      </c>
      <c r="AB46" s="29">
        <v>1</v>
      </c>
      <c r="AC46" s="29">
        <v>1</v>
      </c>
      <c r="AD46" s="29">
        <v>1</v>
      </c>
      <c r="AE46" s="29">
        <v>1</v>
      </c>
      <c r="AF46" s="29">
        <v>1</v>
      </c>
      <c r="AG46" s="29">
        <v>1</v>
      </c>
      <c r="AH46" s="29">
        <v>1</v>
      </c>
      <c r="AI46" s="29">
        <v>1</v>
      </c>
      <c r="AJ46" s="29">
        <v>1</v>
      </c>
      <c r="AK46" s="29">
        <v>1</v>
      </c>
      <c r="AL46" s="29">
        <v>1</v>
      </c>
      <c r="AM46" s="29">
        <v>1</v>
      </c>
      <c r="AN46" s="29">
        <v>1</v>
      </c>
      <c r="AO46" s="29">
        <v>1</v>
      </c>
      <c r="AP46" s="29">
        <v>1</v>
      </c>
      <c r="AQ46" s="29">
        <v>1</v>
      </c>
      <c r="AR46" s="29">
        <v>1</v>
      </c>
      <c r="AS46" s="29">
        <v>1</v>
      </c>
      <c r="AT46" s="29">
        <v>1</v>
      </c>
      <c r="AU46" s="29">
        <v>1</v>
      </c>
      <c r="AV46" s="29">
        <v>1</v>
      </c>
      <c r="AW46" s="29">
        <v>1</v>
      </c>
      <c r="AX46" s="29">
        <v>1</v>
      </c>
      <c r="AY46" s="29">
        <v>1</v>
      </c>
      <c r="AZ46" s="29">
        <v>1</v>
      </c>
      <c r="BA46" s="29">
        <v>1</v>
      </c>
      <c r="BB46" s="29">
        <v>1</v>
      </c>
      <c r="BC46" s="29">
        <v>1</v>
      </c>
      <c r="BD46" s="29">
        <v>1</v>
      </c>
      <c r="BE46" s="29">
        <v>1</v>
      </c>
      <c r="BF46" s="29">
        <v>1</v>
      </c>
      <c r="BG46" s="29">
        <v>1</v>
      </c>
      <c r="BH46" s="29">
        <v>1</v>
      </c>
      <c r="BI46" s="29">
        <v>1</v>
      </c>
      <c r="BJ46" s="29">
        <v>1</v>
      </c>
      <c r="BK46" s="29">
        <v>1</v>
      </c>
      <c r="BL46" s="29">
        <v>1</v>
      </c>
      <c r="BM46" s="29">
        <v>1</v>
      </c>
      <c r="BN46" s="29">
        <v>1</v>
      </c>
      <c r="BO46" s="29">
        <v>1</v>
      </c>
      <c r="BP46" s="29">
        <v>1</v>
      </c>
      <c r="BQ46" s="29">
        <v>1</v>
      </c>
      <c r="BR46" s="29">
        <v>1</v>
      </c>
      <c r="BS46" s="29">
        <v>1</v>
      </c>
      <c r="BT46" s="29">
        <v>1</v>
      </c>
      <c r="BU46" s="29">
        <v>1</v>
      </c>
      <c r="BV46" s="29">
        <v>1</v>
      </c>
      <c r="BW46" s="29">
        <v>1</v>
      </c>
      <c r="BX46" s="29">
        <v>1</v>
      </c>
      <c r="BY46" s="29">
        <v>1</v>
      </c>
      <c r="BZ46" s="29">
        <v>1</v>
      </c>
      <c r="CA46" s="29">
        <v>1</v>
      </c>
      <c r="CB46" s="29">
        <v>1</v>
      </c>
      <c r="CC46" s="29">
        <v>1</v>
      </c>
      <c r="CD46" s="29">
        <v>1</v>
      </c>
      <c r="CE46" s="29">
        <v>1</v>
      </c>
      <c r="CF46" s="29">
        <v>1</v>
      </c>
      <c r="CG46" s="29">
        <v>1</v>
      </c>
      <c r="CH46" s="29">
        <v>1</v>
      </c>
      <c r="CI46" s="29">
        <v>1</v>
      </c>
      <c r="CJ46" s="29">
        <v>1</v>
      </c>
      <c r="CK46" s="29">
        <v>1</v>
      </c>
      <c r="CL46" s="29">
        <v>1</v>
      </c>
      <c r="CM46" s="29">
        <v>1</v>
      </c>
      <c r="CN46" s="29">
        <v>1</v>
      </c>
      <c r="CO46" s="29">
        <v>1</v>
      </c>
      <c r="CP46" s="29">
        <v>1</v>
      </c>
      <c r="CQ46" s="29">
        <v>1</v>
      </c>
      <c r="CR46" s="29">
        <v>1</v>
      </c>
      <c r="CS46" s="29">
        <v>1</v>
      </c>
      <c r="CT46" s="29">
        <v>1</v>
      </c>
      <c r="CU46" s="29">
        <v>1</v>
      </c>
      <c r="CV46" s="29">
        <v>1</v>
      </c>
      <c r="CW46" s="29">
        <v>1</v>
      </c>
      <c r="CX46" s="29">
        <v>1</v>
      </c>
      <c r="CY46" s="29">
        <v>1</v>
      </c>
      <c r="CZ46" s="29">
        <v>1</v>
      </c>
      <c r="DA46" s="29">
        <v>1</v>
      </c>
      <c r="DB46" s="29">
        <v>1</v>
      </c>
      <c r="DC46" s="29">
        <v>1</v>
      </c>
      <c r="DD46" s="29">
        <v>1</v>
      </c>
      <c r="DE46" s="29">
        <v>1</v>
      </c>
      <c r="DF46" s="29">
        <v>1</v>
      </c>
      <c r="DG46" s="29">
        <v>1</v>
      </c>
      <c r="DH46" s="29">
        <v>1</v>
      </c>
      <c r="DI46" s="29">
        <v>1</v>
      </c>
      <c r="DJ46" s="29">
        <v>1</v>
      </c>
      <c r="DK46" s="29">
        <v>1</v>
      </c>
      <c r="DL46" s="29">
        <v>1</v>
      </c>
      <c r="DM46" s="29">
        <v>1</v>
      </c>
      <c r="DN46" s="29">
        <v>1</v>
      </c>
      <c r="DO46" s="29">
        <v>1</v>
      </c>
      <c r="DP46" s="29">
        <v>1</v>
      </c>
      <c r="DQ46" s="29">
        <v>1</v>
      </c>
      <c r="DR46" s="29">
        <v>1</v>
      </c>
      <c r="DS46" s="29">
        <v>1</v>
      </c>
      <c r="DT46" s="29">
        <v>1</v>
      </c>
      <c r="DU46" s="29">
        <v>1</v>
      </c>
      <c r="DV46" s="29">
        <v>1</v>
      </c>
      <c r="DW46" s="29">
        <v>1</v>
      </c>
      <c r="DX46" s="29">
        <v>1</v>
      </c>
      <c r="DY46" s="29">
        <v>1</v>
      </c>
      <c r="DZ46" s="29">
        <v>1</v>
      </c>
      <c r="EA46" s="29">
        <v>1</v>
      </c>
      <c r="EB46" s="29">
        <v>1</v>
      </c>
      <c r="EC46" s="29">
        <v>1</v>
      </c>
      <c r="ED46" s="29">
        <v>1</v>
      </c>
      <c r="EE46" s="29">
        <v>1</v>
      </c>
      <c r="EF46" s="29">
        <v>1</v>
      </c>
      <c r="EG46" s="29">
        <v>1</v>
      </c>
      <c r="EH46" s="29">
        <v>1</v>
      </c>
      <c r="EI46" s="29">
        <v>1</v>
      </c>
      <c r="EJ46" s="29">
        <v>1</v>
      </c>
      <c r="EK46" s="29">
        <v>1</v>
      </c>
      <c r="EL46" s="29">
        <v>1</v>
      </c>
      <c r="EM46" s="29">
        <v>1</v>
      </c>
      <c r="EN46" s="29">
        <v>1</v>
      </c>
      <c r="EO46" s="29">
        <v>1</v>
      </c>
      <c r="EP46" s="29">
        <v>1</v>
      </c>
      <c r="EQ46" s="29">
        <v>1</v>
      </c>
      <c r="ER46" s="29">
        <v>1</v>
      </c>
      <c r="ES46" s="29">
        <v>1</v>
      </c>
      <c r="ET46" s="29">
        <v>1</v>
      </c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463"/>
      <c r="HY46" s="463"/>
      <c r="HZ46" s="463"/>
      <c r="IA46" s="463"/>
      <c r="IB46" s="463"/>
    </row>
    <row r="47" spans="1:236" s="552" customFormat="1" ht="15" customHeight="1">
      <c r="A47" s="553">
        <v>45988</v>
      </c>
      <c r="B47" s="544" t="s">
        <v>515</v>
      </c>
      <c r="C47" s="545" t="s">
        <v>546</v>
      </c>
      <c r="D47" s="554" t="s">
        <v>274</v>
      </c>
      <c r="E47" s="547" t="s">
        <v>895</v>
      </c>
      <c r="F47" s="405" t="s">
        <v>512</v>
      </c>
      <c r="G47" s="405">
        <v>0</v>
      </c>
      <c r="H47" s="405">
        <v>1</v>
      </c>
      <c r="K47" s="555">
        <v>2</v>
      </c>
      <c r="L47" s="556">
        <v>1</v>
      </c>
      <c r="M47" s="405">
        <v>1</v>
      </c>
    </row>
    <row r="51" spans="1:5" ht="15" customHeight="1">
      <c r="A51" s="552" t="s">
        <v>896</v>
      </c>
    </row>
    <row r="52" spans="1:5" ht="15" customHeight="1">
      <c r="E52" t="s">
        <v>230</v>
      </c>
    </row>
  </sheetData>
  <autoFilter ref="A1:K47" xr:uid="{B346FF6F-6E1B-2144-820A-1E49DE29AECD}"/>
  <mergeCells count="2">
    <mergeCell ref="IB19:IB24"/>
    <mergeCell ref="IB28:IB30"/>
  </mergeCells>
  <phoneticPr fontId="11" type="noConversion"/>
  <hyperlinks>
    <hyperlink ref="E7" r:id="rId1" xr:uid="{75C75572-36D7-4050-870F-F01965BF8B24}"/>
    <hyperlink ref="E12" r:id="rId2" xr:uid="{980ADF84-8765-4FEC-9B65-C87087AD9213}"/>
    <hyperlink ref="E15" r:id="rId3" xr:uid="{F6D2774C-9529-4EC4-91D0-501503E8F2C2}"/>
    <hyperlink ref="E20" r:id="rId4" xr:uid="{04598FBB-A145-44C5-A0E8-CC8FF186D460}"/>
    <hyperlink ref="E21" r:id="rId5" xr:uid="{7BFD5C1F-524C-4401-B019-73BEB6ACC814}"/>
    <hyperlink ref="E22" r:id="rId6" xr:uid="{034C6EBA-9148-460C-A421-3C3848800160}"/>
    <hyperlink ref="E24" r:id="rId7" xr:uid="{B8B7014E-B863-4849-8D74-21C70D601B1B}"/>
    <hyperlink ref="E26" r:id="rId8" xr:uid="{2AB490AD-8119-43A9-8E66-D4140CA59C6E}"/>
    <hyperlink ref="E29" r:id="rId9" xr:uid="{46944849-984C-4E1E-B04C-C1C317241477}"/>
    <hyperlink ref="E30" r:id="rId10" xr:uid="{1DECE5EC-CA02-4191-B60D-94400696F773}"/>
    <hyperlink ref="E31" r:id="rId11" xr:uid="{B967A575-4702-45C7-A714-E87A965866C9}"/>
    <hyperlink ref="E32" r:id="rId12" xr:uid="{06C2C853-D12D-4816-AE4C-818CD7E94EDE}"/>
  </hyperlinks>
  <pageMargins left="0.7" right="0.7" top="0.75" bottom="0.75" header="0.3" footer="0.3"/>
  <legacy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AB84-1435-4931-B554-2CF94D28EC15}">
  <sheetPr>
    <tabColor theme="6" tint="0.39997558519241921"/>
    <pageSetUpPr fitToPage="1"/>
  </sheetPr>
  <dimension ref="A1:II53"/>
  <sheetViews>
    <sheetView tabSelected="1" zoomScale="105" zoomScaleNormal="105" workbookViewId="0">
      <pane xSplit="1" topLeftCell="B1" activePane="topRight" state="frozen"/>
      <selection activeCell="A15" sqref="A15"/>
      <selection pane="topRight" activeCell="X2" sqref="X2"/>
    </sheetView>
  </sheetViews>
  <sheetFormatPr defaultRowHeight="15" customHeight="1"/>
  <cols>
    <col min="1" max="1" width="9.140625" style="104"/>
    <col min="2" max="2" width="17" style="104" bestFit="1" customWidth="1"/>
    <col min="3" max="3" width="24" style="104" bestFit="1" customWidth="1"/>
    <col min="4" max="4" width="21.7109375" style="116" bestFit="1" customWidth="1"/>
    <col min="5" max="5" width="14.85546875" bestFit="1" customWidth="1"/>
    <col min="6" max="6" width="19.28515625" customWidth="1"/>
    <col min="7" max="7" width="23.140625" bestFit="1" customWidth="1"/>
    <col min="8" max="8" width="25.7109375" customWidth="1"/>
    <col min="9" max="9" width="7.140625" style="104" customWidth="1"/>
    <col min="10" max="10" width="28" customWidth="1"/>
    <col min="11" max="11" width="11.28515625" style="104" customWidth="1"/>
    <col min="12" max="12" width="19.5703125" style="104" bestFit="1" customWidth="1"/>
    <col min="13" max="13" width="12.28515625" bestFit="1" customWidth="1"/>
    <col min="14" max="14" width="14.5703125" bestFit="1" customWidth="1"/>
    <col min="15" max="15" width="9.28515625" bestFit="1" customWidth="1"/>
    <col min="16" max="16" width="12" bestFit="1" customWidth="1"/>
    <col min="17" max="17" width="14.85546875" customWidth="1"/>
    <col min="18" max="18" width="9" customWidth="1"/>
    <col min="19" max="237" width="6.28515625" customWidth="1"/>
    <col min="238" max="238" width="21.5703125" customWidth="1"/>
    <col min="239" max="239" width="40.5703125" customWidth="1"/>
    <col min="240" max="240" width="21.5703125" customWidth="1"/>
    <col min="241" max="241" width="16.5703125" customWidth="1"/>
    <col min="242" max="242" width="27.28515625" customWidth="1"/>
  </cols>
  <sheetData>
    <row r="1" spans="1:243" s="482" customFormat="1" ht="28.5" customHeight="1" thickBot="1">
      <c r="A1" s="476" t="s">
        <v>45</v>
      </c>
      <c r="B1" s="476" t="s">
        <v>738</v>
      </c>
      <c r="C1" s="476" t="s">
        <v>739</v>
      </c>
      <c r="D1" s="477" t="s">
        <v>740</v>
      </c>
      <c r="E1" s="478" t="s">
        <v>741</v>
      </c>
      <c r="F1" s="478" t="s">
        <v>742</v>
      </c>
      <c r="G1" s="478" t="s">
        <v>743</v>
      </c>
      <c r="H1" s="478" t="s">
        <v>744</v>
      </c>
      <c r="I1" s="478"/>
      <c r="J1" s="478" t="s">
        <v>180</v>
      </c>
      <c r="K1" s="478" t="s">
        <v>745</v>
      </c>
      <c r="L1" s="478" t="s">
        <v>746</v>
      </c>
      <c r="M1" s="479" t="s">
        <v>220</v>
      </c>
      <c r="N1" s="479" t="s">
        <v>226</v>
      </c>
      <c r="O1" s="479" t="s">
        <v>747</v>
      </c>
      <c r="P1" s="479" t="s">
        <v>748</v>
      </c>
      <c r="Q1" s="479" t="s">
        <v>749</v>
      </c>
      <c r="R1" s="479" t="s">
        <v>447</v>
      </c>
      <c r="S1" s="479" t="s">
        <v>448</v>
      </c>
      <c r="T1" s="479" t="s">
        <v>449</v>
      </c>
      <c r="U1" s="479" t="s">
        <v>450</v>
      </c>
      <c r="V1" s="479" t="s">
        <v>451</v>
      </c>
      <c r="W1" s="479" t="s">
        <v>452</v>
      </c>
      <c r="X1" s="479" t="s">
        <v>453</v>
      </c>
      <c r="Y1" s="479" t="s">
        <v>454</v>
      </c>
      <c r="Z1" s="479" t="s">
        <v>455</v>
      </c>
      <c r="AA1" s="479" t="s">
        <v>456</v>
      </c>
      <c r="AB1" s="479" t="s">
        <v>457</v>
      </c>
      <c r="AC1" s="479" t="s">
        <v>458</v>
      </c>
      <c r="AD1" s="479" t="s">
        <v>459</v>
      </c>
      <c r="AE1" s="479" t="s">
        <v>460</v>
      </c>
      <c r="AF1" s="479" t="s">
        <v>461</v>
      </c>
      <c r="AG1" s="479" t="s">
        <v>462</v>
      </c>
      <c r="AH1" s="479" t="s">
        <v>463</v>
      </c>
      <c r="AI1" s="479" t="s">
        <v>464</v>
      </c>
      <c r="AJ1" s="479" t="s">
        <v>465</v>
      </c>
      <c r="AK1" s="479" t="s">
        <v>466</v>
      </c>
      <c r="AL1" s="479" t="s">
        <v>467</v>
      </c>
      <c r="AM1" s="479" t="s">
        <v>468</v>
      </c>
      <c r="AN1" s="479" t="s">
        <v>469</v>
      </c>
      <c r="AO1" s="479" t="s">
        <v>470</v>
      </c>
      <c r="AP1" s="479" t="s">
        <v>471</v>
      </c>
      <c r="AQ1" s="479" t="s">
        <v>472</v>
      </c>
      <c r="AR1" s="479" t="s">
        <v>473</v>
      </c>
      <c r="AS1" s="479" t="s">
        <v>474</v>
      </c>
      <c r="AT1" s="479" t="s">
        <v>475</v>
      </c>
      <c r="AU1" s="479" t="s">
        <v>476</v>
      </c>
      <c r="AV1" s="479" t="s">
        <v>477</v>
      </c>
      <c r="AW1" s="479" t="s">
        <v>478</v>
      </c>
      <c r="AX1" s="479" t="s">
        <v>479</v>
      </c>
      <c r="AY1" s="479" t="s">
        <v>480</v>
      </c>
      <c r="AZ1" s="479" t="s">
        <v>481</v>
      </c>
      <c r="BA1" s="479" t="s">
        <v>482</v>
      </c>
      <c r="BB1" s="479" t="s">
        <v>483</v>
      </c>
      <c r="BC1" s="479" t="s">
        <v>484</v>
      </c>
      <c r="BD1" s="479" t="s">
        <v>485</v>
      </c>
      <c r="BE1" s="479" t="s">
        <v>486</v>
      </c>
      <c r="BF1" s="479" t="s">
        <v>487</v>
      </c>
      <c r="BG1" s="479" t="s">
        <v>488</v>
      </c>
      <c r="BH1" s="479" t="s">
        <v>489</v>
      </c>
      <c r="BI1" s="479" t="s">
        <v>490</v>
      </c>
      <c r="BJ1" s="479" t="s">
        <v>491</v>
      </c>
      <c r="BK1" s="479" t="s">
        <v>492</v>
      </c>
      <c r="BL1" s="479" t="s">
        <v>493</v>
      </c>
      <c r="BM1" s="479" t="s">
        <v>494</v>
      </c>
      <c r="BN1" s="479" t="s">
        <v>495</v>
      </c>
      <c r="BO1" s="479" t="s">
        <v>496</v>
      </c>
      <c r="BP1" s="479" t="s">
        <v>497</v>
      </c>
      <c r="BQ1" s="479" t="s">
        <v>498</v>
      </c>
      <c r="BR1" s="479" t="s">
        <v>499</v>
      </c>
      <c r="BS1" s="479" t="s">
        <v>500</v>
      </c>
      <c r="BT1" s="479" t="s">
        <v>501</v>
      </c>
      <c r="BU1" s="479" t="s">
        <v>502</v>
      </c>
      <c r="BV1" s="479" t="s">
        <v>503</v>
      </c>
      <c r="BW1" s="479" t="s">
        <v>504</v>
      </c>
      <c r="BX1" s="479" t="s">
        <v>505</v>
      </c>
      <c r="BY1" s="479" t="s">
        <v>506</v>
      </c>
      <c r="BZ1" s="479" t="s">
        <v>507</v>
      </c>
      <c r="CA1" s="479" t="s">
        <v>508</v>
      </c>
      <c r="CB1" s="479" t="s">
        <v>509</v>
      </c>
      <c r="CC1" s="479" t="s">
        <v>510</v>
      </c>
      <c r="CD1" s="479" t="s">
        <v>548</v>
      </c>
      <c r="CE1" s="479" t="s">
        <v>549</v>
      </c>
      <c r="CF1" s="479" t="s">
        <v>550</v>
      </c>
      <c r="CG1" s="479" t="s">
        <v>551</v>
      </c>
      <c r="CH1" s="479" t="s">
        <v>552</v>
      </c>
      <c r="CI1" s="479" t="s">
        <v>553</v>
      </c>
      <c r="CJ1" s="479" t="s">
        <v>554</v>
      </c>
      <c r="CK1" s="479" t="s">
        <v>555</v>
      </c>
      <c r="CL1" s="479" t="s">
        <v>556</v>
      </c>
      <c r="CM1" s="479" t="s">
        <v>557</v>
      </c>
      <c r="CN1" s="479" t="s">
        <v>558</v>
      </c>
      <c r="CO1" s="479" t="s">
        <v>559</v>
      </c>
      <c r="CP1" s="479" t="s">
        <v>560</v>
      </c>
      <c r="CQ1" s="479" t="s">
        <v>561</v>
      </c>
      <c r="CR1" s="479" t="s">
        <v>562</v>
      </c>
      <c r="CS1" s="479" t="s">
        <v>563</v>
      </c>
      <c r="CT1" s="479" t="s">
        <v>564</v>
      </c>
      <c r="CU1" s="479" t="s">
        <v>565</v>
      </c>
      <c r="CV1" s="479" t="s">
        <v>566</v>
      </c>
      <c r="CW1" s="479" t="s">
        <v>567</v>
      </c>
      <c r="CX1" s="479" t="s">
        <v>568</v>
      </c>
      <c r="CY1" s="479" t="s">
        <v>569</v>
      </c>
      <c r="CZ1" s="479" t="s">
        <v>570</v>
      </c>
      <c r="DA1" s="479" t="s">
        <v>571</v>
      </c>
      <c r="DB1" s="479" t="s">
        <v>572</v>
      </c>
      <c r="DC1" s="479" t="s">
        <v>573</v>
      </c>
      <c r="DD1" s="479" t="s">
        <v>574</v>
      </c>
      <c r="DE1" s="479" t="s">
        <v>575</v>
      </c>
      <c r="DF1" s="479" t="s">
        <v>576</v>
      </c>
      <c r="DG1" s="479" t="s">
        <v>577</v>
      </c>
      <c r="DH1" s="479" t="s">
        <v>578</v>
      </c>
      <c r="DI1" s="479" t="s">
        <v>579</v>
      </c>
      <c r="DJ1" s="479" t="s">
        <v>580</v>
      </c>
      <c r="DK1" s="479" t="s">
        <v>581</v>
      </c>
      <c r="DL1" s="479" t="s">
        <v>582</v>
      </c>
      <c r="DM1" s="479" t="s">
        <v>583</v>
      </c>
      <c r="DN1" s="479" t="s">
        <v>608</v>
      </c>
      <c r="DO1" s="479" t="s">
        <v>609</v>
      </c>
      <c r="DP1" s="479" t="s">
        <v>610</v>
      </c>
      <c r="DQ1" s="479" t="s">
        <v>611</v>
      </c>
      <c r="DR1" s="479" t="s">
        <v>612</v>
      </c>
      <c r="DS1" s="479" t="s">
        <v>613</v>
      </c>
      <c r="DT1" s="479" t="s">
        <v>614</v>
      </c>
      <c r="DU1" s="479" t="s">
        <v>615</v>
      </c>
      <c r="DV1" s="479" t="s">
        <v>616</v>
      </c>
      <c r="DW1" s="479" t="s">
        <v>617</v>
      </c>
      <c r="DX1" s="479" t="s">
        <v>618</v>
      </c>
      <c r="DY1" s="479" t="s">
        <v>619</v>
      </c>
      <c r="DZ1" s="479" t="s">
        <v>620</v>
      </c>
      <c r="EA1" s="479" t="s">
        <v>621</v>
      </c>
      <c r="EB1" s="479" t="s">
        <v>622</v>
      </c>
      <c r="EC1" s="479" t="s">
        <v>623</v>
      </c>
      <c r="ED1" s="479" t="s">
        <v>624</v>
      </c>
      <c r="EE1" s="479" t="s">
        <v>625</v>
      </c>
      <c r="EF1" s="479" t="s">
        <v>626</v>
      </c>
      <c r="EG1" s="479" t="s">
        <v>627</v>
      </c>
      <c r="EH1" s="479" t="s">
        <v>628</v>
      </c>
      <c r="EI1" s="479" t="s">
        <v>629</v>
      </c>
      <c r="EJ1" s="479" t="s">
        <v>630</v>
      </c>
      <c r="EK1" s="479" t="s">
        <v>631</v>
      </c>
      <c r="EL1" s="479" t="s">
        <v>632</v>
      </c>
      <c r="EM1" s="479" t="s">
        <v>633</v>
      </c>
      <c r="EN1" s="479" t="s">
        <v>634</v>
      </c>
      <c r="EO1" s="479" t="s">
        <v>635</v>
      </c>
      <c r="EP1" s="479" t="s">
        <v>636</v>
      </c>
      <c r="EQ1" s="479" t="s">
        <v>637</v>
      </c>
      <c r="ER1" s="479" t="s">
        <v>638</v>
      </c>
      <c r="ES1" s="479" t="s">
        <v>639</v>
      </c>
      <c r="ET1" s="479" t="s">
        <v>640</v>
      </c>
      <c r="EU1" s="479" t="s">
        <v>641</v>
      </c>
      <c r="EV1" s="479" t="s">
        <v>642</v>
      </c>
      <c r="EW1" s="479" t="s">
        <v>643</v>
      </c>
      <c r="EX1" s="479" t="s">
        <v>644</v>
      </c>
      <c r="EY1" s="479" t="s">
        <v>645</v>
      </c>
      <c r="EZ1" s="479" t="s">
        <v>646</v>
      </c>
      <c r="FA1" s="479" t="s">
        <v>647</v>
      </c>
      <c r="FB1" s="479" t="s">
        <v>648</v>
      </c>
      <c r="FC1" s="479" t="s">
        <v>649</v>
      </c>
      <c r="FD1" s="479" t="s">
        <v>650</v>
      </c>
      <c r="FE1" s="479" t="s">
        <v>651</v>
      </c>
      <c r="FF1" s="479" t="s">
        <v>652</v>
      </c>
      <c r="FG1" s="479" t="s">
        <v>653</v>
      </c>
      <c r="FH1" s="479" t="s">
        <v>654</v>
      </c>
      <c r="FI1" s="479" t="s">
        <v>655</v>
      </c>
      <c r="FJ1" s="479" t="s">
        <v>656</v>
      </c>
      <c r="FK1" s="479" t="s">
        <v>657</v>
      </c>
      <c r="FL1" s="479" t="s">
        <v>658</v>
      </c>
      <c r="FM1" s="479" t="s">
        <v>659</v>
      </c>
      <c r="FN1" s="479" t="s">
        <v>660</v>
      </c>
      <c r="FO1" s="479" t="s">
        <v>661</v>
      </c>
      <c r="FP1" s="479" t="s">
        <v>662</v>
      </c>
      <c r="FQ1" s="479" t="s">
        <v>663</v>
      </c>
      <c r="FR1" s="479" t="s">
        <v>664</v>
      </c>
      <c r="FS1" s="479" t="s">
        <v>665</v>
      </c>
      <c r="FT1" s="479" t="s">
        <v>666</v>
      </c>
      <c r="FU1" s="479" t="s">
        <v>667</v>
      </c>
      <c r="FV1" s="479" t="s">
        <v>668</v>
      </c>
      <c r="FW1" s="479" t="s">
        <v>669</v>
      </c>
      <c r="FX1" s="479" t="s">
        <v>670</v>
      </c>
      <c r="FY1" s="479" t="s">
        <v>671</v>
      </c>
      <c r="FZ1" s="479" t="s">
        <v>672</v>
      </c>
      <c r="GA1" s="479" t="s">
        <v>673</v>
      </c>
      <c r="GB1" s="479" t="s">
        <v>674</v>
      </c>
      <c r="GC1" s="479" t="s">
        <v>675</v>
      </c>
      <c r="GD1" s="479" t="s">
        <v>676</v>
      </c>
      <c r="GE1" s="479" t="s">
        <v>677</v>
      </c>
      <c r="GF1" s="479" t="s">
        <v>678</v>
      </c>
      <c r="GG1" s="479" t="s">
        <v>679</v>
      </c>
      <c r="GH1" s="479" t="s">
        <v>680</v>
      </c>
      <c r="GI1" s="479" t="s">
        <v>681</v>
      </c>
      <c r="GJ1" s="479" t="s">
        <v>682</v>
      </c>
      <c r="GK1" s="479" t="s">
        <v>683</v>
      </c>
      <c r="GL1" s="479" t="s">
        <v>684</v>
      </c>
      <c r="GM1" s="479" t="s">
        <v>685</v>
      </c>
      <c r="GN1" s="479" t="s">
        <v>686</v>
      </c>
      <c r="GO1" s="479" t="s">
        <v>687</v>
      </c>
      <c r="GP1" s="479" t="s">
        <v>697</v>
      </c>
      <c r="GQ1" s="479" t="s">
        <v>698</v>
      </c>
      <c r="GR1" s="479" t="s">
        <v>699</v>
      </c>
      <c r="GS1" s="479" t="s">
        <v>700</v>
      </c>
      <c r="GT1" s="479" t="s">
        <v>701</v>
      </c>
      <c r="GU1" s="479" t="s">
        <v>702</v>
      </c>
      <c r="GV1" s="479" t="s">
        <v>703</v>
      </c>
      <c r="GW1" s="479" t="s">
        <v>704</v>
      </c>
      <c r="GX1" s="479" t="s">
        <v>705</v>
      </c>
      <c r="GY1" s="479" t="s">
        <v>706</v>
      </c>
      <c r="GZ1" s="479" t="s">
        <v>707</v>
      </c>
      <c r="HA1" s="479" t="s">
        <v>708</v>
      </c>
      <c r="HB1" s="479" t="s">
        <v>709</v>
      </c>
      <c r="HC1" s="479" t="s">
        <v>710</v>
      </c>
      <c r="HD1" s="479" t="s">
        <v>711</v>
      </c>
      <c r="HE1" s="479" t="s">
        <v>712</v>
      </c>
      <c r="HF1" s="479" t="s">
        <v>713</v>
      </c>
      <c r="HG1" s="479" t="s">
        <v>714</v>
      </c>
      <c r="HH1" s="479" t="s">
        <v>715</v>
      </c>
      <c r="HI1" s="479" t="s">
        <v>716</v>
      </c>
      <c r="HJ1" s="479" t="s">
        <v>717</v>
      </c>
      <c r="HK1" s="479" t="s">
        <v>718</v>
      </c>
      <c r="HL1" s="479" t="s">
        <v>719</v>
      </c>
      <c r="HM1" s="479" t="s">
        <v>720</v>
      </c>
      <c r="HN1" s="479" t="s">
        <v>721</v>
      </c>
      <c r="HO1" s="479" t="s">
        <v>722</v>
      </c>
      <c r="HP1" s="479" t="s">
        <v>723</v>
      </c>
      <c r="HQ1" s="479" t="s">
        <v>724</v>
      </c>
      <c r="HR1" s="479" t="s">
        <v>725</v>
      </c>
      <c r="HS1" s="479" t="s">
        <v>726</v>
      </c>
      <c r="HT1" s="479" t="s">
        <v>727</v>
      </c>
      <c r="HU1" s="479" t="s">
        <v>728</v>
      </c>
      <c r="HV1" s="479" t="s">
        <v>729</v>
      </c>
      <c r="HW1" s="479" t="s">
        <v>730</v>
      </c>
      <c r="HX1" s="479" t="s">
        <v>731</v>
      </c>
      <c r="HY1" s="479" t="s">
        <v>732</v>
      </c>
      <c r="HZ1" s="479" t="s">
        <v>733</v>
      </c>
      <c r="IA1" s="479" t="s">
        <v>734</v>
      </c>
      <c r="IB1" s="479" t="s">
        <v>735</v>
      </c>
      <c r="IC1" s="479" t="s">
        <v>736</v>
      </c>
      <c r="ID1" s="479"/>
      <c r="IE1" s="479" t="s">
        <v>387</v>
      </c>
      <c r="IF1" s="479" t="s">
        <v>9</v>
      </c>
      <c r="IG1" s="480" t="s">
        <v>389</v>
      </c>
      <c r="IH1" s="481" t="s">
        <v>390</v>
      </c>
      <c r="II1" s="481" t="s">
        <v>9</v>
      </c>
    </row>
    <row r="2" spans="1:243" ht="16.5">
      <c r="A2" s="104">
        <v>1</v>
      </c>
      <c r="B2" s="104" t="s">
        <v>750</v>
      </c>
      <c r="C2" s="104" t="s">
        <v>751</v>
      </c>
      <c r="D2" s="116" t="s">
        <v>752</v>
      </c>
      <c r="E2" s="105">
        <v>45916</v>
      </c>
      <c r="F2" s="104" t="s">
        <v>753</v>
      </c>
      <c r="G2" s="483" t="s">
        <v>754</v>
      </c>
      <c r="H2" s="484" t="s">
        <v>69</v>
      </c>
      <c r="I2" s="238" t="s">
        <v>274</v>
      </c>
      <c r="J2" s="485" t="s">
        <v>189</v>
      </c>
      <c r="K2" s="238" t="s">
        <v>511</v>
      </c>
      <c r="L2" s="238" t="s">
        <v>755</v>
      </c>
      <c r="M2" s="11">
        <v>0</v>
      </c>
      <c r="N2" s="33">
        <v>1</v>
      </c>
      <c r="O2" s="33"/>
      <c r="P2" s="33"/>
      <c r="Q2" s="33">
        <f>SUM(R2:CC2)</f>
        <v>6</v>
      </c>
      <c r="R2" s="11">
        <v>1</v>
      </c>
      <c r="S2" s="11">
        <v>1</v>
      </c>
      <c r="T2" s="11">
        <v>1</v>
      </c>
      <c r="U2" s="11">
        <v>1</v>
      </c>
      <c r="V2" s="11">
        <v>1</v>
      </c>
      <c r="W2" s="11">
        <v>1</v>
      </c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  <c r="GY2" s="33"/>
      <c r="GZ2" s="33"/>
      <c r="HA2" s="33"/>
      <c r="HB2" s="33"/>
      <c r="HC2" s="33"/>
      <c r="HD2" s="33"/>
      <c r="HE2" s="33"/>
      <c r="HF2" s="33"/>
      <c r="HG2" s="33"/>
      <c r="HH2" s="33"/>
      <c r="HI2" s="33"/>
      <c r="HJ2" s="33"/>
      <c r="HK2" s="33"/>
      <c r="HL2" s="33"/>
      <c r="HM2" s="33"/>
      <c r="HN2" s="33"/>
      <c r="HO2" s="33"/>
      <c r="HP2" s="33"/>
      <c r="HQ2" s="33"/>
      <c r="HR2" s="33"/>
      <c r="HS2" s="33"/>
      <c r="HT2" s="33"/>
      <c r="HU2" s="33"/>
      <c r="HV2" s="33"/>
      <c r="HW2" s="33"/>
      <c r="HX2" s="33"/>
      <c r="HY2" s="33"/>
      <c r="HZ2" s="33"/>
      <c r="IA2" s="33"/>
      <c r="IB2" s="33"/>
      <c r="IC2" s="33"/>
      <c r="ID2" s="95">
        <v>45922</v>
      </c>
      <c r="IE2" s="22" t="s">
        <v>391</v>
      </c>
      <c r="IF2" s="486" t="s">
        <v>392</v>
      </c>
      <c r="IG2" s="11" t="s">
        <v>61</v>
      </c>
      <c r="IH2" s="11"/>
    </row>
    <row r="3" spans="1:243" ht="16.5">
      <c r="A3" s="104">
        <v>2</v>
      </c>
      <c r="B3" s="104" t="s">
        <v>756</v>
      </c>
      <c r="C3" s="104" t="s">
        <v>757</v>
      </c>
      <c r="D3" s="116" t="s">
        <v>758</v>
      </c>
      <c r="E3" s="105">
        <v>45918</v>
      </c>
      <c r="F3" s="104" t="s">
        <v>759</v>
      </c>
      <c r="G3" s="104" t="s">
        <v>760</v>
      </c>
      <c r="H3" s="484" t="s">
        <v>84</v>
      </c>
      <c r="I3" s="238" t="s">
        <v>246</v>
      </c>
      <c r="J3" s="485" t="s">
        <v>196</v>
      </c>
      <c r="K3" s="238" t="s">
        <v>511</v>
      </c>
      <c r="L3" s="238" t="s">
        <v>755</v>
      </c>
      <c r="M3" s="33">
        <v>1</v>
      </c>
      <c r="N3" s="11">
        <v>0</v>
      </c>
      <c r="O3" s="11"/>
      <c r="P3" s="11"/>
      <c r="Q3" s="33">
        <f>SUM(R3:CC3)</f>
        <v>7</v>
      </c>
      <c r="R3" s="11">
        <v>1</v>
      </c>
      <c r="S3" s="11">
        <v>1</v>
      </c>
      <c r="T3" s="11">
        <v>1</v>
      </c>
      <c r="U3" s="11">
        <v>1</v>
      </c>
      <c r="V3" s="11">
        <v>1</v>
      </c>
      <c r="W3" s="11">
        <v>1</v>
      </c>
      <c r="X3" s="11">
        <v>1</v>
      </c>
      <c r="Y3" s="11">
        <v>0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95">
        <v>45926</v>
      </c>
      <c r="IE3" s="22" t="s">
        <v>393</v>
      </c>
      <c r="IF3" s="486" t="s">
        <v>392</v>
      </c>
      <c r="IG3" s="11" t="s">
        <v>61</v>
      </c>
      <c r="IH3" s="11"/>
    </row>
    <row r="4" spans="1:243" ht="16.5">
      <c r="A4" s="104">
        <v>3</v>
      </c>
      <c r="B4" s="104" t="s">
        <v>761</v>
      </c>
      <c r="C4" s="104" t="s">
        <v>762</v>
      </c>
      <c r="D4" s="14" t="s">
        <v>763</v>
      </c>
      <c r="E4" s="105">
        <v>45923</v>
      </c>
      <c r="F4" s="104" t="s">
        <v>759</v>
      </c>
      <c r="G4" s="104" t="s">
        <v>764</v>
      </c>
      <c r="H4" s="484" t="s">
        <v>93</v>
      </c>
      <c r="I4" s="238" t="s">
        <v>274</v>
      </c>
      <c r="J4" s="485" t="s">
        <v>203</v>
      </c>
      <c r="K4" s="238" t="s">
        <v>511</v>
      </c>
      <c r="L4" s="238" t="s">
        <v>755</v>
      </c>
      <c r="M4" s="11">
        <v>0</v>
      </c>
      <c r="N4" s="33">
        <v>1</v>
      </c>
      <c r="O4" s="33"/>
      <c r="P4" s="33"/>
      <c r="Q4" s="33">
        <f t="shared" ref="Q4:Q28" si="0">SUM(R4:CC4)</f>
        <v>7</v>
      </c>
      <c r="R4" s="33">
        <v>1</v>
      </c>
      <c r="S4" s="33">
        <v>1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  <c r="ET4" s="33"/>
      <c r="EU4" s="33"/>
      <c r="EV4" s="33"/>
      <c r="EW4" s="33"/>
      <c r="EX4" s="33"/>
      <c r="EY4" s="33"/>
      <c r="EZ4" s="33"/>
      <c r="FA4" s="33"/>
      <c r="FB4" s="33"/>
      <c r="FC4" s="33"/>
      <c r="FD4" s="33"/>
      <c r="FE4" s="33"/>
      <c r="FF4" s="33"/>
      <c r="FG4" s="33"/>
      <c r="FH4" s="33"/>
      <c r="FI4" s="33"/>
      <c r="FJ4" s="33"/>
      <c r="FK4" s="33"/>
      <c r="FL4" s="33"/>
      <c r="FM4" s="33"/>
      <c r="FN4" s="33"/>
      <c r="FO4" s="33"/>
      <c r="FP4" s="33"/>
      <c r="FQ4" s="33"/>
      <c r="FR4" s="33"/>
      <c r="FS4" s="33"/>
      <c r="FT4" s="33"/>
      <c r="FU4" s="33"/>
      <c r="FV4" s="33"/>
      <c r="FW4" s="33"/>
      <c r="FX4" s="33"/>
      <c r="FY4" s="33"/>
      <c r="FZ4" s="33"/>
      <c r="GA4" s="33"/>
      <c r="GB4" s="33"/>
      <c r="GC4" s="33"/>
      <c r="GD4" s="33"/>
      <c r="GE4" s="33"/>
      <c r="GF4" s="33"/>
      <c r="GG4" s="33"/>
      <c r="GH4" s="33"/>
      <c r="GI4" s="33"/>
      <c r="GJ4" s="33"/>
      <c r="GK4" s="33"/>
      <c r="GL4" s="33"/>
      <c r="GM4" s="33"/>
      <c r="GN4" s="33"/>
      <c r="GO4" s="33"/>
      <c r="GP4" s="33"/>
      <c r="GQ4" s="33"/>
      <c r="GR4" s="33"/>
      <c r="GS4" s="33"/>
      <c r="GT4" s="33"/>
      <c r="GU4" s="33"/>
      <c r="GV4" s="33"/>
      <c r="GW4" s="33"/>
      <c r="GX4" s="33"/>
      <c r="GY4" s="33"/>
      <c r="GZ4" s="33"/>
      <c r="HA4" s="33"/>
      <c r="HB4" s="33"/>
      <c r="HC4" s="33"/>
      <c r="HD4" s="33"/>
      <c r="HE4" s="33"/>
      <c r="HF4" s="33"/>
      <c r="HG4" s="33"/>
      <c r="HH4" s="33"/>
      <c r="HI4" s="33"/>
      <c r="HJ4" s="33"/>
      <c r="HK4" s="33"/>
      <c r="HL4" s="33"/>
      <c r="HM4" s="33"/>
      <c r="HN4" s="33"/>
      <c r="HO4" s="33"/>
      <c r="HP4" s="33"/>
      <c r="HQ4" s="33"/>
      <c r="HR4" s="33"/>
      <c r="HS4" s="33"/>
      <c r="HT4" s="33"/>
      <c r="HU4" s="33"/>
      <c r="HV4" s="33"/>
      <c r="HW4" s="33"/>
      <c r="HX4" s="33"/>
      <c r="HY4" s="33"/>
      <c r="HZ4" s="33"/>
      <c r="IA4" s="33"/>
      <c r="IB4" s="33"/>
      <c r="IC4" s="33"/>
      <c r="ID4" s="95">
        <v>45930</v>
      </c>
      <c r="IE4" s="22" t="s">
        <v>394</v>
      </c>
      <c r="IF4" s="486" t="s">
        <v>392</v>
      </c>
      <c r="IG4" s="11" t="s">
        <v>61</v>
      </c>
      <c r="IH4" s="11"/>
    </row>
    <row r="5" spans="1:243" ht="16.5">
      <c r="A5" s="104">
        <v>4</v>
      </c>
      <c r="B5" s="104" t="s">
        <v>765</v>
      </c>
      <c r="C5" s="104" t="s">
        <v>762</v>
      </c>
      <c r="D5" s="14" t="s">
        <v>763</v>
      </c>
      <c r="E5" s="105">
        <v>45923</v>
      </c>
      <c r="F5" s="104" t="s">
        <v>759</v>
      </c>
      <c r="G5" s="104" t="s">
        <v>764</v>
      </c>
      <c r="H5" s="484" t="s">
        <v>93</v>
      </c>
      <c r="I5" s="238" t="s">
        <v>274</v>
      </c>
      <c r="J5" s="485" t="s">
        <v>395</v>
      </c>
      <c r="K5" s="238" t="s">
        <v>511</v>
      </c>
      <c r="L5" s="238" t="s">
        <v>755</v>
      </c>
      <c r="M5" s="11">
        <v>0</v>
      </c>
      <c r="N5" s="33">
        <v>1</v>
      </c>
      <c r="O5" s="33"/>
      <c r="P5" s="33"/>
      <c r="Q5" s="33">
        <f t="shared" si="0"/>
        <v>7</v>
      </c>
      <c r="R5" s="33">
        <v>1</v>
      </c>
      <c r="S5" s="33">
        <v>1</v>
      </c>
      <c r="T5" s="33">
        <v>1</v>
      </c>
      <c r="U5" s="33">
        <v>1</v>
      </c>
      <c r="V5" s="33">
        <v>1</v>
      </c>
      <c r="W5" s="33">
        <v>1</v>
      </c>
      <c r="X5" s="33">
        <v>1</v>
      </c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3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3"/>
      <c r="FP5" s="33"/>
      <c r="FQ5" s="33"/>
      <c r="FR5" s="33"/>
      <c r="FS5" s="33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33"/>
      <c r="GU5" s="33"/>
      <c r="GV5" s="33"/>
      <c r="GW5" s="33"/>
      <c r="GX5" s="33"/>
      <c r="GY5" s="33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33"/>
      <c r="HK5" s="33"/>
      <c r="HL5" s="33"/>
      <c r="HM5" s="33"/>
      <c r="HN5" s="33"/>
      <c r="HO5" s="33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33"/>
      <c r="IA5" s="33"/>
      <c r="IB5" s="33"/>
      <c r="IC5" s="33"/>
      <c r="ID5" s="95">
        <v>45930</v>
      </c>
      <c r="IE5" s="22" t="s">
        <v>394</v>
      </c>
      <c r="IF5" s="486" t="s">
        <v>392</v>
      </c>
      <c r="IG5" s="11" t="s">
        <v>61</v>
      </c>
      <c r="IH5" s="11"/>
    </row>
    <row r="6" spans="1:243" ht="16.5">
      <c r="A6" s="104">
        <v>5</v>
      </c>
      <c r="B6" s="104" t="s">
        <v>766</v>
      </c>
      <c r="C6" s="104" t="s">
        <v>880</v>
      </c>
      <c r="D6" s="116" t="s">
        <v>768</v>
      </c>
      <c r="E6" s="105">
        <v>45926</v>
      </c>
      <c r="F6" s="104" t="s">
        <v>759</v>
      </c>
      <c r="G6" s="104" t="s">
        <v>769</v>
      </c>
      <c r="H6" s="484" t="s">
        <v>96</v>
      </c>
      <c r="I6" s="238" t="s">
        <v>276</v>
      </c>
      <c r="J6" s="485" t="s">
        <v>396</v>
      </c>
      <c r="K6" s="238" t="s">
        <v>511</v>
      </c>
      <c r="L6" s="238" t="s">
        <v>755</v>
      </c>
      <c r="M6" s="11">
        <v>0</v>
      </c>
      <c r="N6" s="33">
        <v>1</v>
      </c>
      <c r="O6" s="33"/>
      <c r="P6" s="33"/>
      <c r="Q6" s="33">
        <f t="shared" si="0"/>
        <v>7</v>
      </c>
      <c r="R6" s="33">
        <v>1</v>
      </c>
      <c r="S6" s="33">
        <v>1</v>
      </c>
      <c r="T6" s="33">
        <v>1</v>
      </c>
      <c r="U6" s="33">
        <v>1</v>
      </c>
      <c r="V6" s="33">
        <v>1</v>
      </c>
      <c r="W6" s="33">
        <v>1</v>
      </c>
      <c r="X6" s="33">
        <v>1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95">
        <v>45930</v>
      </c>
      <c r="IE6" s="22" t="s">
        <v>394</v>
      </c>
      <c r="IF6" s="486" t="s">
        <v>392</v>
      </c>
      <c r="IG6" s="11" t="s">
        <v>61</v>
      </c>
      <c r="IH6" s="11"/>
    </row>
    <row r="7" spans="1:243" s="499" customFormat="1">
      <c r="A7" s="487">
        <v>6</v>
      </c>
      <c r="B7" s="487" t="s">
        <v>770</v>
      </c>
      <c r="C7" s="487" t="s">
        <v>767</v>
      </c>
      <c r="D7" s="488" t="s">
        <v>768</v>
      </c>
      <c r="E7" s="489">
        <v>45926</v>
      </c>
      <c r="F7" s="487" t="s">
        <v>759</v>
      </c>
      <c r="G7" s="487" t="s">
        <v>764</v>
      </c>
      <c r="H7" s="490" t="s">
        <v>96</v>
      </c>
      <c r="I7" s="491" t="s">
        <v>276</v>
      </c>
      <c r="J7" s="492" t="s">
        <v>397</v>
      </c>
      <c r="K7" s="491" t="s">
        <v>398</v>
      </c>
      <c r="L7" s="491" t="s">
        <v>771</v>
      </c>
      <c r="M7" s="493">
        <v>1</v>
      </c>
      <c r="N7" s="491">
        <v>0</v>
      </c>
      <c r="O7" s="494" t="s">
        <v>696</v>
      </c>
      <c r="P7" s="495" t="b">
        <v>1</v>
      </c>
      <c r="Q7" s="493">
        <f>SUM(R7:IC7)</f>
        <v>211</v>
      </c>
      <c r="R7" s="491">
        <v>1</v>
      </c>
      <c r="S7" s="491">
        <v>1</v>
      </c>
      <c r="T7" s="491">
        <v>1</v>
      </c>
      <c r="U7" s="491">
        <v>1</v>
      </c>
      <c r="V7" s="491">
        <v>1</v>
      </c>
      <c r="W7" s="491">
        <v>1</v>
      </c>
      <c r="X7" s="491">
        <v>1</v>
      </c>
      <c r="Y7" s="491">
        <v>1</v>
      </c>
      <c r="Z7" s="491">
        <v>1</v>
      </c>
      <c r="AA7" s="491">
        <v>1</v>
      </c>
      <c r="AB7" s="491">
        <v>1</v>
      </c>
      <c r="AC7" s="491">
        <v>1</v>
      </c>
      <c r="AD7" s="491">
        <v>1</v>
      </c>
      <c r="AE7" s="491">
        <v>1</v>
      </c>
      <c r="AF7" s="491">
        <v>1</v>
      </c>
      <c r="AG7" s="491">
        <v>1</v>
      </c>
      <c r="AH7" s="491">
        <v>1</v>
      </c>
      <c r="AI7" s="491">
        <v>1</v>
      </c>
      <c r="AJ7" s="491">
        <v>1</v>
      </c>
      <c r="AK7" s="491">
        <v>1</v>
      </c>
      <c r="AL7" s="491">
        <v>1</v>
      </c>
      <c r="AM7" s="491">
        <v>1</v>
      </c>
      <c r="AN7" s="491">
        <v>1</v>
      </c>
      <c r="AO7" s="491">
        <v>1</v>
      </c>
      <c r="AP7" s="491">
        <v>1</v>
      </c>
      <c r="AQ7" s="491">
        <v>1</v>
      </c>
      <c r="AR7" s="491">
        <v>1</v>
      </c>
      <c r="AS7" s="491">
        <v>1</v>
      </c>
      <c r="AT7" s="491">
        <v>1</v>
      </c>
      <c r="AU7" s="491">
        <v>1</v>
      </c>
      <c r="AV7" s="491">
        <v>1</v>
      </c>
      <c r="AW7" s="491">
        <v>1</v>
      </c>
      <c r="AX7" s="491">
        <v>1</v>
      </c>
      <c r="AY7" s="491">
        <v>1</v>
      </c>
      <c r="AZ7" s="491">
        <v>1</v>
      </c>
      <c r="BA7" s="491">
        <v>1</v>
      </c>
      <c r="BB7" s="491">
        <v>1</v>
      </c>
      <c r="BC7" s="491">
        <v>1</v>
      </c>
      <c r="BD7" s="491">
        <v>1</v>
      </c>
      <c r="BE7" s="491">
        <v>1</v>
      </c>
      <c r="BF7" s="491">
        <v>1</v>
      </c>
      <c r="BG7" s="491">
        <v>1</v>
      </c>
      <c r="BH7" s="491">
        <v>1</v>
      </c>
      <c r="BI7" s="491">
        <v>1</v>
      </c>
      <c r="BJ7" s="491">
        <v>1</v>
      </c>
      <c r="BK7" s="491">
        <v>1</v>
      </c>
      <c r="BL7" s="491">
        <v>1</v>
      </c>
      <c r="BM7" s="491">
        <v>1</v>
      </c>
      <c r="BN7" s="491">
        <v>1</v>
      </c>
      <c r="BO7" s="491">
        <v>1</v>
      </c>
      <c r="BP7" s="491">
        <v>1</v>
      </c>
      <c r="BQ7" s="491">
        <v>1</v>
      </c>
      <c r="BR7" s="491">
        <v>1</v>
      </c>
      <c r="BS7" s="491">
        <v>1</v>
      </c>
      <c r="BT7" s="491">
        <v>1</v>
      </c>
      <c r="BU7" s="491">
        <v>1</v>
      </c>
      <c r="BV7" s="491">
        <v>1</v>
      </c>
      <c r="BW7" s="491">
        <v>1</v>
      </c>
      <c r="BX7" s="491">
        <v>1</v>
      </c>
      <c r="BY7" s="491">
        <v>1</v>
      </c>
      <c r="BZ7" s="491">
        <v>1</v>
      </c>
      <c r="CA7" s="491">
        <v>1</v>
      </c>
      <c r="CB7" s="491">
        <v>1</v>
      </c>
      <c r="CC7" s="491">
        <v>1</v>
      </c>
      <c r="CD7" s="491">
        <v>1</v>
      </c>
      <c r="CE7" s="491">
        <v>1</v>
      </c>
      <c r="CF7" s="491">
        <v>1</v>
      </c>
      <c r="CG7" s="491">
        <v>1</v>
      </c>
      <c r="CH7" s="491">
        <v>1</v>
      </c>
      <c r="CI7" s="491">
        <v>1</v>
      </c>
      <c r="CJ7" s="491">
        <v>1</v>
      </c>
      <c r="CK7" s="491">
        <v>1</v>
      </c>
      <c r="CL7" s="491">
        <v>1</v>
      </c>
      <c r="CM7" s="491">
        <v>1</v>
      </c>
      <c r="CN7" s="491">
        <v>1</v>
      </c>
      <c r="CO7" s="491">
        <v>1</v>
      </c>
      <c r="CP7" s="491">
        <v>1</v>
      </c>
      <c r="CQ7" s="491">
        <v>1</v>
      </c>
      <c r="CR7" s="491">
        <v>1</v>
      </c>
      <c r="CS7" s="491">
        <v>1</v>
      </c>
      <c r="CT7" s="491">
        <v>1</v>
      </c>
      <c r="CU7" s="491">
        <v>1</v>
      </c>
      <c r="CV7" s="491">
        <v>1</v>
      </c>
      <c r="CW7" s="491">
        <v>1</v>
      </c>
      <c r="CX7" s="491">
        <v>1</v>
      </c>
      <c r="CY7" s="491">
        <v>1</v>
      </c>
      <c r="CZ7" s="491">
        <v>1</v>
      </c>
      <c r="DA7" s="491">
        <v>1</v>
      </c>
      <c r="DB7" s="491">
        <v>1</v>
      </c>
      <c r="DC7" s="491">
        <v>1</v>
      </c>
      <c r="DD7" s="491">
        <v>1</v>
      </c>
      <c r="DE7" s="491">
        <v>1</v>
      </c>
      <c r="DF7" s="491">
        <v>1</v>
      </c>
      <c r="DG7" s="491">
        <v>1</v>
      </c>
      <c r="DH7" s="491">
        <v>1</v>
      </c>
      <c r="DI7" s="491">
        <v>1</v>
      </c>
      <c r="DJ7" s="491">
        <v>1</v>
      </c>
      <c r="DK7" s="491">
        <v>1</v>
      </c>
      <c r="DL7" s="491">
        <v>1</v>
      </c>
      <c r="DM7" s="491">
        <v>1</v>
      </c>
      <c r="DN7" s="491">
        <v>1</v>
      </c>
      <c r="DO7" s="491">
        <v>1</v>
      </c>
      <c r="DP7" s="491">
        <v>1</v>
      </c>
      <c r="DQ7" s="491">
        <v>1</v>
      </c>
      <c r="DR7" s="491">
        <v>1</v>
      </c>
      <c r="DS7" s="491">
        <v>1</v>
      </c>
      <c r="DT7" s="491">
        <v>1</v>
      </c>
      <c r="DU7" s="491">
        <v>1</v>
      </c>
      <c r="DV7" s="491">
        <v>1</v>
      </c>
      <c r="DW7" s="491">
        <v>1</v>
      </c>
      <c r="DX7" s="491">
        <v>1</v>
      </c>
      <c r="DY7" s="491">
        <v>1</v>
      </c>
      <c r="DZ7" s="491">
        <v>1</v>
      </c>
      <c r="EA7" s="491">
        <v>1</v>
      </c>
      <c r="EB7" s="491">
        <v>1</v>
      </c>
      <c r="EC7" s="491">
        <v>1</v>
      </c>
      <c r="ED7" s="491">
        <v>1</v>
      </c>
      <c r="EE7" s="491">
        <v>1</v>
      </c>
      <c r="EF7" s="491">
        <v>1</v>
      </c>
      <c r="EG7" s="491">
        <v>1</v>
      </c>
      <c r="EH7" s="491">
        <v>1</v>
      </c>
      <c r="EI7" s="491">
        <v>1</v>
      </c>
      <c r="EJ7" s="491">
        <v>1</v>
      </c>
      <c r="EK7" s="491">
        <v>1</v>
      </c>
      <c r="EL7" s="491">
        <v>1</v>
      </c>
      <c r="EM7" s="491">
        <v>1</v>
      </c>
      <c r="EN7" s="491">
        <v>1</v>
      </c>
      <c r="EO7" s="491">
        <v>1</v>
      </c>
      <c r="EP7" s="491">
        <v>1</v>
      </c>
      <c r="EQ7" s="491">
        <v>1</v>
      </c>
      <c r="ER7" s="491">
        <v>1</v>
      </c>
      <c r="ES7" s="491">
        <v>1</v>
      </c>
      <c r="ET7" s="491">
        <v>1</v>
      </c>
      <c r="EU7" s="491">
        <v>1</v>
      </c>
      <c r="EV7" s="491">
        <v>1</v>
      </c>
      <c r="EW7" s="491">
        <v>1</v>
      </c>
      <c r="EX7" s="491">
        <v>1</v>
      </c>
      <c r="EY7" s="491">
        <v>1</v>
      </c>
      <c r="EZ7" s="491">
        <v>1</v>
      </c>
      <c r="FA7" s="491">
        <v>1</v>
      </c>
      <c r="FB7" s="491">
        <v>1</v>
      </c>
      <c r="FC7" s="491">
        <v>1</v>
      </c>
      <c r="FD7" s="491">
        <v>1</v>
      </c>
      <c r="FE7" s="491">
        <v>1</v>
      </c>
      <c r="FF7" s="491">
        <v>1</v>
      </c>
      <c r="FG7" s="491">
        <v>1</v>
      </c>
      <c r="FH7" s="491">
        <v>1</v>
      </c>
      <c r="FI7" s="491">
        <v>1</v>
      </c>
      <c r="FJ7" s="491">
        <v>1</v>
      </c>
      <c r="FK7" s="491">
        <v>1</v>
      </c>
      <c r="FL7" s="491">
        <v>1</v>
      </c>
      <c r="FM7" s="491">
        <v>1</v>
      </c>
      <c r="FN7" s="491">
        <v>1</v>
      </c>
      <c r="FO7" s="491">
        <v>1</v>
      </c>
      <c r="FP7" s="491">
        <v>1</v>
      </c>
      <c r="FQ7" s="491">
        <v>1</v>
      </c>
      <c r="FR7" s="491">
        <v>1</v>
      </c>
      <c r="FS7" s="491">
        <v>1</v>
      </c>
      <c r="FT7" s="491">
        <v>1</v>
      </c>
      <c r="FU7" s="491">
        <v>1</v>
      </c>
      <c r="FV7" s="491">
        <v>1</v>
      </c>
      <c r="FW7" s="491">
        <v>1</v>
      </c>
      <c r="FX7" s="491">
        <v>1</v>
      </c>
      <c r="FY7" s="491">
        <v>1</v>
      </c>
      <c r="FZ7" s="491">
        <v>1</v>
      </c>
      <c r="GA7" s="491">
        <v>1</v>
      </c>
      <c r="GB7" s="491">
        <v>1</v>
      </c>
      <c r="GC7" s="491">
        <v>1</v>
      </c>
      <c r="GD7" s="491">
        <v>1</v>
      </c>
      <c r="GE7" s="491">
        <v>1</v>
      </c>
      <c r="GF7" s="491">
        <v>1</v>
      </c>
      <c r="GG7" s="491">
        <v>1</v>
      </c>
      <c r="GH7" s="491">
        <v>1</v>
      </c>
      <c r="GI7" s="491">
        <v>1</v>
      </c>
      <c r="GJ7" s="491">
        <v>1</v>
      </c>
      <c r="GK7" s="491">
        <v>1</v>
      </c>
      <c r="GL7" s="491">
        <v>1</v>
      </c>
      <c r="GM7" s="491">
        <v>1</v>
      </c>
      <c r="GN7" s="491">
        <v>1</v>
      </c>
      <c r="GO7" s="491">
        <v>1</v>
      </c>
      <c r="GP7" s="491">
        <v>1</v>
      </c>
      <c r="GQ7" s="491">
        <v>1</v>
      </c>
      <c r="GR7" s="491">
        <v>1</v>
      </c>
      <c r="GS7" s="491">
        <v>1</v>
      </c>
      <c r="GT7" s="491">
        <v>1</v>
      </c>
      <c r="GU7" s="491">
        <v>1</v>
      </c>
      <c r="GV7" s="491">
        <v>1</v>
      </c>
      <c r="GW7" s="491">
        <v>1</v>
      </c>
      <c r="GX7" s="491">
        <v>1</v>
      </c>
      <c r="GY7" s="491">
        <v>1</v>
      </c>
      <c r="GZ7" s="491">
        <v>1</v>
      </c>
      <c r="HA7" s="491">
        <v>1</v>
      </c>
      <c r="HB7" s="491">
        <v>1</v>
      </c>
      <c r="HC7" s="491">
        <v>1</v>
      </c>
      <c r="HD7" s="491">
        <v>1</v>
      </c>
      <c r="HE7" s="491">
        <v>1</v>
      </c>
      <c r="HF7" s="491">
        <v>1</v>
      </c>
      <c r="HG7" s="491">
        <v>1</v>
      </c>
      <c r="HH7" s="491">
        <v>1</v>
      </c>
      <c r="HI7" s="491">
        <v>1</v>
      </c>
      <c r="HJ7" s="491">
        <v>1</v>
      </c>
      <c r="HK7" s="491">
        <v>1</v>
      </c>
      <c r="HL7" s="491">
        <v>1</v>
      </c>
      <c r="HM7" s="491">
        <v>1</v>
      </c>
      <c r="HN7" s="491">
        <v>1</v>
      </c>
      <c r="HO7" s="491">
        <v>1</v>
      </c>
      <c r="HP7" s="491">
        <v>1</v>
      </c>
      <c r="HQ7" s="491">
        <v>1</v>
      </c>
      <c r="HR7" s="491">
        <v>1</v>
      </c>
      <c r="HS7" s="491">
        <v>1</v>
      </c>
      <c r="HT7" s="491">
        <v>1</v>
      </c>
      <c r="HU7" s="491"/>
      <c r="HV7" s="491"/>
      <c r="HW7" s="491"/>
      <c r="HX7" s="491"/>
      <c r="HY7" s="491"/>
      <c r="HZ7" s="491"/>
      <c r="IA7" s="491"/>
      <c r="IB7" s="491"/>
      <c r="IC7" s="491"/>
      <c r="ID7" s="496" t="s">
        <v>398</v>
      </c>
      <c r="IE7" s="497" t="s">
        <v>399</v>
      </c>
      <c r="IF7" s="498" t="s">
        <v>400</v>
      </c>
      <c r="IG7" s="491">
        <v>1</v>
      </c>
      <c r="IH7" s="491"/>
    </row>
    <row r="8" spans="1:243" ht="16.5">
      <c r="A8" s="104">
        <v>7</v>
      </c>
      <c r="B8" s="104" t="s">
        <v>772</v>
      </c>
      <c r="C8" s="104" t="s">
        <v>767</v>
      </c>
      <c r="D8" s="116" t="s">
        <v>768</v>
      </c>
      <c r="E8" s="105">
        <v>45926</v>
      </c>
      <c r="F8" s="104" t="s">
        <v>759</v>
      </c>
      <c r="G8" s="104" t="s">
        <v>764</v>
      </c>
      <c r="H8" s="484" t="s">
        <v>96</v>
      </c>
      <c r="I8" s="238" t="s">
        <v>276</v>
      </c>
      <c r="J8" s="485" t="s">
        <v>401</v>
      </c>
      <c r="K8" s="238" t="s">
        <v>511</v>
      </c>
      <c r="L8" s="238" t="s">
        <v>755</v>
      </c>
      <c r="M8" s="11">
        <v>0</v>
      </c>
      <c r="N8" s="33">
        <v>1</v>
      </c>
      <c r="O8" s="33"/>
      <c r="P8" s="33"/>
      <c r="Q8" s="33">
        <f t="shared" si="0"/>
        <v>4</v>
      </c>
      <c r="R8" s="33">
        <v>1</v>
      </c>
      <c r="S8" s="33">
        <v>1</v>
      </c>
      <c r="T8" s="33">
        <v>1</v>
      </c>
      <c r="U8" s="33">
        <v>1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11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95">
        <v>45930</v>
      </c>
      <c r="IE8" s="22" t="s">
        <v>402</v>
      </c>
      <c r="IF8" s="486" t="s">
        <v>392</v>
      </c>
      <c r="IG8" s="11" t="s">
        <v>61</v>
      </c>
      <c r="IH8" s="11"/>
    </row>
    <row r="9" spans="1:243" ht="16.5">
      <c r="A9" s="104">
        <v>8</v>
      </c>
      <c r="B9" s="104" t="s">
        <v>773</v>
      </c>
      <c r="C9" s="104" t="s">
        <v>774</v>
      </c>
      <c r="D9" s="116" t="s">
        <v>775</v>
      </c>
      <c r="E9" s="105">
        <v>45932</v>
      </c>
      <c r="F9" s="104" t="s">
        <v>759</v>
      </c>
      <c r="G9" s="104" t="s">
        <v>764</v>
      </c>
      <c r="H9" s="484" t="s">
        <v>110</v>
      </c>
      <c r="I9" s="238" t="s">
        <v>274</v>
      </c>
      <c r="J9" s="485" t="s">
        <v>208</v>
      </c>
      <c r="K9" s="238" t="s">
        <v>511</v>
      </c>
      <c r="L9" s="238" t="s">
        <v>755</v>
      </c>
      <c r="M9" s="11">
        <v>0</v>
      </c>
      <c r="N9" s="33">
        <v>1</v>
      </c>
      <c r="O9" s="33"/>
      <c r="P9" s="33"/>
      <c r="Q9" s="33">
        <f t="shared" si="0"/>
        <v>4</v>
      </c>
      <c r="R9" s="33">
        <v>1</v>
      </c>
      <c r="S9" s="33">
        <v>1</v>
      </c>
      <c r="T9" s="33">
        <v>1</v>
      </c>
      <c r="U9" s="33">
        <v>1</v>
      </c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95">
        <v>45932</v>
      </c>
      <c r="IE9" s="22" t="s">
        <v>402</v>
      </c>
      <c r="IF9" s="486" t="s">
        <v>392</v>
      </c>
      <c r="IG9" s="11" t="s">
        <v>61</v>
      </c>
      <c r="IH9" s="11"/>
    </row>
    <row r="10" spans="1:243" s="511" customFormat="1" ht="16.5">
      <c r="A10" s="500">
        <v>9</v>
      </c>
      <c r="B10" s="500"/>
      <c r="C10" s="500" t="s">
        <v>776</v>
      </c>
      <c r="D10" s="501" t="s">
        <v>777</v>
      </c>
      <c r="E10" s="502">
        <v>45933</v>
      </c>
      <c r="F10" s="500" t="s">
        <v>759</v>
      </c>
      <c r="G10" s="500" t="s">
        <v>778</v>
      </c>
      <c r="H10" s="503" t="s">
        <v>112</v>
      </c>
      <c r="I10" s="504" t="s">
        <v>276</v>
      </c>
      <c r="J10" s="503" t="s">
        <v>403</v>
      </c>
      <c r="K10" s="504" t="s">
        <v>512</v>
      </c>
      <c r="L10" s="504"/>
      <c r="M10" s="505">
        <v>0</v>
      </c>
      <c r="N10" s="506">
        <v>1</v>
      </c>
      <c r="O10" s="506"/>
      <c r="P10" s="507" t="b">
        <v>0</v>
      </c>
      <c r="Q10" s="506">
        <f t="shared" si="0"/>
        <v>5</v>
      </c>
      <c r="R10" s="506">
        <v>1</v>
      </c>
      <c r="S10" s="506">
        <v>1</v>
      </c>
      <c r="T10" s="506">
        <v>1</v>
      </c>
      <c r="U10" s="506">
        <v>1</v>
      </c>
      <c r="V10" s="506">
        <v>1</v>
      </c>
      <c r="W10" s="506"/>
      <c r="X10" s="506"/>
      <c r="Y10" s="506"/>
      <c r="Z10" s="506"/>
      <c r="AA10" s="506"/>
      <c r="AB10" s="506"/>
      <c r="AC10" s="506"/>
      <c r="AD10" s="506"/>
      <c r="AE10" s="506"/>
      <c r="AF10" s="506"/>
      <c r="AG10" s="506"/>
      <c r="AH10" s="506"/>
      <c r="AI10" s="506"/>
      <c r="AJ10" s="506"/>
      <c r="AK10" s="506"/>
      <c r="AL10" s="506"/>
      <c r="AM10" s="506"/>
      <c r="AN10" s="506"/>
      <c r="AO10" s="506"/>
      <c r="AP10" s="506"/>
      <c r="AQ10" s="506"/>
      <c r="AR10" s="506"/>
      <c r="AS10" s="506"/>
      <c r="AT10" s="506"/>
      <c r="AU10" s="506"/>
      <c r="AV10" s="506"/>
      <c r="AW10" s="506"/>
      <c r="AX10" s="506"/>
      <c r="AY10" s="506"/>
      <c r="AZ10" s="506"/>
      <c r="BA10" s="506"/>
      <c r="BB10" s="506"/>
      <c r="BC10" s="506"/>
      <c r="BD10" s="506"/>
      <c r="BE10" s="506"/>
      <c r="BF10" s="506"/>
      <c r="BG10" s="506"/>
      <c r="BH10" s="506"/>
      <c r="BI10" s="506"/>
      <c r="BJ10" s="506"/>
      <c r="BK10" s="506"/>
      <c r="BL10" s="506"/>
      <c r="BM10" s="506"/>
      <c r="BN10" s="506"/>
      <c r="BO10" s="506"/>
      <c r="BP10" s="506"/>
      <c r="BQ10" s="506"/>
      <c r="BR10" s="506"/>
      <c r="BS10" s="506"/>
      <c r="BT10" s="506"/>
      <c r="BU10" s="506"/>
      <c r="BV10" s="506"/>
      <c r="BW10" s="506"/>
      <c r="BX10" s="506"/>
      <c r="BY10" s="506"/>
      <c r="BZ10" s="506"/>
      <c r="CA10" s="506"/>
      <c r="CB10" s="506"/>
      <c r="CC10" s="506"/>
      <c r="CD10" s="506"/>
      <c r="CE10" s="506"/>
      <c r="CF10" s="506"/>
      <c r="CG10" s="506"/>
      <c r="CH10" s="506"/>
      <c r="CI10" s="506"/>
      <c r="CJ10" s="506"/>
      <c r="CK10" s="506"/>
      <c r="CL10" s="506"/>
      <c r="CM10" s="506"/>
      <c r="CN10" s="506"/>
      <c r="CO10" s="506"/>
      <c r="CP10" s="506"/>
      <c r="CQ10" s="506"/>
      <c r="CR10" s="506"/>
      <c r="CS10" s="506"/>
      <c r="CT10" s="506"/>
      <c r="CU10" s="506"/>
      <c r="CV10" s="506"/>
      <c r="CW10" s="506"/>
      <c r="CX10" s="506"/>
      <c r="CY10" s="506"/>
      <c r="CZ10" s="506"/>
      <c r="DA10" s="506"/>
      <c r="DB10" s="506"/>
      <c r="DC10" s="506"/>
      <c r="DD10" s="506"/>
      <c r="DE10" s="506"/>
      <c r="DF10" s="506"/>
      <c r="DG10" s="506"/>
      <c r="DH10" s="506"/>
      <c r="DI10" s="506"/>
      <c r="DJ10" s="506"/>
      <c r="DK10" s="506"/>
      <c r="DL10" s="506"/>
      <c r="DM10" s="506"/>
      <c r="DN10" s="506"/>
      <c r="DO10" s="506"/>
      <c r="DP10" s="506"/>
      <c r="DQ10" s="506"/>
      <c r="DR10" s="506"/>
      <c r="DS10" s="506"/>
      <c r="DT10" s="506"/>
      <c r="DU10" s="506"/>
      <c r="DV10" s="506"/>
      <c r="DW10" s="506"/>
      <c r="DX10" s="506"/>
      <c r="DY10" s="506"/>
      <c r="DZ10" s="506"/>
      <c r="EA10" s="506"/>
      <c r="EB10" s="506"/>
      <c r="EC10" s="506"/>
      <c r="ED10" s="506"/>
      <c r="EE10" s="506"/>
      <c r="EF10" s="506"/>
      <c r="EG10" s="506"/>
      <c r="EH10" s="506"/>
      <c r="EI10" s="506"/>
      <c r="EJ10" s="506"/>
      <c r="EK10" s="506"/>
      <c r="EL10" s="506"/>
      <c r="EM10" s="506"/>
      <c r="EN10" s="506"/>
      <c r="EO10" s="506"/>
      <c r="EP10" s="506"/>
      <c r="EQ10" s="506"/>
      <c r="ER10" s="506"/>
      <c r="ES10" s="506"/>
      <c r="ET10" s="506"/>
      <c r="EU10" s="506"/>
      <c r="EV10" s="506"/>
      <c r="EW10" s="506"/>
      <c r="EX10" s="506"/>
      <c r="EY10" s="506"/>
      <c r="EZ10" s="506"/>
      <c r="FA10" s="506"/>
      <c r="FB10" s="506"/>
      <c r="FC10" s="506"/>
      <c r="FD10" s="506"/>
      <c r="FE10" s="506"/>
      <c r="FF10" s="506"/>
      <c r="FG10" s="506"/>
      <c r="FH10" s="506"/>
      <c r="FI10" s="506"/>
      <c r="FJ10" s="506"/>
      <c r="FK10" s="506"/>
      <c r="FL10" s="506"/>
      <c r="FM10" s="506"/>
      <c r="FN10" s="506"/>
      <c r="FO10" s="506"/>
      <c r="FP10" s="506"/>
      <c r="FQ10" s="506"/>
      <c r="FR10" s="506"/>
      <c r="FS10" s="506"/>
      <c r="FT10" s="506"/>
      <c r="FU10" s="506"/>
      <c r="FV10" s="506"/>
      <c r="FW10" s="506"/>
      <c r="FX10" s="506"/>
      <c r="FY10" s="506"/>
      <c r="FZ10" s="506"/>
      <c r="GA10" s="506"/>
      <c r="GB10" s="506"/>
      <c r="GC10" s="506"/>
      <c r="GD10" s="506"/>
      <c r="GE10" s="506"/>
      <c r="GF10" s="506"/>
      <c r="GG10" s="506"/>
      <c r="GH10" s="506"/>
      <c r="GI10" s="506"/>
      <c r="GJ10" s="506"/>
      <c r="GK10" s="506"/>
      <c r="GL10" s="506"/>
      <c r="GM10" s="506"/>
      <c r="GN10" s="506"/>
      <c r="GO10" s="506"/>
      <c r="GP10" s="506"/>
      <c r="GQ10" s="506"/>
      <c r="GR10" s="506"/>
      <c r="GS10" s="506"/>
      <c r="GT10" s="506"/>
      <c r="GU10" s="506"/>
      <c r="GV10" s="506"/>
      <c r="GW10" s="506"/>
      <c r="GX10" s="506"/>
      <c r="GY10" s="506"/>
      <c r="GZ10" s="506"/>
      <c r="HA10" s="506"/>
      <c r="HB10" s="506"/>
      <c r="HC10" s="506"/>
      <c r="HD10" s="506"/>
      <c r="HE10" s="506"/>
      <c r="HF10" s="506"/>
      <c r="HG10" s="506"/>
      <c r="HH10" s="506"/>
      <c r="HI10" s="506"/>
      <c r="HJ10" s="506"/>
      <c r="HK10" s="506"/>
      <c r="HL10" s="506"/>
      <c r="HM10" s="506"/>
      <c r="HN10" s="506"/>
      <c r="HO10" s="506"/>
      <c r="HP10" s="506"/>
      <c r="HQ10" s="506"/>
      <c r="HR10" s="506"/>
      <c r="HS10" s="506"/>
      <c r="HT10" s="506"/>
      <c r="HU10" s="506"/>
      <c r="HV10" s="506"/>
      <c r="HW10" s="506"/>
      <c r="HX10" s="506"/>
      <c r="HY10" s="506"/>
      <c r="HZ10" s="506"/>
      <c r="IA10" s="506"/>
      <c r="IB10" s="506"/>
      <c r="IC10" s="506"/>
      <c r="ID10" s="508" t="s">
        <v>61</v>
      </c>
      <c r="IE10" s="509" t="s">
        <v>404</v>
      </c>
      <c r="IF10" s="510" t="s">
        <v>405</v>
      </c>
      <c r="IG10" s="505" t="s">
        <v>61</v>
      </c>
      <c r="IH10" s="505"/>
    </row>
    <row r="11" spans="1:243" ht="16.5">
      <c r="A11" s="104">
        <v>10</v>
      </c>
      <c r="B11" s="104" t="s">
        <v>779</v>
      </c>
      <c r="C11" s="104" t="s">
        <v>776</v>
      </c>
      <c r="D11" s="116" t="s">
        <v>777</v>
      </c>
      <c r="E11" s="105">
        <v>45933</v>
      </c>
      <c r="F11" s="104" t="s">
        <v>759</v>
      </c>
      <c r="G11" s="104" t="s">
        <v>778</v>
      </c>
      <c r="H11" s="485" t="s">
        <v>112</v>
      </c>
      <c r="I11" s="238" t="s">
        <v>276</v>
      </c>
      <c r="J11" s="485" t="s">
        <v>406</v>
      </c>
      <c r="K11" s="238" t="s">
        <v>511</v>
      </c>
      <c r="L11" s="238" t="s">
        <v>755</v>
      </c>
      <c r="M11" s="11">
        <v>0</v>
      </c>
      <c r="N11" s="33">
        <v>1</v>
      </c>
      <c r="O11" s="33"/>
      <c r="P11" s="33"/>
      <c r="Q11" s="33">
        <f t="shared" si="0"/>
        <v>10</v>
      </c>
      <c r="R11" s="33">
        <v>1</v>
      </c>
      <c r="S11" s="33">
        <v>1</v>
      </c>
      <c r="T11" s="33">
        <v>1</v>
      </c>
      <c r="U11" s="33">
        <v>1</v>
      </c>
      <c r="V11" s="33">
        <v>1</v>
      </c>
      <c r="W11" s="33">
        <v>1</v>
      </c>
      <c r="X11" s="33">
        <v>1</v>
      </c>
      <c r="Y11" s="33">
        <v>1</v>
      </c>
      <c r="Z11" s="33">
        <v>1</v>
      </c>
      <c r="AA11" s="33">
        <v>1</v>
      </c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95">
        <v>45940</v>
      </c>
      <c r="IE11" s="22" t="s">
        <v>394</v>
      </c>
      <c r="IF11" s="486" t="s">
        <v>392</v>
      </c>
      <c r="IG11" s="11" t="s">
        <v>61</v>
      </c>
      <c r="IH11" s="11"/>
    </row>
    <row r="12" spans="1:243" s="499" customFormat="1">
      <c r="A12" s="487">
        <v>11</v>
      </c>
      <c r="B12" s="487" t="s">
        <v>780</v>
      </c>
      <c r="C12" s="487" t="s">
        <v>776</v>
      </c>
      <c r="D12" s="488" t="s">
        <v>777</v>
      </c>
      <c r="E12" s="489">
        <v>45933</v>
      </c>
      <c r="F12" s="487" t="s">
        <v>759</v>
      </c>
      <c r="G12" s="487" t="s">
        <v>778</v>
      </c>
      <c r="H12" s="512" t="s">
        <v>112</v>
      </c>
      <c r="I12" s="491" t="s">
        <v>276</v>
      </c>
      <c r="J12" s="513" t="s">
        <v>407</v>
      </c>
      <c r="K12" s="491" t="s">
        <v>398</v>
      </c>
      <c r="L12" s="491" t="s">
        <v>771</v>
      </c>
      <c r="M12" s="493">
        <v>1</v>
      </c>
      <c r="N12" s="491">
        <v>0</v>
      </c>
      <c r="O12" s="494" t="s">
        <v>696</v>
      </c>
      <c r="P12" s="514" t="b">
        <v>1</v>
      </c>
      <c r="Q12" s="493">
        <f>SUM(R12:IC12)</f>
        <v>204</v>
      </c>
      <c r="R12" s="491">
        <v>1</v>
      </c>
      <c r="S12" s="491">
        <v>1</v>
      </c>
      <c r="T12" s="491">
        <v>1</v>
      </c>
      <c r="U12" s="491">
        <v>1</v>
      </c>
      <c r="V12" s="491">
        <v>1</v>
      </c>
      <c r="W12" s="491">
        <v>1</v>
      </c>
      <c r="X12" s="491">
        <v>1</v>
      </c>
      <c r="Y12" s="491">
        <v>1</v>
      </c>
      <c r="Z12" s="491">
        <v>1</v>
      </c>
      <c r="AA12" s="491">
        <v>1</v>
      </c>
      <c r="AB12" s="491">
        <v>1</v>
      </c>
      <c r="AC12" s="491">
        <v>1</v>
      </c>
      <c r="AD12" s="491">
        <v>1</v>
      </c>
      <c r="AE12" s="491">
        <v>1</v>
      </c>
      <c r="AF12" s="491">
        <v>1</v>
      </c>
      <c r="AG12" s="491">
        <v>1</v>
      </c>
      <c r="AH12" s="491">
        <v>1</v>
      </c>
      <c r="AI12" s="491">
        <v>1</v>
      </c>
      <c r="AJ12" s="491">
        <v>1</v>
      </c>
      <c r="AK12" s="491">
        <v>1</v>
      </c>
      <c r="AL12" s="491">
        <v>1</v>
      </c>
      <c r="AM12" s="491">
        <v>1</v>
      </c>
      <c r="AN12" s="491">
        <v>1</v>
      </c>
      <c r="AO12" s="491">
        <v>1</v>
      </c>
      <c r="AP12" s="491">
        <v>1</v>
      </c>
      <c r="AQ12" s="491">
        <v>1</v>
      </c>
      <c r="AR12" s="491">
        <v>1</v>
      </c>
      <c r="AS12" s="491">
        <v>1</v>
      </c>
      <c r="AT12" s="491">
        <v>1</v>
      </c>
      <c r="AU12" s="491">
        <v>1</v>
      </c>
      <c r="AV12" s="491">
        <v>1</v>
      </c>
      <c r="AW12" s="491">
        <v>1</v>
      </c>
      <c r="AX12" s="491">
        <v>1</v>
      </c>
      <c r="AY12" s="491">
        <v>1</v>
      </c>
      <c r="AZ12" s="491">
        <v>1</v>
      </c>
      <c r="BA12" s="491">
        <v>1</v>
      </c>
      <c r="BB12" s="491">
        <v>1</v>
      </c>
      <c r="BC12" s="491">
        <v>1</v>
      </c>
      <c r="BD12" s="491">
        <v>1</v>
      </c>
      <c r="BE12" s="491">
        <v>1</v>
      </c>
      <c r="BF12" s="491">
        <v>1</v>
      </c>
      <c r="BG12" s="491">
        <v>1</v>
      </c>
      <c r="BH12" s="491">
        <v>1</v>
      </c>
      <c r="BI12" s="491">
        <v>1</v>
      </c>
      <c r="BJ12" s="491">
        <v>1</v>
      </c>
      <c r="BK12" s="491">
        <v>1</v>
      </c>
      <c r="BL12" s="491">
        <v>1</v>
      </c>
      <c r="BM12" s="491">
        <v>1</v>
      </c>
      <c r="BN12" s="491">
        <v>1</v>
      </c>
      <c r="BO12" s="491">
        <v>1</v>
      </c>
      <c r="BP12" s="491">
        <v>1</v>
      </c>
      <c r="BQ12" s="491">
        <v>1</v>
      </c>
      <c r="BR12" s="491">
        <v>1</v>
      </c>
      <c r="BS12" s="491">
        <v>1</v>
      </c>
      <c r="BT12" s="491">
        <v>1</v>
      </c>
      <c r="BU12" s="491">
        <v>1</v>
      </c>
      <c r="BV12" s="491">
        <v>1</v>
      </c>
      <c r="BW12" s="491">
        <v>1</v>
      </c>
      <c r="BX12" s="491">
        <v>1</v>
      </c>
      <c r="BY12" s="491">
        <v>1</v>
      </c>
      <c r="BZ12" s="491">
        <v>1</v>
      </c>
      <c r="CA12" s="491">
        <v>1</v>
      </c>
      <c r="CB12" s="491">
        <v>1</v>
      </c>
      <c r="CC12" s="491">
        <v>1</v>
      </c>
      <c r="CD12" s="491">
        <v>1</v>
      </c>
      <c r="CE12" s="491">
        <v>1</v>
      </c>
      <c r="CF12" s="491">
        <v>1</v>
      </c>
      <c r="CG12" s="491">
        <v>1</v>
      </c>
      <c r="CH12" s="491">
        <v>1</v>
      </c>
      <c r="CI12" s="491">
        <v>1</v>
      </c>
      <c r="CJ12" s="491">
        <v>1</v>
      </c>
      <c r="CK12" s="491">
        <v>1</v>
      </c>
      <c r="CL12" s="491">
        <v>1</v>
      </c>
      <c r="CM12" s="491">
        <v>1</v>
      </c>
      <c r="CN12" s="491">
        <v>1</v>
      </c>
      <c r="CO12" s="491">
        <v>1</v>
      </c>
      <c r="CP12" s="491">
        <v>1</v>
      </c>
      <c r="CQ12" s="491">
        <v>1</v>
      </c>
      <c r="CR12" s="491">
        <v>1</v>
      </c>
      <c r="CS12" s="491">
        <v>1</v>
      </c>
      <c r="CT12" s="491">
        <v>1</v>
      </c>
      <c r="CU12" s="491">
        <v>1</v>
      </c>
      <c r="CV12" s="491">
        <v>1</v>
      </c>
      <c r="CW12" s="491">
        <v>1</v>
      </c>
      <c r="CX12" s="491">
        <v>1</v>
      </c>
      <c r="CY12" s="491">
        <v>1</v>
      </c>
      <c r="CZ12" s="491">
        <v>1</v>
      </c>
      <c r="DA12" s="491">
        <v>1</v>
      </c>
      <c r="DB12" s="491">
        <v>1</v>
      </c>
      <c r="DC12" s="491">
        <v>1</v>
      </c>
      <c r="DD12" s="491">
        <v>1</v>
      </c>
      <c r="DE12" s="491">
        <v>1</v>
      </c>
      <c r="DF12" s="491">
        <v>1</v>
      </c>
      <c r="DG12" s="491">
        <v>1</v>
      </c>
      <c r="DH12" s="491">
        <v>1</v>
      </c>
      <c r="DI12" s="491">
        <v>1</v>
      </c>
      <c r="DJ12" s="491">
        <v>1</v>
      </c>
      <c r="DK12" s="491">
        <v>1</v>
      </c>
      <c r="DL12" s="491">
        <v>1</v>
      </c>
      <c r="DM12" s="491">
        <v>1</v>
      </c>
      <c r="DN12" s="491">
        <v>1</v>
      </c>
      <c r="DO12" s="491">
        <v>1</v>
      </c>
      <c r="DP12" s="491">
        <v>1</v>
      </c>
      <c r="DQ12" s="491">
        <v>1</v>
      </c>
      <c r="DR12" s="491">
        <v>1</v>
      </c>
      <c r="DS12" s="491">
        <v>1</v>
      </c>
      <c r="DT12" s="491">
        <v>1</v>
      </c>
      <c r="DU12" s="491">
        <v>1</v>
      </c>
      <c r="DV12" s="491">
        <v>1</v>
      </c>
      <c r="DW12" s="491">
        <v>1</v>
      </c>
      <c r="DX12" s="491">
        <v>1</v>
      </c>
      <c r="DY12" s="491">
        <v>1</v>
      </c>
      <c r="DZ12" s="491">
        <v>1</v>
      </c>
      <c r="EA12" s="491">
        <v>1</v>
      </c>
      <c r="EB12" s="491">
        <v>1</v>
      </c>
      <c r="EC12" s="491">
        <v>1</v>
      </c>
      <c r="ED12" s="491">
        <v>1</v>
      </c>
      <c r="EE12" s="491">
        <v>1</v>
      </c>
      <c r="EF12" s="491">
        <v>1</v>
      </c>
      <c r="EG12" s="491">
        <v>1</v>
      </c>
      <c r="EH12" s="491">
        <v>1</v>
      </c>
      <c r="EI12" s="491">
        <v>1</v>
      </c>
      <c r="EJ12" s="491">
        <v>1</v>
      </c>
      <c r="EK12" s="491">
        <v>1</v>
      </c>
      <c r="EL12" s="491">
        <v>1</v>
      </c>
      <c r="EM12" s="491">
        <v>1</v>
      </c>
      <c r="EN12" s="491">
        <v>1</v>
      </c>
      <c r="EO12" s="491">
        <v>1</v>
      </c>
      <c r="EP12" s="491">
        <v>1</v>
      </c>
      <c r="EQ12" s="491">
        <v>1</v>
      </c>
      <c r="ER12" s="491">
        <v>1</v>
      </c>
      <c r="ES12" s="491">
        <v>1</v>
      </c>
      <c r="ET12" s="491">
        <v>1</v>
      </c>
      <c r="EU12" s="491">
        <v>1</v>
      </c>
      <c r="EV12" s="491">
        <v>1</v>
      </c>
      <c r="EW12" s="491">
        <v>1</v>
      </c>
      <c r="EX12" s="491">
        <v>1</v>
      </c>
      <c r="EY12" s="491">
        <v>1</v>
      </c>
      <c r="EZ12" s="491">
        <v>1</v>
      </c>
      <c r="FA12" s="491">
        <v>1</v>
      </c>
      <c r="FB12" s="491">
        <v>1</v>
      </c>
      <c r="FC12" s="491">
        <v>1</v>
      </c>
      <c r="FD12" s="491">
        <v>1</v>
      </c>
      <c r="FE12" s="491">
        <v>1</v>
      </c>
      <c r="FF12" s="491">
        <v>1</v>
      </c>
      <c r="FG12" s="491">
        <v>1</v>
      </c>
      <c r="FH12" s="491">
        <v>1</v>
      </c>
      <c r="FI12" s="491">
        <v>1</v>
      </c>
      <c r="FJ12" s="491">
        <v>1</v>
      </c>
      <c r="FK12" s="491">
        <v>1</v>
      </c>
      <c r="FL12" s="491">
        <v>1</v>
      </c>
      <c r="FM12" s="491">
        <v>1</v>
      </c>
      <c r="FN12" s="491">
        <v>1</v>
      </c>
      <c r="FO12" s="491">
        <v>1</v>
      </c>
      <c r="FP12" s="491">
        <v>1</v>
      </c>
      <c r="FQ12" s="491">
        <v>1</v>
      </c>
      <c r="FR12" s="491">
        <v>1</v>
      </c>
      <c r="FS12" s="491">
        <v>1</v>
      </c>
      <c r="FT12" s="491">
        <v>1</v>
      </c>
      <c r="FU12" s="491">
        <v>1</v>
      </c>
      <c r="FV12" s="491">
        <v>1</v>
      </c>
      <c r="FW12" s="491">
        <v>1</v>
      </c>
      <c r="FX12" s="491">
        <v>1</v>
      </c>
      <c r="FY12" s="491">
        <v>1</v>
      </c>
      <c r="FZ12" s="491">
        <v>1</v>
      </c>
      <c r="GA12" s="491">
        <v>1</v>
      </c>
      <c r="GB12" s="491">
        <v>1</v>
      </c>
      <c r="GC12" s="491">
        <v>1</v>
      </c>
      <c r="GD12" s="491">
        <v>1</v>
      </c>
      <c r="GE12" s="491">
        <v>1</v>
      </c>
      <c r="GF12" s="491">
        <v>1</v>
      </c>
      <c r="GG12" s="491">
        <v>1</v>
      </c>
      <c r="GH12" s="491">
        <v>1</v>
      </c>
      <c r="GI12" s="491">
        <v>1</v>
      </c>
      <c r="GJ12" s="491">
        <v>1</v>
      </c>
      <c r="GK12" s="491">
        <v>1</v>
      </c>
      <c r="GL12" s="491">
        <v>1</v>
      </c>
      <c r="GM12" s="491">
        <v>1</v>
      </c>
      <c r="GN12" s="491">
        <v>1</v>
      </c>
      <c r="GO12" s="491">
        <v>1</v>
      </c>
      <c r="GP12" s="491">
        <v>1</v>
      </c>
      <c r="GQ12" s="491">
        <v>1</v>
      </c>
      <c r="GR12" s="491">
        <v>1</v>
      </c>
      <c r="GS12" s="491">
        <v>1</v>
      </c>
      <c r="GT12" s="491">
        <v>1</v>
      </c>
      <c r="GU12" s="491">
        <v>1</v>
      </c>
      <c r="GV12" s="491">
        <v>1</v>
      </c>
      <c r="GW12" s="491">
        <v>1</v>
      </c>
      <c r="GX12" s="491">
        <v>1</v>
      </c>
      <c r="GY12" s="491">
        <v>1</v>
      </c>
      <c r="GZ12" s="491">
        <v>1</v>
      </c>
      <c r="HA12" s="491">
        <v>1</v>
      </c>
      <c r="HB12" s="491">
        <v>1</v>
      </c>
      <c r="HC12" s="491">
        <v>1</v>
      </c>
      <c r="HD12" s="491">
        <v>1</v>
      </c>
      <c r="HE12" s="491">
        <v>1</v>
      </c>
      <c r="HF12" s="491">
        <v>1</v>
      </c>
      <c r="HG12" s="491">
        <v>1</v>
      </c>
      <c r="HH12" s="491">
        <v>1</v>
      </c>
      <c r="HI12" s="491">
        <v>1</v>
      </c>
      <c r="HJ12" s="491">
        <v>1</v>
      </c>
      <c r="HK12" s="491">
        <v>1</v>
      </c>
      <c r="HL12" s="491">
        <v>1</v>
      </c>
      <c r="HM12" s="491">
        <v>1</v>
      </c>
      <c r="HN12" s="491"/>
      <c r="HO12" s="491"/>
      <c r="HP12" s="491"/>
      <c r="HQ12" s="491"/>
      <c r="HR12" s="491"/>
      <c r="HS12" s="491"/>
      <c r="HT12" s="491"/>
      <c r="HU12" s="491"/>
      <c r="HV12" s="491"/>
      <c r="HW12" s="491"/>
      <c r="HX12" s="491"/>
      <c r="HY12" s="491"/>
      <c r="HZ12" s="491"/>
      <c r="IA12" s="491"/>
      <c r="IB12" s="491"/>
      <c r="IC12" s="491"/>
      <c r="ID12" s="496" t="s">
        <v>398</v>
      </c>
      <c r="IE12" s="515" t="s">
        <v>408</v>
      </c>
      <c r="IF12" s="498" t="s">
        <v>409</v>
      </c>
      <c r="IG12" s="491">
        <v>2</v>
      </c>
      <c r="IH12" s="491"/>
    </row>
    <row r="13" spans="1:243" ht="16.5">
      <c r="A13" s="104">
        <v>12</v>
      </c>
      <c r="B13" s="104" t="s">
        <v>781</v>
      </c>
      <c r="C13" s="104" t="s">
        <v>782</v>
      </c>
      <c r="D13" s="116" t="s">
        <v>783</v>
      </c>
      <c r="E13" s="105">
        <v>45937</v>
      </c>
      <c r="F13" s="104" t="s">
        <v>759</v>
      </c>
      <c r="G13" s="104" t="s">
        <v>760</v>
      </c>
      <c r="H13" s="484" t="s">
        <v>101</v>
      </c>
      <c r="I13" s="238" t="s">
        <v>246</v>
      </c>
      <c r="J13" s="485" t="s">
        <v>410</v>
      </c>
      <c r="K13" s="238" t="s">
        <v>511</v>
      </c>
      <c r="L13" s="238" t="s">
        <v>755</v>
      </c>
      <c r="M13" s="11">
        <v>0</v>
      </c>
      <c r="N13" s="33">
        <v>1</v>
      </c>
      <c r="O13" s="33"/>
      <c r="P13" s="33"/>
      <c r="Q13" s="33">
        <f t="shared" si="0"/>
        <v>3</v>
      </c>
      <c r="R13" s="33">
        <v>1</v>
      </c>
      <c r="S13" s="33">
        <v>1</v>
      </c>
      <c r="T13" s="33">
        <v>1</v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95">
        <v>45940</v>
      </c>
      <c r="IE13" s="22" t="s">
        <v>411</v>
      </c>
      <c r="IF13" s="486" t="s">
        <v>392</v>
      </c>
      <c r="IG13" s="11" t="s">
        <v>61</v>
      </c>
      <c r="IH13" s="11"/>
    </row>
    <row r="14" spans="1:243" ht="16.5">
      <c r="A14" s="104">
        <v>13</v>
      </c>
      <c r="B14" s="104" t="s">
        <v>784</v>
      </c>
      <c r="C14" s="104" t="s">
        <v>782</v>
      </c>
      <c r="D14" s="116" t="s">
        <v>783</v>
      </c>
      <c r="E14" s="105">
        <v>45937</v>
      </c>
      <c r="F14" s="104" t="s">
        <v>759</v>
      </c>
      <c r="G14" s="104" t="s">
        <v>760</v>
      </c>
      <c r="H14" s="484" t="s">
        <v>101</v>
      </c>
      <c r="I14" s="238" t="s">
        <v>246</v>
      </c>
      <c r="J14" s="485" t="s">
        <v>412</v>
      </c>
      <c r="K14" s="238" t="s">
        <v>511</v>
      </c>
      <c r="L14" s="238" t="s">
        <v>755</v>
      </c>
      <c r="M14" s="11">
        <v>0</v>
      </c>
      <c r="N14" s="33">
        <v>1</v>
      </c>
      <c r="O14" s="33"/>
      <c r="P14" s="33"/>
      <c r="Q14" s="33">
        <f t="shared" si="0"/>
        <v>3</v>
      </c>
      <c r="R14" s="33">
        <v>1</v>
      </c>
      <c r="S14" s="33">
        <v>1</v>
      </c>
      <c r="T14" s="33">
        <v>1</v>
      </c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95">
        <v>45940</v>
      </c>
      <c r="IE14" s="22" t="s">
        <v>411</v>
      </c>
      <c r="IF14" s="486" t="s">
        <v>392</v>
      </c>
      <c r="IG14" s="11" t="s">
        <v>61</v>
      </c>
      <c r="IH14" s="11"/>
    </row>
    <row r="15" spans="1:243">
      <c r="A15" s="535">
        <v>14</v>
      </c>
      <c r="B15" s="535" t="s">
        <v>834</v>
      </c>
      <c r="C15" s="535" t="s">
        <v>785</v>
      </c>
      <c r="D15" s="531" t="s">
        <v>786</v>
      </c>
      <c r="E15" s="536">
        <v>45940</v>
      </c>
      <c r="F15" s="535" t="s">
        <v>759</v>
      </c>
      <c r="G15" s="535" t="s">
        <v>769</v>
      </c>
      <c r="H15" s="484" t="s">
        <v>129</v>
      </c>
      <c r="I15" s="238" t="s">
        <v>274</v>
      </c>
      <c r="J15" s="537" t="s">
        <v>413</v>
      </c>
      <c r="K15" s="238" t="s">
        <v>511</v>
      </c>
      <c r="L15" s="238" t="s">
        <v>771</v>
      </c>
      <c r="M15" s="33">
        <v>1</v>
      </c>
      <c r="N15" s="11">
        <v>0</v>
      </c>
      <c r="O15" s="538" t="s">
        <v>695</v>
      </c>
      <c r="P15" s="539" t="b">
        <v>0</v>
      </c>
      <c r="Q15" s="33">
        <f>SUM(R15:GS15)</f>
        <v>183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11">
        <v>1</v>
      </c>
      <c r="AG15" s="11">
        <v>1</v>
      </c>
      <c r="AH15" s="11">
        <v>1</v>
      </c>
      <c r="AI15" s="11">
        <v>1</v>
      </c>
      <c r="AJ15" s="11">
        <v>1</v>
      </c>
      <c r="AK15" s="11">
        <v>1</v>
      </c>
      <c r="AL15" s="11">
        <v>1</v>
      </c>
      <c r="AM15" s="11">
        <v>1</v>
      </c>
      <c r="AN15" s="11">
        <v>1</v>
      </c>
      <c r="AO15" s="11">
        <v>1</v>
      </c>
      <c r="AP15" s="11">
        <v>1</v>
      </c>
      <c r="AQ15" s="11">
        <v>1</v>
      </c>
      <c r="AR15" s="11">
        <v>1</v>
      </c>
      <c r="AS15" s="11">
        <v>1</v>
      </c>
      <c r="AT15" s="11">
        <v>1</v>
      </c>
      <c r="AU15" s="11">
        <v>1</v>
      </c>
      <c r="AV15" s="11">
        <v>1</v>
      </c>
      <c r="AW15" s="11">
        <v>1</v>
      </c>
      <c r="AX15" s="11">
        <v>1</v>
      </c>
      <c r="AY15" s="11">
        <v>1</v>
      </c>
      <c r="AZ15" s="11">
        <v>1</v>
      </c>
      <c r="BA15" s="11">
        <v>1</v>
      </c>
      <c r="BB15" s="11">
        <v>1</v>
      </c>
      <c r="BC15" s="11">
        <v>1</v>
      </c>
      <c r="BD15" s="11">
        <v>1</v>
      </c>
      <c r="BE15" s="11">
        <v>1</v>
      </c>
      <c r="BF15" s="11">
        <v>1</v>
      </c>
      <c r="BG15" s="11">
        <v>1</v>
      </c>
      <c r="BH15" s="11">
        <v>1</v>
      </c>
      <c r="BI15" s="11">
        <v>1</v>
      </c>
      <c r="BJ15" s="11">
        <v>1</v>
      </c>
      <c r="BK15" s="11">
        <v>1</v>
      </c>
      <c r="BL15" s="11">
        <v>1</v>
      </c>
      <c r="BM15" s="11">
        <v>1</v>
      </c>
      <c r="BN15" s="11">
        <v>1</v>
      </c>
      <c r="BO15" s="11">
        <v>1</v>
      </c>
      <c r="BP15" s="11">
        <v>1</v>
      </c>
      <c r="BQ15" s="11">
        <v>1</v>
      </c>
      <c r="BR15" s="11">
        <v>1</v>
      </c>
      <c r="BS15" s="11">
        <v>1</v>
      </c>
      <c r="BT15" s="11">
        <v>1</v>
      </c>
      <c r="BU15" s="11">
        <v>1</v>
      </c>
      <c r="BV15" s="11">
        <v>1</v>
      </c>
      <c r="BW15" s="11">
        <v>1</v>
      </c>
      <c r="BX15" s="11">
        <v>1</v>
      </c>
      <c r="BY15" s="11">
        <v>1</v>
      </c>
      <c r="BZ15" s="11">
        <v>1</v>
      </c>
      <c r="CA15" s="11">
        <v>1</v>
      </c>
      <c r="CB15" s="11">
        <v>1</v>
      </c>
      <c r="CC15" s="11">
        <v>1</v>
      </c>
      <c r="CD15" s="11">
        <v>1</v>
      </c>
      <c r="CE15" s="11">
        <v>1</v>
      </c>
      <c r="CF15" s="11">
        <v>1</v>
      </c>
      <c r="CG15" s="11">
        <v>1</v>
      </c>
      <c r="CH15" s="11">
        <v>1</v>
      </c>
      <c r="CI15" s="11">
        <v>1</v>
      </c>
      <c r="CJ15" s="11">
        <v>1</v>
      </c>
      <c r="CK15" s="11">
        <v>1</v>
      </c>
      <c r="CL15" s="11">
        <v>1</v>
      </c>
      <c r="CM15" s="11">
        <v>1</v>
      </c>
      <c r="CN15" s="11">
        <v>1</v>
      </c>
      <c r="CO15" s="11">
        <v>1</v>
      </c>
      <c r="CP15" s="11">
        <v>1</v>
      </c>
      <c r="CQ15" s="11">
        <v>1</v>
      </c>
      <c r="CR15" s="11">
        <v>1</v>
      </c>
      <c r="CS15" s="11">
        <v>1</v>
      </c>
      <c r="CT15" s="11">
        <v>1</v>
      </c>
      <c r="CU15" s="11">
        <v>1</v>
      </c>
      <c r="CV15" s="11">
        <v>1</v>
      </c>
      <c r="CW15" s="11">
        <v>1</v>
      </c>
      <c r="CX15" s="11">
        <v>1</v>
      </c>
      <c r="CY15" s="11">
        <v>1</v>
      </c>
      <c r="CZ15" s="11">
        <v>1</v>
      </c>
      <c r="DA15" s="11">
        <v>1</v>
      </c>
      <c r="DB15" s="11">
        <v>1</v>
      </c>
      <c r="DC15" s="11">
        <v>1</v>
      </c>
      <c r="DD15" s="11">
        <v>1</v>
      </c>
      <c r="DE15" s="11">
        <v>1</v>
      </c>
      <c r="DF15" s="11">
        <v>1</v>
      </c>
      <c r="DG15" s="11">
        <v>1</v>
      </c>
      <c r="DH15" s="11">
        <v>1</v>
      </c>
      <c r="DI15" s="11">
        <v>1</v>
      </c>
      <c r="DJ15" s="11">
        <v>1</v>
      </c>
      <c r="DK15" s="11">
        <v>1</v>
      </c>
      <c r="DL15" s="11">
        <v>1</v>
      </c>
      <c r="DM15" s="11">
        <v>1</v>
      </c>
      <c r="DN15" s="11">
        <v>1</v>
      </c>
      <c r="DO15" s="11">
        <v>1</v>
      </c>
      <c r="DP15" s="11">
        <v>1</v>
      </c>
      <c r="DQ15" s="11">
        <v>1</v>
      </c>
      <c r="DR15" s="11">
        <v>1</v>
      </c>
      <c r="DS15" s="11">
        <v>1</v>
      </c>
      <c r="DT15" s="11">
        <v>1</v>
      </c>
      <c r="DU15" s="11">
        <v>1</v>
      </c>
      <c r="DV15" s="11">
        <v>1</v>
      </c>
      <c r="DW15" s="11">
        <v>1</v>
      </c>
      <c r="DX15" s="11">
        <v>1</v>
      </c>
      <c r="DY15" s="11">
        <v>1</v>
      </c>
      <c r="DZ15" s="11">
        <v>1</v>
      </c>
      <c r="EA15" s="11">
        <v>1</v>
      </c>
      <c r="EB15" s="11">
        <v>1</v>
      </c>
      <c r="EC15" s="11">
        <v>1</v>
      </c>
      <c r="ED15" s="11">
        <v>1</v>
      </c>
      <c r="EE15" s="11">
        <v>1</v>
      </c>
      <c r="EF15" s="11">
        <v>1</v>
      </c>
      <c r="EG15" s="11">
        <v>1</v>
      </c>
      <c r="EH15" s="11">
        <v>1</v>
      </c>
      <c r="EI15" s="11">
        <v>1</v>
      </c>
      <c r="EJ15" s="11">
        <v>1</v>
      </c>
      <c r="EK15" s="11">
        <v>1</v>
      </c>
      <c r="EL15" s="11">
        <v>1</v>
      </c>
      <c r="EM15" s="11">
        <v>1</v>
      </c>
      <c r="EN15" s="11">
        <v>1</v>
      </c>
      <c r="EO15" s="11">
        <v>1</v>
      </c>
      <c r="EP15" s="11">
        <v>1</v>
      </c>
      <c r="EQ15" s="11">
        <v>1</v>
      </c>
      <c r="ER15" s="11">
        <v>1</v>
      </c>
      <c r="ES15" s="11">
        <v>1</v>
      </c>
      <c r="ET15" s="11">
        <v>1</v>
      </c>
      <c r="EU15" s="11">
        <v>1</v>
      </c>
      <c r="EV15" s="11">
        <v>1</v>
      </c>
      <c r="EW15" s="11">
        <v>1</v>
      </c>
      <c r="EX15" s="11">
        <v>1</v>
      </c>
      <c r="EY15" s="11">
        <v>1</v>
      </c>
      <c r="EZ15" s="11">
        <v>1</v>
      </c>
      <c r="FA15" s="11">
        <v>1</v>
      </c>
      <c r="FB15" s="11">
        <v>1</v>
      </c>
      <c r="FC15" s="11">
        <v>1</v>
      </c>
      <c r="FD15" s="11">
        <v>1</v>
      </c>
      <c r="FE15" s="11">
        <v>1</v>
      </c>
      <c r="FF15" s="11">
        <v>1</v>
      </c>
      <c r="FG15" s="11">
        <v>1</v>
      </c>
      <c r="FH15" s="11">
        <v>1</v>
      </c>
      <c r="FI15" s="11">
        <v>1</v>
      </c>
      <c r="FJ15" s="11">
        <v>1</v>
      </c>
      <c r="FK15" s="11">
        <v>1</v>
      </c>
      <c r="FL15" s="11">
        <v>1</v>
      </c>
      <c r="FM15" s="11">
        <v>1</v>
      </c>
      <c r="FN15" s="11">
        <v>1</v>
      </c>
      <c r="FO15" s="11">
        <v>1</v>
      </c>
      <c r="FP15" s="11">
        <v>1</v>
      </c>
      <c r="FQ15" s="11">
        <v>1</v>
      </c>
      <c r="FR15" s="11">
        <v>1</v>
      </c>
      <c r="FS15" s="11">
        <v>1</v>
      </c>
      <c r="FT15" s="11">
        <v>1</v>
      </c>
      <c r="FU15" s="11">
        <v>1</v>
      </c>
      <c r="FV15" s="11">
        <v>1</v>
      </c>
      <c r="FW15" s="11">
        <v>1</v>
      </c>
      <c r="FX15" s="11">
        <v>1</v>
      </c>
      <c r="FY15" s="11">
        <v>1</v>
      </c>
      <c r="FZ15" s="11">
        <v>1</v>
      </c>
      <c r="GA15" s="11">
        <v>1</v>
      </c>
      <c r="GB15" s="11">
        <v>1</v>
      </c>
      <c r="GC15" s="11">
        <v>1</v>
      </c>
      <c r="GD15" s="11">
        <v>1</v>
      </c>
      <c r="GE15" s="11">
        <v>1</v>
      </c>
      <c r="GF15" s="11">
        <v>1</v>
      </c>
      <c r="GG15" s="11">
        <v>1</v>
      </c>
      <c r="GH15" s="11">
        <v>1</v>
      </c>
      <c r="GI15" s="11">
        <v>1</v>
      </c>
      <c r="GJ15" s="11">
        <v>1</v>
      </c>
      <c r="GK15" s="11">
        <v>1</v>
      </c>
      <c r="GL15" s="11">
        <v>1</v>
      </c>
      <c r="GM15" s="11">
        <v>1</v>
      </c>
      <c r="GN15" s="11">
        <v>1</v>
      </c>
      <c r="GO15" s="11">
        <v>1</v>
      </c>
      <c r="GP15" s="11">
        <v>1</v>
      </c>
      <c r="GQ15" s="11">
        <v>1</v>
      </c>
      <c r="GR15" s="11">
        <v>1</v>
      </c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540" t="s">
        <v>398</v>
      </c>
      <c r="IE15" s="541" t="s">
        <v>414</v>
      </c>
      <c r="IF15" s="33" t="s">
        <v>415</v>
      </c>
      <c r="IG15" s="11">
        <v>3</v>
      </c>
      <c r="IH15" s="11"/>
    </row>
    <row r="16" spans="1:243" ht="16.5">
      <c r="A16" s="104">
        <v>15</v>
      </c>
      <c r="B16" s="104" t="s">
        <v>787</v>
      </c>
      <c r="C16" s="104" t="s">
        <v>788</v>
      </c>
      <c r="D16" s="116" t="s">
        <v>789</v>
      </c>
      <c r="E16" s="105">
        <v>45944</v>
      </c>
      <c r="F16" s="104" t="s">
        <v>759</v>
      </c>
      <c r="G16" s="104" t="s">
        <v>764</v>
      </c>
      <c r="H16" s="519" t="s">
        <v>132</v>
      </c>
      <c r="I16" s="238" t="s">
        <v>276</v>
      </c>
      <c r="J16" s="485" t="s">
        <v>416</v>
      </c>
      <c r="K16" s="238" t="s">
        <v>511</v>
      </c>
      <c r="L16" s="238" t="s">
        <v>755</v>
      </c>
      <c r="M16" s="11">
        <v>0</v>
      </c>
      <c r="N16" s="33">
        <v>1</v>
      </c>
      <c r="O16" s="33"/>
      <c r="P16" s="33"/>
      <c r="Q16" s="33">
        <f t="shared" si="0"/>
        <v>3</v>
      </c>
      <c r="R16" s="33">
        <v>1</v>
      </c>
      <c r="S16" s="33">
        <v>1</v>
      </c>
      <c r="T16" s="33">
        <v>1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95">
        <v>45947</v>
      </c>
      <c r="IE16" s="231" t="s">
        <v>411</v>
      </c>
      <c r="IF16" s="486" t="s">
        <v>392</v>
      </c>
      <c r="IG16" s="11" t="s">
        <v>61</v>
      </c>
      <c r="IH16" s="11"/>
    </row>
    <row r="17" spans="1:242" ht="16.5">
      <c r="A17" s="104">
        <v>16</v>
      </c>
      <c r="B17" s="104" t="s">
        <v>790</v>
      </c>
      <c r="C17" s="104" t="s">
        <v>788</v>
      </c>
      <c r="D17" s="116" t="s">
        <v>789</v>
      </c>
      <c r="E17" s="105">
        <v>45944</v>
      </c>
      <c r="F17" s="104" t="s">
        <v>759</v>
      </c>
      <c r="G17" s="104" t="s">
        <v>764</v>
      </c>
      <c r="H17" s="519" t="s">
        <v>132</v>
      </c>
      <c r="I17" s="238" t="s">
        <v>276</v>
      </c>
      <c r="J17" s="485" t="s">
        <v>417</v>
      </c>
      <c r="K17" s="238" t="s">
        <v>511</v>
      </c>
      <c r="L17" s="238" t="s">
        <v>755</v>
      </c>
      <c r="M17" s="11">
        <v>0</v>
      </c>
      <c r="N17" s="33">
        <v>1</v>
      </c>
      <c r="O17" s="33"/>
      <c r="P17" s="33"/>
      <c r="Q17" s="33">
        <f t="shared" si="0"/>
        <v>3</v>
      </c>
      <c r="R17" s="33">
        <v>1</v>
      </c>
      <c r="S17" s="33">
        <v>1</v>
      </c>
      <c r="T17" s="33">
        <v>1</v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95">
        <v>45947</v>
      </c>
      <c r="IE17" s="231" t="s">
        <v>411</v>
      </c>
      <c r="IF17" s="486" t="s">
        <v>392</v>
      </c>
      <c r="IG17" s="11" t="s">
        <v>61</v>
      </c>
      <c r="IH17" s="11"/>
    </row>
    <row r="18" spans="1:242">
      <c r="A18" s="104">
        <v>17</v>
      </c>
      <c r="B18" s="104" t="s">
        <v>791</v>
      </c>
      <c r="C18" s="104" t="s">
        <v>792</v>
      </c>
      <c r="D18" s="116" t="s">
        <v>793</v>
      </c>
      <c r="E18" s="105">
        <v>45946</v>
      </c>
      <c r="F18" s="104" t="s">
        <v>759</v>
      </c>
      <c r="G18" s="104" t="s">
        <v>769</v>
      </c>
      <c r="H18" s="484" t="s">
        <v>418</v>
      </c>
      <c r="I18" s="238" t="s">
        <v>274</v>
      </c>
      <c r="J18" s="485" t="s">
        <v>217</v>
      </c>
      <c r="K18" s="238" t="s">
        <v>511</v>
      </c>
      <c r="L18" s="238" t="s">
        <v>755</v>
      </c>
      <c r="M18" s="11">
        <v>0</v>
      </c>
      <c r="N18" s="33">
        <v>1</v>
      </c>
      <c r="O18" s="33"/>
      <c r="P18" s="33"/>
      <c r="Q18" s="33">
        <f t="shared" si="0"/>
        <v>5</v>
      </c>
      <c r="R18" s="33">
        <v>1</v>
      </c>
      <c r="S18" s="33">
        <v>1</v>
      </c>
      <c r="T18" s="33">
        <v>1</v>
      </c>
      <c r="U18" s="33">
        <v>1</v>
      </c>
      <c r="V18" s="33">
        <v>1</v>
      </c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95">
        <v>45951</v>
      </c>
      <c r="IE18" s="231" t="s">
        <v>419</v>
      </c>
      <c r="IF18" s="11" t="s">
        <v>392</v>
      </c>
      <c r="IG18" s="11" t="s">
        <v>61</v>
      </c>
      <c r="IH18" s="11"/>
    </row>
    <row r="19" spans="1:242" s="511" customFormat="1">
      <c r="A19" s="500">
        <v>18</v>
      </c>
      <c r="B19" s="500"/>
      <c r="C19" s="500" t="s">
        <v>881</v>
      </c>
      <c r="D19" s="501" t="s">
        <v>795</v>
      </c>
      <c r="E19" s="502">
        <v>45950</v>
      </c>
      <c r="F19" s="500" t="s">
        <v>759</v>
      </c>
      <c r="G19" s="500" t="s">
        <v>754</v>
      </c>
      <c r="H19" s="516" t="s">
        <v>138</v>
      </c>
      <c r="I19" s="504" t="s">
        <v>274</v>
      </c>
      <c r="J19" s="503" t="s">
        <v>420</v>
      </c>
      <c r="K19" s="504" t="s">
        <v>512</v>
      </c>
      <c r="L19" s="504"/>
      <c r="M19" s="506">
        <v>1</v>
      </c>
      <c r="N19" s="505">
        <v>0</v>
      </c>
      <c r="O19" s="505"/>
      <c r="P19" s="507" t="b">
        <v>0</v>
      </c>
      <c r="Q19" s="506">
        <f t="shared" si="0"/>
        <v>8</v>
      </c>
      <c r="R19" s="505">
        <v>1</v>
      </c>
      <c r="S19" s="505">
        <v>1</v>
      </c>
      <c r="T19" s="505">
        <v>1</v>
      </c>
      <c r="U19" s="505">
        <v>1</v>
      </c>
      <c r="V19" s="505">
        <v>1</v>
      </c>
      <c r="W19" s="505">
        <v>1</v>
      </c>
      <c r="X19" s="505">
        <v>1</v>
      </c>
      <c r="Y19" s="505">
        <v>1</v>
      </c>
      <c r="Z19" s="505"/>
      <c r="AA19" s="505"/>
      <c r="AB19" s="505"/>
      <c r="AC19" s="505"/>
      <c r="AD19" s="505"/>
      <c r="AE19" s="505"/>
      <c r="AF19" s="505"/>
      <c r="AG19" s="505"/>
      <c r="AH19" s="505"/>
      <c r="AI19" s="505"/>
      <c r="AJ19" s="505"/>
      <c r="AK19" s="505"/>
      <c r="AL19" s="505"/>
      <c r="AM19" s="505"/>
      <c r="AN19" s="505"/>
      <c r="AO19" s="505"/>
      <c r="AP19" s="505"/>
      <c r="AQ19" s="505"/>
      <c r="AR19" s="505"/>
      <c r="AS19" s="505"/>
      <c r="AT19" s="505"/>
      <c r="AU19" s="505"/>
      <c r="AV19" s="505"/>
      <c r="AW19" s="505"/>
      <c r="AX19" s="505"/>
      <c r="AY19" s="505"/>
      <c r="AZ19" s="505"/>
      <c r="BA19" s="505"/>
      <c r="BB19" s="505"/>
      <c r="BC19" s="505"/>
      <c r="BD19" s="505"/>
      <c r="BE19" s="505"/>
      <c r="BF19" s="505"/>
      <c r="BG19" s="505"/>
      <c r="BH19" s="505"/>
      <c r="BI19" s="505"/>
      <c r="BJ19" s="505"/>
      <c r="BK19" s="505"/>
      <c r="BL19" s="505"/>
      <c r="BM19" s="505"/>
      <c r="BN19" s="505"/>
      <c r="BO19" s="505"/>
      <c r="BP19" s="505"/>
      <c r="BQ19" s="505"/>
      <c r="BR19" s="505"/>
      <c r="BS19" s="505"/>
      <c r="BT19" s="505"/>
      <c r="BU19" s="505"/>
      <c r="BV19" s="505"/>
      <c r="BW19" s="505"/>
      <c r="BX19" s="505"/>
      <c r="BY19" s="505"/>
      <c r="BZ19" s="505"/>
      <c r="CA19" s="505"/>
      <c r="CB19" s="505"/>
      <c r="CC19" s="505"/>
      <c r="CD19" s="505"/>
      <c r="CE19" s="505"/>
      <c r="CF19" s="505"/>
      <c r="CG19" s="505"/>
      <c r="CH19" s="505"/>
      <c r="CI19" s="505"/>
      <c r="CJ19" s="505"/>
      <c r="CK19" s="505"/>
      <c r="CL19" s="505"/>
      <c r="CM19" s="505"/>
      <c r="CN19" s="505"/>
      <c r="CO19" s="505"/>
      <c r="CP19" s="505"/>
      <c r="CQ19" s="505"/>
      <c r="CR19" s="505"/>
      <c r="CS19" s="505"/>
      <c r="CT19" s="505"/>
      <c r="CU19" s="505"/>
      <c r="CV19" s="505"/>
      <c r="CW19" s="505"/>
      <c r="CX19" s="505"/>
      <c r="CY19" s="505"/>
      <c r="CZ19" s="505"/>
      <c r="DA19" s="505"/>
      <c r="DB19" s="505"/>
      <c r="DC19" s="505"/>
      <c r="DD19" s="505"/>
      <c r="DE19" s="505"/>
      <c r="DF19" s="505"/>
      <c r="DG19" s="505"/>
      <c r="DH19" s="505"/>
      <c r="DI19" s="505"/>
      <c r="DJ19" s="505"/>
      <c r="DK19" s="505"/>
      <c r="DL19" s="505"/>
      <c r="DM19" s="505"/>
      <c r="DN19" s="505"/>
      <c r="DO19" s="505"/>
      <c r="DP19" s="505"/>
      <c r="DQ19" s="505"/>
      <c r="DR19" s="505"/>
      <c r="DS19" s="505"/>
      <c r="DT19" s="505"/>
      <c r="DU19" s="505"/>
      <c r="DV19" s="505"/>
      <c r="DW19" s="505"/>
      <c r="DX19" s="505"/>
      <c r="DY19" s="505"/>
      <c r="DZ19" s="505"/>
      <c r="EA19" s="505"/>
      <c r="EB19" s="505"/>
      <c r="EC19" s="505"/>
      <c r="ED19" s="505"/>
      <c r="EE19" s="505"/>
      <c r="EF19" s="505"/>
      <c r="EG19" s="505"/>
      <c r="EH19" s="505"/>
      <c r="EI19" s="505"/>
      <c r="EJ19" s="505"/>
      <c r="EK19" s="505"/>
      <c r="EL19" s="505"/>
      <c r="EM19" s="505"/>
      <c r="EN19" s="505"/>
      <c r="EO19" s="505"/>
      <c r="EP19" s="505"/>
      <c r="EQ19" s="505"/>
      <c r="ER19" s="505"/>
      <c r="ES19" s="505"/>
      <c r="ET19" s="505"/>
      <c r="EU19" s="505"/>
      <c r="EV19" s="505"/>
      <c r="EW19" s="505"/>
      <c r="EX19" s="505"/>
      <c r="EY19" s="505"/>
      <c r="EZ19" s="505"/>
      <c r="FA19" s="505"/>
      <c r="FB19" s="505"/>
      <c r="FC19" s="505"/>
      <c r="FD19" s="505"/>
      <c r="FE19" s="505"/>
      <c r="FF19" s="505"/>
      <c r="FG19" s="505"/>
      <c r="FH19" s="505"/>
      <c r="FI19" s="505"/>
      <c r="FJ19" s="505"/>
      <c r="FK19" s="505"/>
      <c r="FL19" s="505"/>
      <c r="FM19" s="505"/>
      <c r="FN19" s="505"/>
      <c r="FO19" s="505"/>
      <c r="FP19" s="505"/>
      <c r="FQ19" s="505"/>
      <c r="FR19" s="505"/>
      <c r="FS19" s="505"/>
      <c r="FT19" s="505"/>
      <c r="FU19" s="505"/>
      <c r="FV19" s="505"/>
      <c r="FW19" s="505"/>
      <c r="FX19" s="505"/>
      <c r="FY19" s="505"/>
      <c r="FZ19" s="505"/>
      <c r="GA19" s="505"/>
      <c r="GB19" s="505"/>
      <c r="GC19" s="505"/>
      <c r="GD19" s="505"/>
      <c r="GE19" s="505"/>
      <c r="GF19" s="505"/>
      <c r="GG19" s="505"/>
      <c r="GH19" s="505"/>
      <c r="GI19" s="505"/>
      <c r="GJ19" s="505"/>
      <c r="GK19" s="505"/>
      <c r="GL19" s="505"/>
      <c r="GM19" s="505"/>
      <c r="GN19" s="505"/>
      <c r="GO19" s="505"/>
      <c r="GP19" s="505"/>
      <c r="GQ19" s="505"/>
      <c r="GR19" s="505"/>
      <c r="GS19" s="505"/>
      <c r="GT19" s="505"/>
      <c r="GU19" s="505"/>
      <c r="GV19" s="505"/>
      <c r="GW19" s="505"/>
      <c r="GX19" s="505"/>
      <c r="GY19" s="505"/>
      <c r="GZ19" s="505"/>
      <c r="HA19" s="505"/>
      <c r="HB19" s="505"/>
      <c r="HC19" s="505"/>
      <c r="HD19" s="505"/>
      <c r="HE19" s="505"/>
      <c r="HF19" s="505"/>
      <c r="HG19" s="505"/>
      <c r="HH19" s="505"/>
      <c r="HI19" s="505"/>
      <c r="HJ19" s="505"/>
      <c r="HK19" s="505"/>
      <c r="HL19" s="505"/>
      <c r="HM19" s="505"/>
      <c r="HN19" s="505"/>
      <c r="HO19" s="505"/>
      <c r="HP19" s="505"/>
      <c r="HQ19" s="505"/>
      <c r="HR19" s="505"/>
      <c r="HS19" s="505"/>
      <c r="HT19" s="505"/>
      <c r="HU19" s="505"/>
      <c r="HV19" s="505"/>
      <c r="HW19" s="505"/>
      <c r="HX19" s="505"/>
      <c r="HY19" s="505"/>
      <c r="HZ19" s="505"/>
      <c r="IA19" s="505"/>
      <c r="IB19" s="505"/>
      <c r="IC19" s="505"/>
      <c r="ID19" s="518" t="s">
        <v>398</v>
      </c>
      <c r="IE19" s="509" t="s">
        <v>422</v>
      </c>
      <c r="IF19" s="505" t="s">
        <v>423</v>
      </c>
      <c r="IG19" s="505">
        <v>4</v>
      </c>
      <c r="IH19" s="747" t="s">
        <v>424</v>
      </c>
    </row>
    <row r="20" spans="1:242" s="499" customFormat="1">
      <c r="A20" s="487">
        <v>19</v>
      </c>
      <c r="B20" s="487" t="s">
        <v>794</v>
      </c>
      <c r="C20" s="487" t="s">
        <v>881</v>
      </c>
      <c r="D20" s="488" t="s">
        <v>795</v>
      </c>
      <c r="E20" s="489">
        <v>45950</v>
      </c>
      <c r="F20" s="487" t="s">
        <v>759</v>
      </c>
      <c r="G20" s="487" t="s">
        <v>754</v>
      </c>
      <c r="H20" s="490" t="s">
        <v>138</v>
      </c>
      <c r="I20" s="491" t="s">
        <v>274</v>
      </c>
      <c r="J20" s="513" t="s">
        <v>425</v>
      </c>
      <c r="K20" s="491" t="s">
        <v>398</v>
      </c>
      <c r="L20" s="491" t="s">
        <v>771</v>
      </c>
      <c r="M20" s="493">
        <v>1</v>
      </c>
      <c r="N20" s="491">
        <v>0</v>
      </c>
      <c r="O20" s="494" t="s">
        <v>696</v>
      </c>
      <c r="P20" s="514" t="b">
        <v>1</v>
      </c>
      <c r="Q20" s="493">
        <f>SUM(R20:GO20)</f>
        <v>180</v>
      </c>
      <c r="R20" s="491">
        <v>1</v>
      </c>
      <c r="S20" s="491">
        <v>1</v>
      </c>
      <c r="T20" s="491">
        <v>1</v>
      </c>
      <c r="U20" s="491">
        <v>1</v>
      </c>
      <c r="V20" s="491">
        <v>1</v>
      </c>
      <c r="W20" s="491">
        <v>1</v>
      </c>
      <c r="X20" s="491">
        <v>1</v>
      </c>
      <c r="Y20" s="491">
        <v>1</v>
      </c>
      <c r="Z20" s="491">
        <v>1</v>
      </c>
      <c r="AA20" s="491">
        <v>1</v>
      </c>
      <c r="AB20" s="491">
        <v>1</v>
      </c>
      <c r="AC20" s="491">
        <v>1</v>
      </c>
      <c r="AD20" s="491">
        <v>1</v>
      </c>
      <c r="AE20" s="491">
        <v>1</v>
      </c>
      <c r="AF20" s="491">
        <v>1</v>
      </c>
      <c r="AG20" s="491">
        <v>1</v>
      </c>
      <c r="AH20" s="491">
        <v>1</v>
      </c>
      <c r="AI20" s="491">
        <v>1</v>
      </c>
      <c r="AJ20" s="491">
        <v>1</v>
      </c>
      <c r="AK20" s="491">
        <v>1</v>
      </c>
      <c r="AL20" s="491">
        <v>1</v>
      </c>
      <c r="AM20" s="491">
        <v>1</v>
      </c>
      <c r="AN20" s="491">
        <v>1</v>
      </c>
      <c r="AO20" s="491">
        <v>1</v>
      </c>
      <c r="AP20" s="491">
        <v>1</v>
      </c>
      <c r="AQ20" s="491">
        <v>1</v>
      </c>
      <c r="AR20" s="491">
        <v>1</v>
      </c>
      <c r="AS20" s="491">
        <v>1</v>
      </c>
      <c r="AT20" s="491">
        <v>1</v>
      </c>
      <c r="AU20" s="491">
        <v>1</v>
      </c>
      <c r="AV20" s="491">
        <v>1</v>
      </c>
      <c r="AW20" s="491">
        <v>1</v>
      </c>
      <c r="AX20" s="491">
        <v>1</v>
      </c>
      <c r="AY20" s="491">
        <v>1</v>
      </c>
      <c r="AZ20" s="491">
        <v>1</v>
      </c>
      <c r="BA20" s="491">
        <v>1</v>
      </c>
      <c r="BB20" s="491">
        <v>1</v>
      </c>
      <c r="BC20" s="491">
        <v>1</v>
      </c>
      <c r="BD20" s="491">
        <v>1</v>
      </c>
      <c r="BE20" s="491">
        <v>1</v>
      </c>
      <c r="BF20" s="491">
        <v>1</v>
      </c>
      <c r="BG20" s="491">
        <v>1</v>
      </c>
      <c r="BH20" s="491">
        <v>1</v>
      </c>
      <c r="BI20" s="491">
        <v>1</v>
      </c>
      <c r="BJ20" s="491">
        <v>1</v>
      </c>
      <c r="BK20" s="491">
        <v>1</v>
      </c>
      <c r="BL20" s="491">
        <v>1</v>
      </c>
      <c r="BM20" s="491">
        <v>1</v>
      </c>
      <c r="BN20" s="491">
        <v>1</v>
      </c>
      <c r="BO20" s="491">
        <v>1</v>
      </c>
      <c r="BP20" s="491">
        <v>1</v>
      </c>
      <c r="BQ20" s="491">
        <v>1</v>
      </c>
      <c r="BR20" s="491">
        <v>1</v>
      </c>
      <c r="BS20" s="491">
        <v>1</v>
      </c>
      <c r="BT20" s="491">
        <v>1</v>
      </c>
      <c r="BU20" s="491">
        <v>1</v>
      </c>
      <c r="BV20" s="491">
        <v>1</v>
      </c>
      <c r="BW20" s="491">
        <v>1</v>
      </c>
      <c r="BX20" s="491">
        <v>1</v>
      </c>
      <c r="BY20" s="491">
        <v>1</v>
      </c>
      <c r="BZ20" s="491">
        <v>1</v>
      </c>
      <c r="CA20" s="491">
        <v>1</v>
      </c>
      <c r="CB20" s="491">
        <v>1</v>
      </c>
      <c r="CC20" s="491">
        <v>1</v>
      </c>
      <c r="CD20" s="491">
        <v>1</v>
      </c>
      <c r="CE20" s="491">
        <v>1</v>
      </c>
      <c r="CF20" s="491">
        <v>1</v>
      </c>
      <c r="CG20" s="491">
        <v>1</v>
      </c>
      <c r="CH20" s="491">
        <v>1</v>
      </c>
      <c r="CI20" s="491">
        <v>1</v>
      </c>
      <c r="CJ20" s="491">
        <v>1</v>
      </c>
      <c r="CK20" s="491">
        <v>1</v>
      </c>
      <c r="CL20" s="491">
        <v>1</v>
      </c>
      <c r="CM20" s="491">
        <v>1</v>
      </c>
      <c r="CN20" s="491">
        <v>1</v>
      </c>
      <c r="CO20" s="491">
        <v>1</v>
      </c>
      <c r="CP20" s="491">
        <v>1</v>
      </c>
      <c r="CQ20" s="491">
        <v>1</v>
      </c>
      <c r="CR20" s="491">
        <v>1</v>
      </c>
      <c r="CS20" s="491">
        <v>1</v>
      </c>
      <c r="CT20" s="491">
        <v>1</v>
      </c>
      <c r="CU20" s="491">
        <v>1</v>
      </c>
      <c r="CV20" s="491">
        <v>1</v>
      </c>
      <c r="CW20" s="491">
        <v>1</v>
      </c>
      <c r="CX20" s="491">
        <v>1</v>
      </c>
      <c r="CY20" s="491">
        <v>1</v>
      </c>
      <c r="CZ20" s="491">
        <v>1</v>
      </c>
      <c r="DA20" s="491">
        <v>1</v>
      </c>
      <c r="DB20" s="491">
        <v>1</v>
      </c>
      <c r="DC20" s="491">
        <v>1</v>
      </c>
      <c r="DD20" s="491">
        <v>1</v>
      </c>
      <c r="DE20" s="491">
        <v>1</v>
      </c>
      <c r="DF20" s="491">
        <v>1</v>
      </c>
      <c r="DG20" s="491">
        <v>1</v>
      </c>
      <c r="DH20" s="491">
        <v>1</v>
      </c>
      <c r="DI20" s="491">
        <v>1</v>
      </c>
      <c r="DJ20" s="491">
        <v>1</v>
      </c>
      <c r="DK20" s="491">
        <v>1</v>
      </c>
      <c r="DL20" s="491">
        <v>1</v>
      </c>
      <c r="DM20" s="491">
        <v>1</v>
      </c>
      <c r="DN20" s="491">
        <v>1</v>
      </c>
      <c r="DO20" s="491">
        <v>1</v>
      </c>
      <c r="DP20" s="491">
        <v>1</v>
      </c>
      <c r="DQ20" s="491">
        <v>1</v>
      </c>
      <c r="DR20" s="491">
        <v>1</v>
      </c>
      <c r="DS20" s="491">
        <v>1</v>
      </c>
      <c r="DT20" s="491">
        <v>1</v>
      </c>
      <c r="DU20" s="491">
        <v>1</v>
      </c>
      <c r="DV20" s="491">
        <v>1</v>
      </c>
      <c r="DW20" s="491">
        <v>1</v>
      </c>
      <c r="DX20" s="491">
        <v>1</v>
      </c>
      <c r="DY20" s="491">
        <v>1</v>
      </c>
      <c r="DZ20" s="491">
        <v>1</v>
      </c>
      <c r="EA20" s="491">
        <v>1</v>
      </c>
      <c r="EB20" s="491">
        <v>1</v>
      </c>
      <c r="EC20" s="491">
        <v>1</v>
      </c>
      <c r="ED20" s="491">
        <v>1</v>
      </c>
      <c r="EE20" s="491">
        <v>1</v>
      </c>
      <c r="EF20" s="491">
        <v>1</v>
      </c>
      <c r="EG20" s="491">
        <v>1</v>
      </c>
      <c r="EH20" s="491">
        <v>1</v>
      </c>
      <c r="EI20" s="491">
        <v>1</v>
      </c>
      <c r="EJ20" s="491">
        <v>1</v>
      </c>
      <c r="EK20" s="491">
        <v>1</v>
      </c>
      <c r="EL20" s="491">
        <v>1</v>
      </c>
      <c r="EM20" s="491">
        <v>1</v>
      </c>
      <c r="EN20" s="491">
        <v>1</v>
      </c>
      <c r="EO20" s="491">
        <v>1</v>
      </c>
      <c r="EP20" s="491">
        <v>1</v>
      </c>
      <c r="EQ20" s="491">
        <v>1</v>
      </c>
      <c r="ER20" s="491">
        <v>1</v>
      </c>
      <c r="ES20" s="491">
        <v>1</v>
      </c>
      <c r="ET20" s="491">
        <v>1</v>
      </c>
      <c r="EU20" s="491">
        <v>1</v>
      </c>
      <c r="EV20" s="491">
        <v>1</v>
      </c>
      <c r="EW20" s="491">
        <v>1</v>
      </c>
      <c r="EX20" s="491">
        <v>1</v>
      </c>
      <c r="EY20" s="491">
        <v>1</v>
      </c>
      <c r="EZ20" s="491">
        <v>1</v>
      </c>
      <c r="FA20" s="491">
        <v>1</v>
      </c>
      <c r="FB20" s="491">
        <v>1</v>
      </c>
      <c r="FC20" s="491">
        <v>1</v>
      </c>
      <c r="FD20" s="491">
        <v>1</v>
      </c>
      <c r="FE20" s="491">
        <v>1</v>
      </c>
      <c r="FF20" s="491">
        <v>1</v>
      </c>
      <c r="FG20" s="491">
        <v>1</v>
      </c>
      <c r="FH20" s="491">
        <v>1</v>
      </c>
      <c r="FI20" s="491">
        <v>1</v>
      </c>
      <c r="FJ20" s="491">
        <v>1</v>
      </c>
      <c r="FK20" s="491">
        <v>1</v>
      </c>
      <c r="FL20" s="491">
        <v>1</v>
      </c>
      <c r="FM20" s="491">
        <v>1</v>
      </c>
      <c r="FN20" s="491">
        <v>1</v>
      </c>
      <c r="FO20" s="491">
        <v>1</v>
      </c>
      <c r="FP20" s="491">
        <v>1</v>
      </c>
      <c r="FQ20" s="491">
        <v>1</v>
      </c>
      <c r="FR20" s="491">
        <v>1</v>
      </c>
      <c r="FS20" s="491">
        <v>1</v>
      </c>
      <c r="FT20" s="491">
        <v>1</v>
      </c>
      <c r="FU20" s="491">
        <v>1</v>
      </c>
      <c r="FV20" s="491">
        <v>1</v>
      </c>
      <c r="FW20" s="491">
        <v>1</v>
      </c>
      <c r="FX20" s="491">
        <v>1</v>
      </c>
      <c r="FY20" s="491">
        <v>1</v>
      </c>
      <c r="FZ20" s="491">
        <v>1</v>
      </c>
      <c r="GA20" s="491">
        <v>1</v>
      </c>
      <c r="GB20" s="491">
        <v>1</v>
      </c>
      <c r="GC20" s="491">
        <v>1</v>
      </c>
      <c r="GD20" s="491">
        <v>1</v>
      </c>
      <c r="GE20" s="491">
        <v>1</v>
      </c>
      <c r="GF20" s="491">
        <v>1</v>
      </c>
      <c r="GG20" s="491">
        <v>1</v>
      </c>
      <c r="GH20" s="491">
        <v>1</v>
      </c>
      <c r="GI20" s="491">
        <v>1</v>
      </c>
      <c r="GJ20" s="491">
        <v>1</v>
      </c>
      <c r="GK20" s="491">
        <v>1</v>
      </c>
      <c r="GL20" s="491">
        <v>1</v>
      </c>
      <c r="GM20" s="491">
        <v>1</v>
      </c>
      <c r="GN20" s="491">
        <v>1</v>
      </c>
      <c r="GO20" s="491">
        <v>1</v>
      </c>
      <c r="GP20" s="491">
        <v>1</v>
      </c>
      <c r="GQ20" s="491">
        <v>1</v>
      </c>
      <c r="GR20" s="491">
        <v>1</v>
      </c>
      <c r="GS20" s="491">
        <v>1</v>
      </c>
      <c r="GT20" s="491">
        <v>1</v>
      </c>
      <c r="GU20" s="491">
        <v>1</v>
      </c>
      <c r="GV20" s="491">
        <v>1</v>
      </c>
      <c r="GW20" s="491"/>
      <c r="GX20" s="491"/>
      <c r="GY20" s="491"/>
      <c r="GZ20" s="491"/>
      <c r="HA20" s="491"/>
      <c r="HB20" s="491"/>
      <c r="HC20" s="491"/>
      <c r="HD20" s="491"/>
      <c r="HE20" s="491"/>
      <c r="HF20" s="491"/>
      <c r="HG20" s="491"/>
      <c r="HH20" s="491"/>
      <c r="HI20" s="491"/>
      <c r="HJ20" s="491"/>
      <c r="HK20" s="491"/>
      <c r="HL20" s="491"/>
      <c r="HM20" s="491"/>
      <c r="HN20" s="491"/>
      <c r="HO20" s="491"/>
      <c r="HP20" s="491"/>
      <c r="HQ20" s="491"/>
      <c r="HR20" s="491"/>
      <c r="HS20" s="491"/>
      <c r="HT20" s="491"/>
      <c r="HU20" s="491"/>
      <c r="HV20" s="491"/>
      <c r="HW20" s="491"/>
      <c r="HX20" s="491"/>
      <c r="HY20" s="491"/>
      <c r="HZ20" s="491"/>
      <c r="IA20" s="491"/>
      <c r="IB20" s="491"/>
      <c r="IC20" s="491"/>
      <c r="ID20" s="496" t="s">
        <v>398</v>
      </c>
      <c r="IE20" s="520" t="s">
        <v>426</v>
      </c>
      <c r="IF20" s="521" t="s">
        <v>423</v>
      </c>
      <c r="IG20" s="491">
        <v>4</v>
      </c>
      <c r="IH20" s="748"/>
    </row>
    <row r="21" spans="1:242" s="499" customFormat="1">
      <c r="A21" s="487">
        <v>20</v>
      </c>
      <c r="B21" s="487" t="s">
        <v>796</v>
      </c>
      <c r="C21" s="487" t="s">
        <v>881</v>
      </c>
      <c r="D21" s="488" t="s">
        <v>795</v>
      </c>
      <c r="E21" s="489">
        <v>45950</v>
      </c>
      <c r="F21" s="487" t="s">
        <v>759</v>
      </c>
      <c r="G21" s="487" t="s">
        <v>754</v>
      </c>
      <c r="H21" s="490" t="s">
        <v>138</v>
      </c>
      <c r="I21" s="491" t="s">
        <v>274</v>
      </c>
      <c r="J21" s="513" t="s">
        <v>427</v>
      </c>
      <c r="K21" s="491" t="s">
        <v>398</v>
      </c>
      <c r="L21" s="491" t="s">
        <v>771</v>
      </c>
      <c r="M21" s="493">
        <v>1</v>
      </c>
      <c r="N21" s="491">
        <v>0</v>
      </c>
      <c r="O21" s="494" t="s">
        <v>696</v>
      </c>
      <c r="P21" s="514" t="b">
        <v>1</v>
      </c>
      <c r="Q21" s="493">
        <f>SUM(R21:GO21)</f>
        <v>180</v>
      </c>
      <c r="R21" s="491">
        <v>1</v>
      </c>
      <c r="S21" s="491">
        <v>1</v>
      </c>
      <c r="T21" s="491">
        <v>1</v>
      </c>
      <c r="U21" s="491">
        <v>1</v>
      </c>
      <c r="V21" s="491">
        <v>1</v>
      </c>
      <c r="W21" s="491">
        <v>1</v>
      </c>
      <c r="X21" s="491">
        <v>1</v>
      </c>
      <c r="Y21" s="491">
        <v>1</v>
      </c>
      <c r="Z21" s="491">
        <v>1</v>
      </c>
      <c r="AA21" s="491">
        <v>1</v>
      </c>
      <c r="AB21" s="491">
        <v>1</v>
      </c>
      <c r="AC21" s="491">
        <v>1</v>
      </c>
      <c r="AD21" s="491">
        <v>1</v>
      </c>
      <c r="AE21" s="491">
        <v>1</v>
      </c>
      <c r="AF21" s="491">
        <v>1</v>
      </c>
      <c r="AG21" s="491">
        <v>1</v>
      </c>
      <c r="AH21" s="491">
        <v>1</v>
      </c>
      <c r="AI21" s="491">
        <v>1</v>
      </c>
      <c r="AJ21" s="491">
        <v>1</v>
      </c>
      <c r="AK21" s="491">
        <v>1</v>
      </c>
      <c r="AL21" s="491">
        <v>1</v>
      </c>
      <c r="AM21" s="491">
        <v>1</v>
      </c>
      <c r="AN21" s="491">
        <v>1</v>
      </c>
      <c r="AO21" s="491">
        <v>1</v>
      </c>
      <c r="AP21" s="491">
        <v>1</v>
      </c>
      <c r="AQ21" s="491">
        <v>1</v>
      </c>
      <c r="AR21" s="491">
        <v>1</v>
      </c>
      <c r="AS21" s="491">
        <v>1</v>
      </c>
      <c r="AT21" s="491">
        <v>1</v>
      </c>
      <c r="AU21" s="491">
        <v>1</v>
      </c>
      <c r="AV21" s="491">
        <v>1</v>
      </c>
      <c r="AW21" s="491">
        <v>1</v>
      </c>
      <c r="AX21" s="491">
        <v>1</v>
      </c>
      <c r="AY21" s="491">
        <v>1</v>
      </c>
      <c r="AZ21" s="491">
        <v>1</v>
      </c>
      <c r="BA21" s="491">
        <v>1</v>
      </c>
      <c r="BB21" s="491">
        <v>1</v>
      </c>
      <c r="BC21" s="491">
        <v>1</v>
      </c>
      <c r="BD21" s="491">
        <v>1</v>
      </c>
      <c r="BE21" s="491">
        <v>1</v>
      </c>
      <c r="BF21" s="491">
        <v>1</v>
      </c>
      <c r="BG21" s="491">
        <v>1</v>
      </c>
      <c r="BH21" s="491">
        <v>1</v>
      </c>
      <c r="BI21" s="491">
        <v>1</v>
      </c>
      <c r="BJ21" s="491">
        <v>1</v>
      </c>
      <c r="BK21" s="491">
        <v>1</v>
      </c>
      <c r="BL21" s="491">
        <v>1</v>
      </c>
      <c r="BM21" s="491">
        <v>1</v>
      </c>
      <c r="BN21" s="491">
        <v>1</v>
      </c>
      <c r="BO21" s="491">
        <v>1</v>
      </c>
      <c r="BP21" s="491">
        <v>1</v>
      </c>
      <c r="BQ21" s="491">
        <v>1</v>
      </c>
      <c r="BR21" s="491">
        <v>1</v>
      </c>
      <c r="BS21" s="491">
        <v>1</v>
      </c>
      <c r="BT21" s="491">
        <v>1</v>
      </c>
      <c r="BU21" s="491">
        <v>1</v>
      </c>
      <c r="BV21" s="491">
        <v>1</v>
      </c>
      <c r="BW21" s="491">
        <v>1</v>
      </c>
      <c r="BX21" s="491">
        <v>1</v>
      </c>
      <c r="BY21" s="491">
        <v>1</v>
      </c>
      <c r="BZ21" s="491">
        <v>1</v>
      </c>
      <c r="CA21" s="491">
        <v>1</v>
      </c>
      <c r="CB21" s="491">
        <v>1</v>
      </c>
      <c r="CC21" s="491">
        <v>1</v>
      </c>
      <c r="CD21" s="491">
        <v>1</v>
      </c>
      <c r="CE21" s="491">
        <v>1</v>
      </c>
      <c r="CF21" s="491">
        <v>1</v>
      </c>
      <c r="CG21" s="491">
        <v>1</v>
      </c>
      <c r="CH21" s="491">
        <v>1</v>
      </c>
      <c r="CI21" s="491">
        <v>1</v>
      </c>
      <c r="CJ21" s="491">
        <v>1</v>
      </c>
      <c r="CK21" s="491">
        <v>1</v>
      </c>
      <c r="CL21" s="491">
        <v>1</v>
      </c>
      <c r="CM21" s="491">
        <v>1</v>
      </c>
      <c r="CN21" s="491">
        <v>1</v>
      </c>
      <c r="CO21" s="491">
        <v>1</v>
      </c>
      <c r="CP21" s="491">
        <v>1</v>
      </c>
      <c r="CQ21" s="491">
        <v>1</v>
      </c>
      <c r="CR21" s="491">
        <v>1</v>
      </c>
      <c r="CS21" s="491">
        <v>1</v>
      </c>
      <c r="CT21" s="491">
        <v>1</v>
      </c>
      <c r="CU21" s="491">
        <v>1</v>
      </c>
      <c r="CV21" s="491">
        <v>1</v>
      </c>
      <c r="CW21" s="491">
        <v>1</v>
      </c>
      <c r="CX21" s="491">
        <v>1</v>
      </c>
      <c r="CY21" s="491">
        <v>1</v>
      </c>
      <c r="CZ21" s="491">
        <v>1</v>
      </c>
      <c r="DA21" s="491">
        <v>1</v>
      </c>
      <c r="DB21" s="491">
        <v>1</v>
      </c>
      <c r="DC21" s="491">
        <v>1</v>
      </c>
      <c r="DD21" s="491">
        <v>1</v>
      </c>
      <c r="DE21" s="491">
        <v>1</v>
      </c>
      <c r="DF21" s="491">
        <v>1</v>
      </c>
      <c r="DG21" s="491">
        <v>1</v>
      </c>
      <c r="DH21" s="491">
        <v>1</v>
      </c>
      <c r="DI21" s="491">
        <v>1</v>
      </c>
      <c r="DJ21" s="491">
        <v>1</v>
      </c>
      <c r="DK21" s="491">
        <v>1</v>
      </c>
      <c r="DL21" s="491">
        <v>1</v>
      </c>
      <c r="DM21" s="491">
        <v>1</v>
      </c>
      <c r="DN21" s="491">
        <v>1</v>
      </c>
      <c r="DO21" s="491">
        <v>1</v>
      </c>
      <c r="DP21" s="491">
        <v>1</v>
      </c>
      <c r="DQ21" s="491">
        <v>1</v>
      </c>
      <c r="DR21" s="491">
        <v>1</v>
      </c>
      <c r="DS21" s="491">
        <v>1</v>
      </c>
      <c r="DT21" s="491">
        <v>1</v>
      </c>
      <c r="DU21" s="491">
        <v>1</v>
      </c>
      <c r="DV21" s="491">
        <v>1</v>
      </c>
      <c r="DW21" s="491">
        <v>1</v>
      </c>
      <c r="DX21" s="491">
        <v>1</v>
      </c>
      <c r="DY21" s="491">
        <v>1</v>
      </c>
      <c r="DZ21" s="491">
        <v>1</v>
      </c>
      <c r="EA21" s="491">
        <v>1</v>
      </c>
      <c r="EB21" s="491">
        <v>1</v>
      </c>
      <c r="EC21" s="491">
        <v>1</v>
      </c>
      <c r="ED21" s="491">
        <v>1</v>
      </c>
      <c r="EE21" s="491">
        <v>1</v>
      </c>
      <c r="EF21" s="491">
        <v>1</v>
      </c>
      <c r="EG21" s="491">
        <v>1</v>
      </c>
      <c r="EH21" s="491">
        <v>1</v>
      </c>
      <c r="EI21" s="491">
        <v>1</v>
      </c>
      <c r="EJ21" s="491">
        <v>1</v>
      </c>
      <c r="EK21" s="491">
        <v>1</v>
      </c>
      <c r="EL21" s="491">
        <v>1</v>
      </c>
      <c r="EM21" s="491">
        <v>1</v>
      </c>
      <c r="EN21" s="491">
        <v>1</v>
      </c>
      <c r="EO21" s="491">
        <v>1</v>
      </c>
      <c r="EP21" s="491">
        <v>1</v>
      </c>
      <c r="EQ21" s="491">
        <v>1</v>
      </c>
      <c r="ER21" s="491">
        <v>1</v>
      </c>
      <c r="ES21" s="491">
        <v>1</v>
      </c>
      <c r="ET21" s="491">
        <v>1</v>
      </c>
      <c r="EU21" s="491">
        <v>1</v>
      </c>
      <c r="EV21" s="491">
        <v>1</v>
      </c>
      <c r="EW21" s="491">
        <v>1</v>
      </c>
      <c r="EX21" s="491">
        <v>1</v>
      </c>
      <c r="EY21" s="491">
        <v>1</v>
      </c>
      <c r="EZ21" s="491">
        <v>1</v>
      </c>
      <c r="FA21" s="491">
        <v>1</v>
      </c>
      <c r="FB21" s="491">
        <v>1</v>
      </c>
      <c r="FC21" s="491">
        <v>1</v>
      </c>
      <c r="FD21" s="491">
        <v>1</v>
      </c>
      <c r="FE21" s="491">
        <v>1</v>
      </c>
      <c r="FF21" s="491">
        <v>1</v>
      </c>
      <c r="FG21" s="491">
        <v>1</v>
      </c>
      <c r="FH21" s="491">
        <v>1</v>
      </c>
      <c r="FI21" s="491">
        <v>1</v>
      </c>
      <c r="FJ21" s="491">
        <v>1</v>
      </c>
      <c r="FK21" s="491">
        <v>1</v>
      </c>
      <c r="FL21" s="491">
        <v>1</v>
      </c>
      <c r="FM21" s="491">
        <v>1</v>
      </c>
      <c r="FN21" s="491">
        <v>1</v>
      </c>
      <c r="FO21" s="491">
        <v>1</v>
      </c>
      <c r="FP21" s="491">
        <v>1</v>
      </c>
      <c r="FQ21" s="491">
        <v>1</v>
      </c>
      <c r="FR21" s="491">
        <v>1</v>
      </c>
      <c r="FS21" s="491">
        <v>1</v>
      </c>
      <c r="FT21" s="491">
        <v>1</v>
      </c>
      <c r="FU21" s="491">
        <v>1</v>
      </c>
      <c r="FV21" s="491">
        <v>1</v>
      </c>
      <c r="FW21" s="491">
        <v>1</v>
      </c>
      <c r="FX21" s="491">
        <v>1</v>
      </c>
      <c r="FY21" s="491">
        <v>1</v>
      </c>
      <c r="FZ21" s="491">
        <v>1</v>
      </c>
      <c r="GA21" s="491">
        <v>1</v>
      </c>
      <c r="GB21" s="491">
        <v>1</v>
      </c>
      <c r="GC21" s="491">
        <v>1</v>
      </c>
      <c r="GD21" s="491">
        <v>1</v>
      </c>
      <c r="GE21" s="491">
        <v>1</v>
      </c>
      <c r="GF21" s="491">
        <v>1</v>
      </c>
      <c r="GG21" s="491">
        <v>1</v>
      </c>
      <c r="GH21" s="491">
        <v>1</v>
      </c>
      <c r="GI21" s="491">
        <v>1</v>
      </c>
      <c r="GJ21" s="491">
        <v>1</v>
      </c>
      <c r="GK21" s="491">
        <v>1</v>
      </c>
      <c r="GL21" s="491">
        <v>1</v>
      </c>
      <c r="GM21" s="491">
        <v>1</v>
      </c>
      <c r="GN21" s="491">
        <v>1</v>
      </c>
      <c r="GO21" s="491">
        <v>1</v>
      </c>
      <c r="GP21" s="491">
        <v>1</v>
      </c>
      <c r="GQ21" s="491">
        <v>1</v>
      </c>
      <c r="GR21" s="491">
        <v>1</v>
      </c>
      <c r="GS21" s="491">
        <v>1</v>
      </c>
      <c r="GT21" s="491">
        <v>1</v>
      </c>
      <c r="GU21" s="491">
        <v>1</v>
      </c>
      <c r="GV21" s="491">
        <v>1</v>
      </c>
      <c r="GW21" s="491"/>
      <c r="GX21" s="491"/>
      <c r="GY21" s="491"/>
      <c r="GZ21" s="491"/>
      <c r="HA21" s="491"/>
      <c r="HB21" s="491"/>
      <c r="HC21" s="491"/>
      <c r="HD21" s="491"/>
      <c r="HE21" s="491"/>
      <c r="HF21" s="491"/>
      <c r="HG21" s="491"/>
      <c r="HH21" s="491"/>
      <c r="HI21" s="491"/>
      <c r="HJ21" s="491"/>
      <c r="HK21" s="491"/>
      <c r="HL21" s="491"/>
      <c r="HM21" s="491"/>
      <c r="HN21" s="491"/>
      <c r="HO21" s="491"/>
      <c r="HP21" s="491"/>
      <c r="HQ21" s="491"/>
      <c r="HR21" s="491"/>
      <c r="HS21" s="491"/>
      <c r="HT21" s="491"/>
      <c r="HU21" s="491"/>
      <c r="HV21" s="491"/>
      <c r="HW21" s="491"/>
      <c r="HX21" s="491"/>
      <c r="HY21" s="491"/>
      <c r="HZ21" s="491"/>
      <c r="IA21" s="491"/>
      <c r="IB21" s="491"/>
      <c r="IC21" s="491"/>
      <c r="ID21" s="496" t="s">
        <v>398</v>
      </c>
      <c r="IE21" s="520" t="s">
        <v>422</v>
      </c>
      <c r="IF21" s="521" t="s">
        <v>423</v>
      </c>
      <c r="IG21" s="491">
        <v>4</v>
      </c>
      <c r="IH21" s="748"/>
    </row>
    <row r="22" spans="1:242" s="499" customFormat="1">
      <c r="A22" s="487">
        <v>21</v>
      </c>
      <c r="B22" s="487" t="s">
        <v>797</v>
      </c>
      <c r="C22" s="487" t="s">
        <v>881</v>
      </c>
      <c r="D22" s="488" t="s">
        <v>795</v>
      </c>
      <c r="E22" s="489">
        <v>45950</v>
      </c>
      <c r="F22" s="487" t="s">
        <v>759</v>
      </c>
      <c r="G22" s="487" t="s">
        <v>754</v>
      </c>
      <c r="H22" s="490" t="s">
        <v>138</v>
      </c>
      <c r="I22" s="491" t="s">
        <v>274</v>
      </c>
      <c r="J22" s="513" t="s">
        <v>428</v>
      </c>
      <c r="K22" s="491" t="s">
        <v>398</v>
      </c>
      <c r="L22" s="491" t="s">
        <v>771</v>
      </c>
      <c r="M22" s="493">
        <v>1</v>
      </c>
      <c r="N22" s="491">
        <v>0</v>
      </c>
      <c r="O22" s="494" t="s">
        <v>696</v>
      </c>
      <c r="P22" s="514" t="b">
        <v>1</v>
      </c>
      <c r="Q22" s="493">
        <f>SUM(R22:GO22)</f>
        <v>180</v>
      </c>
      <c r="R22" s="491">
        <v>1</v>
      </c>
      <c r="S22" s="491">
        <v>1</v>
      </c>
      <c r="T22" s="491">
        <v>1</v>
      </c>
      <c r="U22" s="491">
        <v>1</v>
      </c>
      <c r="V22" s="491">
        <v>1</v>
      </c>
      <c r="W22" s="491">
        <v>1</v>
      </c>
      <c r="X22" s="491">
        <v>1</v>
      </c>
      <c r="Y22" s="491">
        <v>1</v>
      </c>
      <c r="Z22" s="491">
        <v>1</v>
      </c>
      <c r="AA22" s="491">
        <v>1</v>
      </c>
      <c r="AB22" s="491">
        <v>1</v>
      </c>
      <c r="AC22" s="491">
        <v>1</v>
      </c>
      <c r="AD22" s="491">
        <v>1</v>
      </c>
      <c r="AE22" s="491">
        <v>1</v>
      </c>
      <c r="AF22" s="491">
        <v>1</v>
      </c>
      <c r="AG22" s="491">
        <v>1</v>
      </c>
      <c r="AH22" s="491">
        <v>1</v>
      </c>
      <c r="AI22" s="491">
        <v>1</v>
      </c>
      <c r="AJ22" s="491">
        <v>1</v>
      </c>
      <c r="AK22" s="491">
        <v>1</v>
      </c>
      <c r="AL22" s="491">
        <v>1</v>
      </c>
      <c r="AM22" s="491">
        <v>1</v>
      </c>
      <c r="AN22" s="491">
        <v>1</v>
      </c>
      <c r="AO22" s="491">
        <v>1</v>
      </c>
      <c r="AP22" s="491">
        <v>1</v>
      </c>
      <c r="AQ22" s="491">
        <v>1</v>
      </c>
      <c r="AR22" s="491">
        <v>1</v>
      </c>
      <c r="AS22" s="491">
        <v>1</v>
      </c>
      <c r="AT22" s="491">
        <v>1</v>
      </c>
      <c r="AU22" s="491">
        <v>1</v>
      </c>
      <c r="AV22" s="491">
        <v>1</v>
      </c>
      <c r="AW22" s="491">
        <v>1</v>
      </c>
      <c r="AX22" s="491">
        <v>1</v>
      </c>
      <c r="AY22" s="491">
        <v>1</v>
      </c>
      <c r="AZ22" s="491">
        <v>1</v>
      </c>
      <c r="BA22" s="491">
        <v>1</v>
      </c>
      <c r="BB22" s="491">
        <v>1</v>
      </c>
      <c r="BC22" s="491">
        <v>1</v>
      </c>
      <c r="BD22" s="491">
        <v>1</v>
      </c>
      <c r="BE22" s="491">
        <v>1</v>
      </c>
      <c r="BF22" s="491">
        <v>1</v>
      </c>
      <c r="BG22" s="491">
        <v>1</v>
      </c>
      <c r="BH22" s="491">
        <v>1</v>
      </c>
      <c r="BI22" s="491">
        <v>1</v>
      </c>
      <c r="BJ22" s="491">
        <v>1</v>
      </c>
      <c r="BK22" s="491">
        <v>1</v>
      </c>
      <c r="BL22" s="491">
        <v>1</v>
      </c>
      <c r="BM22" s="491">
        <v>1</v>
      </c>
      <c r="BN22" s="491">
        <v>1</v>
      </c>
      <c r="BO22" s="491">
        <v>1</v>
      </c>
      <c r="BP22" s="491">
        <v>1</v>
      </c>
      <c r="BQ22" s="491">
        <v>1</v>
      </c>
      <c r="BR22" s="491">
        <v>1</v>
      </c>
      <c r="BS22" s="491">
        <v>1</v>
      </c>
      <c r="BT22" s="491">
        <v>1</v>
      </c>
      <c r="BU22" s="491">
        <v>1</v>
      </c>
      <c r="BV22" s="491">
        <v>1</v>
      </c>
      <c r="BW22" s="491">
        <v>1</v>
      </c>
      <c r="BX22" s="491">
        <v>1</v>
      </c>
      <c r="BY22" s="491">
        <v>1</v>
      </c>
      <c r="BZ22" s="491">
        <v>1</v>
      </c>
      <c r="CA22" s="491">
        <v>1</v>
      </c>
      <c r="CB22" s="491">
        <v>1</v>
      </c>
      <c r="CC22" s="491">
        <v>1</v>
      </c>
      <c r="CD22" s="491">
        <v>1</v>
      </c>
      <c r="CE22" s="491">
        <v>1</v>
      </c>
      <c r="CF22" s="491">
        <v>1</v>
      </c>
      <c r="CG22" s="491">
        <v>1</v>
      </c>
      <c r="CH22" s="491">
        <v>1</v>
      </c>
      <c r="CI22" s="491">
        <v>1</v>
      </c>
      <c r="CJ22" s="491">
        <v>1</v>
      </c>
      <c r="CK22" s="491">
        <v>1</v>
      </c>
      <c r="CL22" s="491">
        <v>1</v>
      </c>
      <c r="CM22" s="491">
        <v>1</v>
      </c>
      <c r="CN22" s="491">
        <v>1</v>
      </c>
      <c r="CO22" s="491">
        <v>1</v>
      </c>
      <c r="CP22" s="491">
        <v>1</v>
      </c>
      <c r="CQ22" s="491">
        <v>1</v>
      </c>
      <c r="CR22" s="491">
        <v>1</v>
      </c>
      <c r="CS22" s="491">
        <v>1</v>
      </c>
      <c r="CT22" s="491">
        <v>1</v>
      </c>
      <c r="CU22" s="491">
        <v>1</v>
      </c>
      <c r="CV22" s="491">
        <v>1</v>
      </c>
      <c r="CW22" s="491">
        <v>1</v>
      </c>
      <c r="CX22" s="491">
        <v>1</v>
      </c>
      <c r="CY22" s="491">
        <v>1</v>
      </c>
      <c r="CZ22" s="491">
        <v>1</v>
      </c>
      <c r="DA22" s="491">
        <v>1</v>
      </c>
      <c r="DB22" s="491">
        <v>1</v>
      </c>
      <c r="DC22" s="491">
        <v>1</v>
      </c>
      <c r="DD22" s="491">
        <v>1</v>
      </c>
      <c r="DE22" s="491">
        <v>1</v>
      </c>
      <c r="DF22" s="491">
        <v>1</v>
      </c>
      <c r="DG22" s="491">
        <v>1</v>
      </c>
      <c r="DH22" s="491">
        <v>1</v>
      </c>
      <c r="DI22" s="491">
        <v>1</v>
      </c>
      <c r="DJ22" s="491">
        <v>1</v>
      </c>
      <c r="DK22" s="491">
        <v>1</v>
      </c>
      <c r="DL22" s="491">
        <v>1</v>
      </c>
      <c r="DM22" s="491">
        <v>1</v>
      </c>
      <c r="DN22" s="491">
        <v>1</v>
      </c>
      <c r="DO22" s="491">
        <v>1</v>
      </c>
      <c r="DP22" s="491">
        <v>1</v>
      </c>
      <c r="DQ22" s="491">
        <v>1</v>
      </c>
      <c r="DR22" s="491">
        <v>1</v>
      </c>
      <c r="DS22" s="491">
        <v>1</v>
      </c>
      <c r="DT22" s="491">
        <v>1</v>
      </c>
      <c r="DU22" s="491">
        <v>1</v>
      </c>
      <c r="DV22" s="491">
        <v>1</v>
      </c>
      <c r="DW22" s="491">
        <v>1</v>
      </c>
      <c r="DX22" s="491">
        <v>1</v>
      </c>
      <c r="DY22" s="491">
        <v>1</v>
      </c>
      <c r="DZ22" s="491">
        <v>1</v>
      </c>
      <c r="EA22" s="491">
        <v>1</v>
      </c>
      <c r="EB22" s="491">
        <v>1</v>
      </c>
      <c r="EC22" s="491">
        <v>1</v>
      </c>
      <c r="ED22" s="491">
        <v>1</v>
      </c>
      <c r="EE22" s="491">
        <v>1</v>
      </c>
      <c r="EF22" s="491">
        <v>1</v>
      </c>
      <c r="EG22" s="491">
        <v>1</v>
      </c>
      <c r="EH22" s="491">
        <v>1</v>
      </c>
      <c r="EI22" s="491">
        <v>1</v>
      </c>
      <c r="EJ22" s="491">
        <v>1</v>
      </c>
      <c r="EK22" s="491">
        <v>1</v>
      </c>
      <c r="EL22" s="491">
        <v>1</v>
      </c>
      <c r="EM22" s="491">
        <v>1</v>
      </c>
      <c r="EN22" s="491">
        <v>1</v>
      </c>
      <c r="EO22" s="491">
        <v>1</v>
      </c>
      <c r="EP22" s="491">
        <v>1</v>
      </c>
      <c r="EQ22" s="491">
        <v>1</v>
      </c>
      <c r="ER22" s="491">
        <v>1</v>
      </c>
      <c r="ES22" s="491">
        <v>1</v>
      </c>
      <c r="ET22" s="491">
        <v>1</v>
      </c>
      <c r="EU22" s="491">
        <v>1</v>
      </c>
      <c r="EV22" s="491">
        <v>1</v>
      </c>
      <c r="EW22" s="491">
        <v>1</v>
      </c>
      <c r="EX22" s="491">
        <v>1</v>
      </c>
      <c r="EY22" s="491">
        <v>1</v>
      </c>
      <c r="EZ22" s="491">
        <v>1</v>
      </c>
      <c r="FA22" s="491">
        <v>1</v>
      </c>
      <c r="FB22" s="491">
        <v>1</v>
      </c>
      <c r="FC22" s="491">
        <v>1</v>
      </c>
      <c r="FD22" s="491">
        <v>1</v>
      </c>
      <c r="FE22" s="491">
        <v>1</v>
      </c>
      <c r="FF22" s="491">
        <v>1</v>
      </c>
      <c r="FG22" s="491">
        <v>1</v>
      </c>
      <c r="FH22" s="491">
        <v>1</v>
      </c>
      <c r="FI22" s="491">
        <v>1</v>
      </c>
      <c r="FJ22" s="491">
        <v>1</v>
      </c>
      <c r="FK22" s="491">
        <v>1</v>
      </c>
      <c r="FL22" s="491">
        <v>1</v>
      </c>
      <c r="FM22" s="491">
        <v>1</v>
      </c>
      <c r="FN22" s="491">
        <v>1</v>
      </c>
      <c r="FO22" s="491">
        <v>1</v>
      </c>
      <c r="FP22" s="491">
        <v>1</v>
      </c>
      <c r="FQ22" s="491">
        <v>1</v>
      </c>
      <c r="FR22" s="491">
        <v>1</v>
      </c>
      <c r="FS22" s="491">
        <v>1</v>
      </c>
      <c r="FT22" s="491">
        <v>1</v>
      </c>
      <c r="FU22" s="491">
        <v>1</v>
      </c>
      <c r="FV22" s="491">
        <v>1</v>
      </c>
      <c r="FW22" s="491">
        <v>1</v>
      </c>
      <c r="FX22" s="491">
        <v>1</v>
      </c>
      <c r="FY22" s="491">
        <v>1</v>
      </c>
      <c r="FZ22" s="491">
        <v>1</v>
      </c>
      <c r="GA22" s="491">
        <v>1</v>
      </c>
      <c r="GB22" s="491">
        <v>1</v>
      </c>
      <c r="GC22" s="491">
        <v>1</v>
      </c>
      <c r="GD22" s="491">
        <v>1</v>
      </c>
      <c r="GE22" s="491">
        <v>1</v>
      </c>
      <c r="GF22" s="491">
        <v>1</v>
      </c>
      <c r="GG22" s="491">
        <v>1</v>
      </c>
      <c r="GH22" s="491">
        <v>1</v>
      </c>
      <c r="GI22" s="491">
        <v>1</v>
      </c>
      <c r="GJ22" s="491">
        <v>1</v>
      </c>
      <c r="GK22" s="491">
        <v>1</v>
      </c>
      <c r="GL22" s="491">
        <v>1</v>
      </c>
      <c r="GM22" s="491">
        <v>1</v>
      </c>
      <c r="GN22" s="491">
        <v>1</v>
      </c>
      <c r="GO22" s="491">
        <v>1</v>
      </c>
      <c r="GP22" s="491">
        <v>1</v>
      </c>
      <c r="GQ22" s="491">
        <v>1</v>
      </c>
      <c r="GR22" s="491">
        <v>1</v>
      </c>
      <c r="GS22" s="491">
        <v>1</v>
      </c>
      <c r="GT22" s="491">
        <v>1</v>
      </c>
      <c r="GU22" s="491">
        <v>1</v>
      </c>
      <c r="GV22" s="491">
        <v>1</v>
      </c>
      <c r="GW22" s="491"/>
      <c r="GX22" s="491"/>
      <c r="GY22" s="491"/>
      <c r="GZ22" s="491"/>
      <c r="HA22" s="491"/>
      <c r="HB22" s="491"/>
      <c r="HC22" s="491"/>
      <c r="HD22" s="491"/>
      <c r="HE22" s="491"/>
      <c r="HF22" s="491"/>
      <c r="HG22" s="491"/>
      <c r="HH22" s="491"/>
      <c r="HI22" s="491"/>
      <c r="HJ22" s="491"/>
      <c r="HK22" s="491"/>
      <c r="HL22" s="491"/>
      <c r="HM22" s="491"/>
      <c r="HN22" s="491"/>
      <c r="HO22" s="491"/>
      <c r="HP22" s="491"/>
      <c r="HQ22" s="491"/>
      <c r="HR22" s="491"/>
      <c r="HS22" s="491"/>
      <c r="HT22" s="491"/>
      <c r="HU22" s="491"/>
      <c r="HV22" s="491"/>
      <c r="HW22" s="491"/>
      <c r="HX22" s="491"/>
      <c r="HY22" s="491"/>
      <c r="HZ22" s="491"/>
      <c r="IA22" s="491"/>
      <c r="IB22" s="491"/>
      <c r="IC22" s="491"/>
      <c r="ID22" s="496" t="s">
        <v>398</v>
      </c>
      <c r="IE22" s="520" t="s">
        <v>422</v>
      </c>
      <c r="IF22" s="521" t="s">
        <v>423</v>
      </c>
      <c r="IG22" s="491">
        <v>4</v>
      </c>
      <c r="IH22" s="748"/>
    </row>
    <row r="23" spans="1:242" ht="16.5">
      <c r="A23" s="104">
        <v>22</v>
      </c>
      <c r="B23" s="104" t="s">
        <v>798</v>
      </c>
      <c r="C23" s="104" t="s">
        <v>799</v>
      </c>
      <c r="D23" s="116" t="s">
        <v>795</v>
      </c>
      <c r="E23" s="105">
        <v>45950</v>
      </c>
      <c r="F23" s="104" t="s">
        <v>759</v>
      </c>
      <c r="G23" s="104" t="s">
        <v>769</v>
      </c>
      <c r="H23" s="484" t="s">
        <v>138</v>
      </c>
      <c r="I23" s="238" t="s">
        <v>274</v>
      </c>
      <c r="J23" s="485" t="s">
        <v>429</v>
      </c>
      <c r="K23" s="238" t="s">
        <v>511</v>
      </c>
      <c r="L23" s="238" t="s">
        <v>755</v>
      </c>
      <c r="M23" s="11">
        <v>0</v>
      </c>
      <c r="N23" s="33">
        <v>1</v>
      </c>
      <c r="O23" s="33"/>
      <c r="P23" s="33"/>
      <c r="Q23" s="33">
        <f t="shared" si="0"/>
        <v>3</v>
      </c>
      <c r="R23" s="33">
        <v>1</v>
      </c>
      <c r="S23" s="33">
        <v>1</v>
      </c>
      <c r="T23" s="33">
        <v>1</v>
      </c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95">
        <v>45953</v>
      </c>
      <c r="IE23" s="231" t="s">
        <v>140</v>
      </c>
      <c r="IF23" s="486" t="s">
        <v>392</v>
      </c>
      <c r="IG23" s="11" t="s">
        <v>61</v>
      </c>
      <c r="IH23" s="748"/>
    </row>
    <row r="24" spans="1:242" s="499" customFormat="1">
      <c r="A24" s="487">
        <v>23</v>
      </c>
      <c r="B24" s="487" t="s">
        <v>800</v>
      </c>
      <c r="C24" s="487" t="s">
        <v>881</v>
      </c>
      <c r="D24" s="488" t="s">
        <v>795</v>
      </c>
      <c r="E24" s="489">
        <v>45950</v>
      </c>
      <c r="F24" s="487" t="s">
        <v>759</v>
      </c>
      <c r="G24" s="487" t="s">
        <v>754</v>
      </c>
      <c r="H24" s="490" t="s">
        <v>138</v>
      </c>
      <c r="I24" s="491" t="s">
        <v>274</v>
      </c>
      <c r="J24" s="513" t="s">
        <v>430</v>
      </c>
      <c r="K24" s="491" t="s">
        <v>398</v>
      </c>
      <c r="L24" s="491" t="s">
        <v>771</v>
      </c>
      <c r="M24" s="493">
        <v>1</v>
      </c>
      <c r="N24" s="491">
        <v>0</v>
      </c>
      <c r="O24" s="494" t="s">
        <v>695</v>
      </c>
      <c r="P24" s="514" t="b">
        <v>1</v>
      </c>
      <c r="Q24" s="493">
        <f>SUM(R24:GO24)</f>
        <v>180</v>
      </c>
      <c r="R24" s="491">
        <v>1</v>
      </c>
      <c r="S24" s="491">
        <v>1</v>
      </c>
      <c r="T24" s="491">
        <v>1</v>
      </c>
      <c r="U24" s="491">
        <v>1</v>
      </c>
      <c r="V24" s="491">
        <v>1</v>
      </c>
      <c r="W24" s="491">
        <v>1</v>
      </c>
      <c r="X24" s="491">
        <v>1</v>
      </c>
      <c r="Y24" s="491">
        <v>1</v>
      </c>
      <c r="Z24" s="491">
        <v>1</v>
      </c>
      <c r="AA24" s="491">
        <v>1</v>
      </c>
      <c r="AB24" s="491">
        <v>1</v>
      </c>
      <c r="AC24" s="491">
        <v>1</v>
      </c>
      <c r="AD24" s="491">
        <v>1</v>
      </c>
      <c r="AE24" s="491">
        <v>1</v>
      </c>
      <c r="AF24" s="491">
        <v>1</v>
      </c>
      <c r="AG24" s="491">
        <v>1</v>
      </c>
      <c r="AH24" s="491">
        <v>1</v>
      </c>
      <c r="AI24" s="491">
        <v>1</v>
      </c>
      <c r="AJ24" s="491">
        <v>1</v>
      </c>
      <c r="AK24" s="491">
        <v>1</v>
      </c>
      <c r="AL24" s="491">
        <v>1</v>
      </c>
      <c r="AM24" s="491">
        <v>1</v>
      </c>
      <c r="AN24" s="491">
        <v>1</v>
      </c>
      <c r="AO24" s="491">
        <v>1</v>
      </c>
      <c r="AP24" s="491">
        <v>1</v>
      </c>
      <c r="AQ24" s="491">
        <v>1</v>
      </c>
      <c r="AR24" s="491">
        <v>1</v>
      </c>
      <c r="AS24" s="491">
        <v>1</v>
      </c>
      <c r="AT24" s="491">
        <v>1</v>
      </c>
      <c r="AU24" s="491">
        <v>1</v>
      </c>
      <c r="AV24" s="491">
        <v>1</v>
      </c>
      <c r="AW24" s="491">
        <v>1</v>
      </c>
      <c r="AX24" s="491">
        <v>1</v>
      </c>
      <c r="AY24" s="491">
        <v>1</v>
      </c>
      <c r="AZ24" s="491">
        <v>1</v>
      </c>
      <c r="BA24" s="491">
        <v>1</v>
      </c>
      <c r="BB24" s="491">
        <v>1</v>
      </c>
      <c r="BC24" s="491">
        <v>1</v>
      </c>
      <c r="BD24" s="491">
        <v>1</v>
      </c>
      <c r="BE24" s="491">
        <v>1</v>
      </c>
      <c r="BF24" s="491">
        <v>1</v>
      </c>
      <c r="BG24" s="491">
        <v>1</v>
      </c>
      <c r="BH24" s="491">
        <v>1</v>
      </c>
      <c r="BI24" s="491">
        <v>1</v>
      </c>
      <c r="BJ24" s="491">
        <v>1</v>
      </c>
      <c r="BK24" s="491">
        <v>1</v>
      </c>
      <c r="BL24" s="491">
        <v>1</v>
      </c>
      <c r="BM24" s="491">
        <v>1</v>
      </c>
      <c r="BN24" s="491">
        <v>1</v>
      </c>
      <c r="BO24" s="491">
        <v>1</v>
      </c>
      <c r="BP24" s="491">
        <v>1</v>
      </c>
      <c r="BQ24" s="491">
        <v>1</v>
      </c>
      <c r="BR24" s="491">
        <v>1</v>
      </c>
      <c r="BS24" s="491">
        <v>1</v>
      </c>
      <c r="BT24" s="491">
        <v>1</v>
      </c>
      <c r="BU24" s="491">
        <v>1</v>
      </c>
      <c r="BV24" s="491">
        <v>1</v>
      </c>
      <c r="BW24" s="491">
        <v>1</v>
      </c>
      <c r="BX24" s="491">
        <v>1</v>
      </c>
      <c r="BY24" s="491">
        <v>1</v>
      </c>
      <c r="BZ24" s="491">
        <v>1</v>
      </c>
      <c r="CA24" s="491">
        <v>1</v>
      </c>
      <c r="CB24" s="491">
        <v>1</v>
      </c>
      <c r="CC24" s="491">
        <v>1</v>
      </c>
      <c r="CD24" s="491">
        <v>1</v>
      </c>
      <c r="CE24" s="491">
        <v>1</v>
      </c>
      <c r="CF24" s="491">
        <v>1</v>
      </c>
      <c r="CG24" s="491">
        <v>1</v>
      </c>
      <c r="CH24" s="491">
        <v>1</v>
      </c>
      <c r="CI24" s="491">
        <v>1</v>
      </c>
      <c r="CJ24" s="491">
        <v>1</v>
      </c>
      <c r="CK24" s="491">
        <v>1</v>
      </c>
      <c r="CL24" s="491">
        <v>1</v>
      </c>
      <c r="CM24" s="491">
        <v>1</v>
      </c>
      <c r="CN24" s="491">
        <v>1</v>
      </c>
      <c r="CO24" s="491">
        <v>1</v>
      </c>
      <c r="CP24" s="491">
        <v>1</v>
      </c>
      <c r="CQ24" s="491">
        <v>1</v>
      </c>
      <c r="CR24" s="491">
        <v>1</v>
      </c>
      <c r="CS24" s="491">
        <v>1</v>
      </c>
      <c r="CT24" s="491">
        <v>1</v>
      </c>
      <c r="CU24" s="491">
        <v>1</v>
      </c>
      <c r="CV24" s="491">
        <v>1</v>
      </c>
      <c r="CW24" s="491">
        <v>1</v>
      </c>
      <c r="CX24" s="491">
        <v>1</v>
      </c>
      <c r="CY24" s="491">
        <v>1</v>
      </c>
      <c r="CZ24" s="491">
        <v>1</v>
      </c>
      <c r="DA24" s="491">
        <v>1</v>
      </c>
      <c r="DB24" s="491">
        <v>1</v>
      </c>
      <c r="DC24" s="491">
        <v>1</v>
      </c>
      <c r="DD24" s="491">
        <v>1</v>
      </c>
      <c r="DE24" s="491">
        <v>1</v>
      </c>
      <c r="DF24" s="491">
        <v>1</v>
      </c>
      <c r="DG24" s="491">
        <v>1</v>
      </c>
      <c r="DH24" s="491">
        <v>1</v>
      </c>
      <c r="DI24" s="491">
        <v>1</v>
      </c>
      <c r="DJ24" s="491">
        <v>1</v>
      </c>
      <c r="DK24" s="491">
        <v>1</v>
      </c>
      <c r="DL24" s="491">
        <v>1</v>
      </c>
      <c r="DM24" s="491">
        <v>1</v>
      </c>
      <c r="DN24" s="491">
        <v>1</v>
      </c>
      <c r="DO24" s="491">
        <v>1</v>
      </c>
      <c r="DP24" s="491">
        <v>1</v>
      </c>
      <c r="DQ24" s="491">
        <v>1</v>
      </c>
      <c r="DR24" s="491">
        <v>1</v>
      </c>
      <c r="DS24" s="491">
        <v>1</v>
      </c>
      <c r="DT24" s="491">
        <v>1</v>
      </c>
      <c r="DU24" s="491">
        <v>1</v>
      </c>
      <c r="DV24" s="491">
        <v>1</v>
      </c>
      <c r="DW24" s="491">
        <v>1</v>
      </c>
      <c r="DX24" s="491">
        <v>1</v>
      </c>
      <c r="DY24" s="491">
        <v>1</v>
      </c>
      <c r="DZ24" s="491">
        <v>1</v>
      </c>
      <c r="EA24" s="491">
        <v>1</v>
      </c>
      <c r="EB24" s="491">
        <v>1</v>
      </c>
      <c r="EC24" s="491">
        <v>1</v>
      </c>
      <c r="ED24" s="491">
        <v>1</v>
      </c>
      <c r="EE24" s="491">
        <v>1</v>
      </c>
      <c r="EF24" s="491">
        <v>1</v>
      </c>
      <c r="EG24" s="491">
        <v>1</v>
      </c>
      <c r="EH24" s="491">
        <v>1</v>
      </c>
      <c r="EI24" s="491">
        <v>1</v>
      </c>
      <c r="EJ24" s="491">
        <v>1</v>
      </c>
      <c r="EK24" s="491">
        <v>1</v>
      </c>
      <c r="EL24" s="491">
        <v>1</v>
      </c>
      <c r="EM24" s="491">
        <v>1</v>
      </c>
      <c r="EN24" s="491">
        <v>1</v>
      </c>
      <c r="EO24" s="491">
        <v>1</v>
      </c>
      <c r="EP24" s="491">
        <v>1</v>
      </c>
      <c r="EQ24" s="491">
        <v>1</v>
      </c>
      <c r="ER24" s="491">
        <v>1</v>
      </c>
      <c r="ES24" s="491">
        <v>1</v>
      </c>
      <c r="ET24" s="491">
        <v>1</v>
      </c>
      <c r="EU24" s="491">
        <v>1</v>
      </c>
      <c r="EV24" s="491">
        <v>1</v>
      </c>
      <c r="EW24" s="491">
        <v>1</v>
      </c>
      <c r="EX24" s="491">
        <v>1</v>
      </c>
      <c r="EY24" s="491">
        <v>1</v>
      </c>
      <c r="EZ24" s="491">
        <v>1</v>
      </c>
      <c r="FA24" s="491">
        <v>1</v>
      </c>
      <c r="FB24" s="491">
        <v>1</v>
      </c>
      <c r="FC24" s="491">
        <v>1</v>
      </c>
      <c r="FD24" s="491">
        <v>1</v>
      </c>
      <c r="FE24" s="491">
        <v>1</v>
      </c>
      <c r="FF24" s="491">
        <v>1</v>
      </c>
      <c r="FG24" s="491">
        <v>1</v>
      </c>
      <c r="FH24" s="491">
        <v>1</v>
      </c>
      <c r="FI24" s="491">
        <v>1</v>
      </c>
      <c r="FJ24" s="491">
        <v>1</v>
      </c>
      <c r="FK24" s="491">
        <v>1</v>
      </c>
      <c r="FL24" s="491">
        <v>1</v>
      </c>
      <c r="FM24" s="491">
        <v>1</v>
      </c>
      <c r="FN24" s="491">
        <v>1</v>
      </c>
      <c r="FO24" s="491">
        <v>1</v>
      </c>
      <c r="FP24" s="491">
        <v>1</v>
      </c>
      <c r="FQ24" s="491">
        <v>1</v>
      </c>
      <c r="FR24" s="491">
        <v>1</v>
      </c>
      <c r="FS24" s="491">
        <v>1</v>
      </c>
      <c r="FT24" s="491">
        <v>1</v>
      </c>
      <c r="FU24" s="491">
        <v>1</v>
      </c>
      <c r="FV24" s="491">
        <v>1</v>
      </c>
      <c r="FW24" s="491">
        <v>1</v>
      </c>
      <c r="FX24" s="491">
        <v>1</v>
      </c>
      <c r="FY24" s="491">
        <v>1</v>
      </c>
      <c r="FZ24" s="491">
        <v>1</v>
      </c>
      <c r="GA24" s="491">
        <v>1</v>
      </c>
      <c r="GB24" s="491">
        <v>1</v>
      </c>
      <c r="GC24" s="491">
        <v>1</v>
      </c>
      <c r="GD24" s="491">
        <v>1</v>
      </c>
      <c r="GE24" s="491">
        <v>1</v>
      </c>
      <c r="GF24" s="491">
        <v>1</v>
      </c>
      <c r="GG24" s="491">
        <v>1</v>
      </c>
      <c r="GH24" s="491">
        <v>1</v>
      </c>
      <c r="GI24" s="491">
        <v>1</v>
      </c>
      <c r="GJ24" s="491">
        <v>1</v>
      </c>
      <c r="GK24" s="491">
        <v>1</v>
      </c>
      <c r="GL24" s="491">
        <v>1</v>
      </c>
      <c r="GM24" s="491">
        <v>1</v>
      </c>
      <c r="GN24" s="491">
        <v>1</v>
      </c>
      <c r="GO24" s="491">
        <v>1</v>
      </c>
      <c r="GP24" s="491">
        <v>1</v>
      </c>
      <c r="GQ24" s="491">
        <v>1</v>
      </c>
      <c r="GR24" s="491">
        <v>1</v>
      </c>
      <c r="GS24" s="491">
        <v>1</v>
      </c>
      <c r="GT24" s="491">
        <v>1</v>
      </c>
      <c r="GU24" s="491">
        <v>1</v>
      </c>
      <c r="GV24" s="491">
        <v>1</v>
      </c>
      <c r="GW24" s="491"/>
      <c r="GX24" s="491"/>
      <c r="GY24" s="491"/>
      <c r="GZ24" s="491"/>
      <c r="HA24" s="491"/>
      <c r="HB24" s="491"/>
      <c r="HC24" s="491"/>
      <c r="HD24" s="491"/>
      <c r="HE24" s="491"/>
      <c r="HF24" s="491"/>
      <c r="HG24" s="491"/>
      <c r="HH24" s="491"/>
      <c r="HI24" s="491"/>
      <c r="HJ24" s="491"/>
      <c r="HK24" s="491"/>
      <c r="HL24" s="491"/>
      <c r="HM24" s="491"/>
      <c r="HN24" s="491"/>
      <c r="HO24" s="491"/>
      <c r="HP24" s="491"/>
      <c r="HQ24" s="491"/>
      <c r="HR24" s="491"/>
      <c r="HS24" s="491"/>
      <c r="HT24" s="491"/>
      <c r="HU24" s="491"/>
      <c r="HV24" s="491"/>
      <c r="HW24" s="491"/>
      <c r="HX24" s="491"/>
      <c r="HY24" s="491"/>
      <c r="HZ24" s="491"/>
      <c r="IA24" s="491"/>
      <c r="IB24" s="491"/>
      <c r="IC24" s="491"/>
      <c r="ID24" s="496" t="s">
        <v>398</v>
      </c>
      <c r="IE24" s="520" t="s">
        <v>422</v>
      </c>
      <c r="IF24" s="521" t="s">
        <v>423</v>
      </c>
      <c r="IG24" s="491">
        <v>4</v>
      </c>
      <c r="IH24" s="748"/>
    </row>
    <row r="25" spans="1:242" s="511" customFormat="1" ht="16.5">
      <c r="A25" s="500">
        <v>24</v>
      </c>
      <c r="B25" s="500"/>
      <c r="C25" s="500" t="s">
        <v>801</v>
      </c>
      <c r="D25" s="501" t="s">
        <v>802</v>
      </c>
      <c r="E25" s="502">
        <v>45952</v>
      </c>
      <c r="F25" s="500" t="s">
        <v>759</v>
      </c>
      <c r="G25" s="500" t="s">
        <v>803</v>
      </c>
      <c r="H25" s="503" t="s">
        <v>143</v>
      </c>
      <c r="I25" s="504" t="s">
        <v>276</v>
      </c>
      <c r="J25" s="503" t="s">
        <v>431</v>
      </c>
      <c r="K25" s="504" t="s">
        <v>512</v>
      </c>
      <c r="L25" s="504"/>
      <c r="M25" s="506">
        <v>1</v>
      </c>
      <c r="N25" s="505">
        <v>0</v>
      </c>
      <c r="O25" s="505"/>
      <c r="P25" s="507" t="b">
        <v>0</v>
      </c>
      <c r="Q25" s="506">
        <f t="shared" si="0"/>
        <v>7</v>
      </c>
      <c r="R25" s="505">
        <v>1</v>
      </c>
      <c r="S25" s="505">
        <v>1</v>
      </c>
      <c r="T25" s="505">
        <v>1</v>
      </c>
      <c r="U25" s="505">
        <v>1</v>
      </c>
      <c r="V25" s="505">
        <v>1</v>
      </c>
      <c r="W25" s="505">
        <v>1</v>
      </c>
      <c r="X25" s="505">
        <v>1</v>
      </c>
      <c r="Y25" s="505">
        <v>0</v>
      </c>
      <c r="Z25" s="505"/>
      <c r="AA25" s="505"/>
      <c r="AB25" s="505"/>
      <c r="AC25" s="505"/>
      <c r="AD25" s="505"/>
      <c r="AE25" s="505"/>
      <c r="AF25" s="505"/>
      <c r="AG25" s="505"/>
      <c r="AH25" s="505"/>
      <c r="AI25" s="505"/>
      <c r="AJ25" s="505"/>
      <c r="AK25" s="505"/>
      <c r="AL25" s="505"/>
      <c r="AM25" s="505"/>
      <c r="AN25" s="505"/>
      <c r="AO25" s="505"/>
      <c r="AP25" s="505"/>
      <c r="AQ25" s="505"/>
      <c r="AR25" s="505"/>
      <c r="AS25" s="505"/>
      <c r="AT25" s="505"/>
      <c r="AU25" s="505"/>
      <c r="AV25" s="505"/>
      <c r="AW25" s="505"/>
      <c r="AX25" s="505"/>
      <c r="AY25" s="505"/>
      <c r="AZ25" s="505"/>
      <c r="BA25" s="505"/>
      <c r="BB25" s="505"/>
      <c r="BC25" s="505"/>
      <c r="BD25" s="505"/>
      <c r="BE25" s="505"/>
      <c r="BF25" s="505"/>
      <c r="BG25" s="505"/>
      <c r="BH25" s="505"/>
      <c r="BI25" s="505"/>
      <c r="BJ25" s="505"/>
      <c r="BK25" s="505"/>
      <c r="BL25" s="505"/>
      <c r="BM25" s="505"/>
      <c r="BN25" s="505"/>
      <c r="BO25" s="505"/>
      <c r="BP25" s="505"/>
      <c r="BQ25" s="505"/>
      <c r="BR25" s="505"/>
      <c r="BS25" s="505"/>
      <c r="BT25" s="505"/>
      <c r="BU25" s="505"/>
      <c r="BV25" s="505"/>
      <c r="BW25" s="505"/>
      <c r="BX25" s="505"/>
      <c r="BY25" s="505"/>
      <c r="BZ25" s="505"/>
      <c r="CA25" s="505"/>
      <c r="CB25" s="505"/>
      <c r="CC25" s="505"/>
      <c r="CD25" s="505"/>
      <c r="CE25" s="505"/>
      <c r="CF25" s="505"/>
      <c r="CG25" s="505"/>
      <c r="CH25" s="505"/>
      <c r="CI25" s="505"/>
      <c r="CJ25" s="505"/>
      <c r="CK25" s="505"/>
      <c r="CL25" s="505"/>
      <c r="CM25" s="505"/>
      <c r="CN25" s="505"/>
      <c r="CO25" s="505"/>
      <c r="CP25" s="505"/>
      <c r="CQ25" s="505"/>
      <c r="CR25" s="505"/>
      <c r="CS25" s="505"/>
      <c r="CT25" s="505"/>
      <c r="CU25" s="505"/>
      <c r="CV25" s="505"/>
      <c r="CW25" s="505"/>
      <c r="CX25" s="505"/>
      <c r="CY25" s="505"/>
      <c r="CZ25" s="505"/>
      <c r="DA25" s="505"/>
      <c r="DB25" s="505"/>
      <c r="DC25" s="505"/>
      <c r="DD25" s="505"/>
      <c r="DE25" s="505"/>
      <c r="DF25" s="505"/>
      <c r="DG25" s="505"/>
      <c r="DH25" s="505"/>
      <c r="DI25" s="505"/>
      <c r="DJ25" s="505"/>
      <c r="DK25" s="505"/>
      <c r="DL25" s="505"/>
      <c r="DM25" s="505"/>
      <c r="DN25" s="505"/>
      <c r="DO25" s="505"/>
      <c r="DP25" s="505"/>
      <c r="DQ25" s="505"/>
      <c r="DR25" s="505"/>
      <c r="DS25" s="505"/>
      <c r="DT25" s="505"/>
      <c r="DU25" s="505"/>
      <c r="DV25" s="505"/>
      <c r="DW25" s="505"/>
      <c r="DX25" s="505"/>
      <c r="DY25" s="505"/>
      <c r="DZ25" s="505"/>
      <c r="EA25" s="505"/>
      <c r="EB25" s="505"/>
      <c r="EC25" s="505"/>
      <c r="ED25" s="505"/>
      <c r="EE25" s="505"/>
      <c r="EF25" s="505"/>
      <c r="EG25" s="505"/>
      <c r="EH25" s="505"/>
      <c r="EI25" s="505"/>
      <c r="EJ25" s="505"/>
      <c r="EK25" s="505"/>
      <c r="EL25" s="505"/>
      <c r="EM25" s="505"/>
      <c r="EN25" s="505"/>
      <c r="EO25" s="505"/>
      <c r="EP25" s="505"/>
      <c r="EQ25" s="505"/>
      <c r="ER25" s="505"/>
      <c r="ES25" s="505"/>
      <c r="ET25" s="505"/>
      <c r="EU25" s="505"/>
      <c r="EV25" s="505"/>
      <c r="EW25" s="505"/>
      <c r="EX25" s="505"/>
      <c r="EY25" s="505"/>
      <c r="EZ25" s="505"/>
      <c r="FA25" s="505"/>
      <c r="FB25" s="505"/>
      <c r="FC25" s="505"/>
      <c r="FD25" s="505"/>
      <c r="FE25" s="505"/>
      <c r="FF25" s="505"/>
      <c r="FG25" s="505"/>
      <c r="FH25" s="505"/>
      <c r="FI25" s="505"/>
      <c r="FJ25" s="505"/>
      <c r="FK25" s="505"/>
      <c r="FL25" s="505"/>
      <c r="FM25" s="505"/>
      <c r="FN25" s="505"/>
      <c r="FO25" s="505"/>
      <c r="FP25" s="505"/>
      <c r="FQ25" s="505"/>
      <c r="FR25" s="505"/>
      <c r="FS25" s="505"/>
      <c r="FT25" s="505"/>
      <c r="FU25" s="505"/>
      <c r="FV25" s="505"/>
      <c r="FW25" s="505"/>
      <c r="FX25" s="505"/>
      <c r="FY25" s="505"/>
      <c r="FZ25" s="505"/>
      <c r="GA25" s="505"/>
      <c r="GB25" s="505"/>
      <c r="GC25" s="505"/>
      <c r="GD25" s="505"/>
      <c r="GE25" s="505"/>
      <c r="GF25" s="505"/>
      <c r="GG25" s="505"/>
      <c r="GH25" s="505"/>
      <c r="GI25" s="505"/>
      <c r="GJ25" s="505"/>
      <c r="GK25" s="505"/>
      <c r="GL25" s="505"/>
      <c r="GM25" s="505"/>
      <c r="GN25" s="505"/>
      <c r="GO25" s="505"/>
      <c r="GP25" s="505"/>
      <c r="GQ25" s="505"/>
      <c r="GR25" s="505"/>
      <c r="GS25" s="505"/>
      <c r="GT25" s="505"/>
      <c r="GU25" s="505"/>
      <c r="GV25" s="505"/>
      <c r="GW25" s="505"/>
      <c r="GX25" s="505"/>
      <c r="GY25" s="505"/>
      <c r="GZ25" s="505"/>
      <c r="HA25" s="505"/>
      <c r="HB25" s="505"/>
      <c r="HC25" s="505"/>
      <c r="HD25" s="505"/>
      <c r="HE25" s="505"/>
      <c r="HF25" s="505"/>
      <c r="HG25" s="505"/>
      <c r="HH25" s="505"/>
      <c r="HI25" s="505"/>
      <c r="HJ25" s="505"/>
      <c r="HK25" s="505"/>
      <c r="HL25" s="505"/>
      <c r="HM25" s="505"/>
      <c r="HN25" s="505"/>
      <c r="HO25" s="505"/>
      <c r="HP25" s="505"/>
      <c r="HQ25" s="505"/>
      <c r="HR25" s="505"/>
      <c r="HS25" s="505"/>
      <c r="HT25" s="505"/>
      <c r="HU25" s="505"/>
      <c r="HV25" s="505"/>
      <c r="HW25" s="505"/>
      <c r="HX25" s="505"/>
      <c r="HY25" s="505"/>
      <c r="HZ25" s="505"/>
      <c r="IA25" s="505"/>
      <c r="IB25" s="505"/>
      <c r="IC25" s="505"/>
      <c r="ID25" s="518" t="s">
        <v>61</v>
      </c>
      <c r="IE25" s="509" t="s">
        <v>432</v>
      </c>
      <c r="IF25" s="510" t="s">
        <v>405</v>
      </c>
      <c r="IG25" s="505" t="s">
        <v>61</v>
      </c>
      <c r="IH25" s="505"/>
    </row>
    <row r="26" spans="1:242" s="499" customFormat="1">
      <c r="A26" s="487">
        <v>25</v>
      </c>
      <c r="B26" s="487" t="s">
        <v>804</v>
      </c>
      <c r="C26" s="487" t="s">
        <v>882</v>
      </c>
      <c r="D26" s="488" t="s">
        <v>806</v>
      </c>
      <c r="E26" s="522">
        <v>45960</v>
      </c>
      <c r="F26" s="487" t="s">
        <v>759</v>
      </c>
      <c r="G26" s="487" t="s">
        <v>778</v>
      </c>
      <c r="H26" s="512" t="s">
        <v>168</v>
      </c>
      <c r="I26" s="491" t="s">
        <v>246</v>
      </c>
      <c r="J26" s="513" t="s">
        <v>433</v>
      </c>
      <c r="K26" s="491" t="s">
        <v>398</v>
      </c>
      <c r="L26" s="491" t="s">
        <v>771</v>
      </c>
      <c r="M26" s="493">
        <v>1</v>
      </c>
      <c r="N26" s="491">
        <v>0</v>
      </c>
      <c r="O26" s="494" t="s">
        <v>696</v>
      </c>
      <c r="P26" s="514" t="b">
        <v>1</v>
      </c>
      <c r="Q26" s="493">
        <f>SUM(R26:IC26)</f>
        <v>177</v>
      </c>
      <c r="R26" s="491">
        <v>1</v>
      </c>
      <c r="S26" s="491">
        <v>1</v>
      </c>
      <c r="T26" s="491">
        <v>1</v>
      </c>
      <c r="U26" s="491">
        <v>1</v>
      </c>
      <c r="V26" s="491">
        <v>1</v>
      </c>
      <c r="W26" s="491">
        <v>1</v>
      </c>
      <c r="X26" s="491">
        <v>1</v>
      </c>
      <c r="Y26" s="491">
        <v>1</v>
      </c>
      <c r="Z26" s="491">
        <v>1</v>
      </c>
      <c r="AA26" s="491">
        <v>1</v>
      </c>
      <c r="AB26" s="491">
        <v>1</v>
      </c>
      <c r="AC26" s="491">
        <v>1</v>
      </c>
      <c r="AD26" s="491">
        <v>1</v>
      </c>
      <c r="AE26" s="491">
        <v>1</v>
      </c>
      <c r="AF26" s="491">
        <v>1</v>
      </c>
      <c r="AG26" s="491">
        <v>1</v>
      </c>
      <c r="AH26" s="491">
        <v>1</v>
      </c>
      <c r="AI26" s="491">
        <v>1</v>
      </c>
      <c r="AJ26" s="491">
        <v>1</v>
      </c>
      <c r="AK26" s="491">
        <v>1</v>
      </c>
      <c r="AL26" s="491">
        <v>1</v>
      </c>
      <c r="AM26" s="491">
        <v>1</v>
      </c>
      <c r="AN26" s="491">
        <v>1</v>
      </c>
      <c r="AO26" s="491">
        <v>1</v>
      </c>
      <c r="AP26" s="491">
        <v>1</v>
      </c>
      <c r="AQ26" s="491">
        <v>1</v>
      </c>
      <c r="AR26" s="491">
        <v>1</v>
      </c>
      <c r="AS26" s="491">
        <v>1</v>
      </c>
      <c r="AT26" s="491">
        <v>1</v>
      </c>
      <c r="AU26" s="491">
        <v>1</v>
      </c>
      <c r="AV26" s="491">
        <v>1</v>
      </c>
      <c r="AW26" s="491">
        <v>1</v>
      </c>
      <c r="AX26" s="491">
        <v>1</v>
      </c>
      <c r="AY26" s="491">
        <v>1</v>
      </c>
      <c r="AZ26" s="491">
        <v>1</v>
      </c>
      <c r="BA26" s="491">
        <v>1</v>
      </c>
      <c r="BB26" s="491">
        <v>1</v>
      </c>
      <c r="BC26" s="491">
        <v>1</v>
      </c>
      <c r="BD26" s="491">
        <v>1</v>
      </c>
      <c r="BE26" s="491">
        <v>1</v>
      </c>
      <c r="BF26" s="491">
        <v>1</v>
      </c>
      <c r="BG26" s="491">
        <v>1</v>
      </c>
      <c r="BH26" s="491">
        <v>1</v>
      </c>
      <c r="BI26" s="491">
        <v>1</v>
      </c>
      <c r="BJ26" s="491">
        <v>1</v>
      </c>
      <c r="BK26" s="491">
        <v>1</v>
      </c>
      <c r="BL26" s="491">
        <v>1</v>
      </c>
      <c r="BM26" s="491">
        <v>1</v>
      </c>
      <c r="BN26" s="491">
        <v>1</v>
      </c>
      <c r="BO26" s="491">
        <v>1</v>
      </c>
      <c r="BP26" s="491">
        <v>1</v>
      </c>
      <c r="BQ26" s="491">
        <v>1</v>
      </c>
      <c r="BR26" s="491">
        <v>1</v>
      </c>
      <c r="BS26" s="491">
        <v>1</v>
      </c>
      <c r="BT26" s="491">
        <v>1</v>
      </c>
      <c r="BU26" s="491">
        <v>1</v>
      </c>
      <c r="BV26" s="491">
        <v>1</v>
      </c>
      <c r="BW26" s="491">
        <v>1</v>
      </c>
      <c r="BX26" s="491">
        <v>1</v>
      </c>
      <c r="BY26" s="491">
        <v>1</v>
      </c>
      <c r="BZ26" s="491">
        <v>1</v>
      </c>
      <c r="CA26" s="491">
        <v>1</v>
      </c>
      <c r="CB26" s="491">
        <v>1</v>
      </c>
      <c r="CC26" s="491">
        <v>1</v>
      </c>
      <c r="CD26" s="491">
        <v>1</v>
      </c>
      <c r="CE26" s="491">
        <v>1</v>
      </c>
      <c r="CF26" s="491">
        <v>1</v>
      </c>
      <c r="CG26" s="491">
        <v>1</v>
      </c>
      <c r="CH26" s="491">
        <v>1</v>
      </c>
      <c r="CI26" s="491">
        <v>1</v>
      </c>
      <c r="CJ26" s="491">
        <v>1</v>
      </c>
      <c r="CK26" s="491">
        <v>1</v>
      </c>
      <c r="CL26" s="491">
        <v>1</v>
      </c>
      <c r="CM26" s="491">
        <v>1</v>
      </c>
      <c r="CN26" s="491">
        <v>1</v>
      </c>
      <c r="CO26" s="491">
        <v>1</v>
      </c>
      <c r="CP26" s="491">
        <v>1</v>
      </c>
      <c r="CQ26" s="491">
        <v>1</v>
      </c>
      <c r="CR26" s="491">
        <v>1</v>
      </c>
      <c r="CS26" s="491">
        <v>1</v>
      </c>
      <c r="CT26" s="491">
        <v>1</v>
      </c>
      <c r="CU26" s="491">
        <v>1</v>
      </c>
      <c r="CV26" s="491">
        <v>1</v>
      </c>
      <c r="CW26" s="491">
        <v>1</v>
      </c>
      <c r="CX26" s="491">
        <v>1</v>
      </c>
      <c r="CY26" s="491">
        <v>1</v>
      </c>
      <c r="CZ26" s="491">
        <v>1</v>
      </c>
      <c r="DA26" s="491">
        <v>1</v>
      </c>
      <c r="DB26" s="491">
        <v>1</v>
      </c>
      <c r="DC26" s="491">
        <v>1</v>
      </c>
      <c r="DD26" s="491">
        <v>1</v>
      </c>
      <c r="DE26" s="491">
        <v>1</v>
      </c>
      <c r="DF26" s="491">
        <v>1</v>
      </c>
      <c r="DG26" s="491">
        <v>1</v>
      </c>
      <c r="DH26" s="491">
        <v>1</v>
      </c>
      <c r="DI26" s="491">
        <v>1</v>
      </c>
      <c r="DJ26" s="491">
        <v>1</v>
      </c>
      <c r="DK26" s="491">
        <v>1</v>
      </c>
      <c r="DL26" s="491">
        <v>1</v>
      </c>
      <c r="DM26" s="491">
        <v>1</v>
      </c>
      <c r="DN26" s="491">
        <v>1</v>
      </c>
      <c r="DO26" s="491">
        <v>1</v>
      </c>
      <c r="DP26" s="491">
        <v>1</v>
      </c>
      <c r="DQ26" s="491">
        <v>1</v>
      </c>
      <c r="DR26" s="491">
        <v>1</v>
      </c>
      <c r="DS26" s="491">
        <v>1</v>
      </c>
      <c r="DT26" s="491">
        <v>1</v>
      </c>
      <c r="DU26" s="491">
        <v>1</v>
      </c>
      <c r="DV26" s="491">
        <v>1</v>
      </c>
      <c r="DW26" s="491">
        <v>1</v>
      </c>
      <c r="DX26" s="491">
        <v>1</v>
      </c>
      <c r="DY26" s="491">
        <v>1</v>
      </c>
      <c r="DZ26" s="491">
        <v>1</v>
      </c>
      <c r="EA26" s="491">
        <v>1</v>
      </c>
      <c r="EB26" s="491">
        <v>1</v>
      </c>
      <c r="EC26" s="491">
        <v>1</v>
      </c>
      <c r="ED26" s="491">
        <v>1</v>
      </c>
      <c r="EE26" s="491">
        <v>1</v>
      </c>
      <c r="EF26" s="491">
        <v>1</v>
      </c>
      <c r="EG26" s="491">
        <v>1</v>
      </c>
      <c r="EH26" s="491">
        <v>1</v>
      </c>
      <c r="EI26" s="491">
        <v>1</v>
      </c>
      <c r="EJ26" s="491">
        <v>1</v>
      </c>
      <c r="EK26" s="491">
        <v>1</v>
      </c>
      <c r="EL26" s="491">
        <v>1</v>
      </c>
      <c r="EM26" s="491">
        <v>1</v>
      </c>
      <c r="EN26" s="491">
        <v>1</v>
      </c>
      <c r="EO26" s="491">
        <v>1</v>
      </c>
      <c r="EP26" s="491">
        <v>1</v>
      </c>
      <c r="EQ26" s="491">
        <v>1</v>
      </c>
      <c r="ER26" s="491">
        <v>1</v>
      </c>
      <c r="ES26" s="491">
        <v>1</v>
      </c>
      <c r="ET26" s="491">
        <v>1</v>
      </c>
      <c r="EU26" s="491">
        <v>1</v>
      </c>
      <c r="EV26" s="491">
        <v>1</v>
      </c>
      <c r="EW26" s="491">
        <v>1</v>
      </c>
      <c r="EX26" s="491">
        <v>1</v>
      </c>
      <c r="EY26" s="491">
        <v>1</v>
      </c>
      <c r="EZ26" s="491">
        <v>1</v>
      </c>
      <c r="FA26" s="491">
        <v>1</v>
      </c>
      <c r="FB26" s="491">
        <v>1</v>
      </c>
      <c r="FC26" s="491">
        <v>1</v>
      </c>
      <c r="FD26" s="491">
        <v>1</v>
      </c>
      <c r="FE26" s="491">
        <v>1</v>
      </c>
      <c r="FF26" s="491">
        <v>1</v>
      </c>
      <c r="FG26" s="491">
        <v>1</v>
      </c>
      <c r="FH26" s="491">
        <v>1</v>
      </c>
      <c r="FI26" s="491">
        <v>1</v>
      </c>
      <c r="FJ26" s="491">
        <v>1</v>
      </c>
      <c r="FK26" s="491">
        <v>1</v>
      </c>
      <c r="FL26" s="491">
        <v>1</v>
      </c>
      <c r="FM26" s="491">
        <v>1</v>
      </c>
      <c r="FN26" s="491">
        <v>1</v>
      </c>
      <c r="FO26" s="491">
        <v>1</v>
      </c>
      <c r="FP26" s="491">
        <v>1</v>
      </c>
      <c r="FQ26" s="491">
        <v>1</v>
      </c>
      <c r="FR26" s="491">
        <v>1</v>
      </c>
      <c r="FS26" s="491">
        <v>1</v>
      </c>
      <c r="FT26" s="491">
        <v>1</v>
      </c>
      <c r="FU26" s="491">
        <v>1</v>
      </c>
      <c r="FV26" s="491">
        <v>1</v>
      </c>
      <c r="FW26" s="491">
        <v>1</v>
      </c>
      <c r="FX26" s="491">
        <v>1</v>
      </c>
      <c r="FY26" s="491">
        <v>1</v>
      </c>
      <c r="FZ26" s="491">
        <v>1</v>
      </c>
      <c r="GA26" s="491">
        <v>1</v>
      </c>
      <c r="GB26" s="491">
        <v>1</v>
      </c>
      <c r="GC26" s="491">
        <v>1</v>
      </c>
      <c r="GD26" s="491">
        <v>1</v>
      </c>
      <c r="GE26" s="491">
        <v>1</v>
      </c>
      <c r="GF26" s="491">
        <v>1</v>
      </c>
      <c r="GG26" s="491">
        <v>1</v>
      </c>
      <c r="GH26" s="491">
        <v>1</v>
      </c>
      <c r="GI26" s="491">
        <v>1</v>
      </c>
      <c r="GJ26" s="491">
        <v>1</v>
      </c>
      <c r="GK26" s="491">
        <v>1</v>
      </c>
      <c r="GL26" s="491">
        <v>1</v>
      </c>
      <c r="GM26" s="491"/>
      <c r="GN26" s="491"/>
      <c r="GO26" s="491"/>
      <c r="GP26" s="491"/>
      <c r="GQ26" s="491"/>
      <c r="GR26" s="491"/>
      <c r="GS26" s="491"/>
      <c r="GT26" s="491"/>
      <c r="GU26" s="491"/>
      <c r="GV26" s="491"/>
      <c r="GW26" s="491"/>
      <c r="GX26" s="491"/>
      <c r="GY26" s="491"/>
      <c r="GZ26" s="491"/>
      <c r="HA26" s="491"/>
      <c r="HB26" s="491"/>
      <c r="HC26" s="491"/>
      <c r="HD26" s="491"/>
      <c r="HE26" s="491"/>
      <c r="HF26" s="491"/>
      <c r="HG26" s="491"/>
      <c r="HH26" s="491"/>
      <c r="HI26" s="491"/>
      <c r="HJ26" s="491"/>
      <c r="HK26" s="491"/>
      <c r="HL26" s="491"/>
      <c r="HM26" s="491"/>
      <c r="HN26" s="491"/>
      <c r="HO26" s="491"/>
      <c r="HP26" s="491"/>
      <c r="HQ26" s="491"/>
      <c r="HR26" s="491"/>
      <c r="HS26" s="491"/>
      <c r="HT26" s="491"/>
      <c r="HU26" s="491"/>
      <c r="HV26" s="491"/>
      <c r="HW26" s="491"/>
      <c r="HX26" s="491"/>
      <c r="HY26" s="491"/>
      <c r="HZ26" s="491"/>
      <c r="IA26" s="491"/>
      <c r="IB26" s="491"/>
      <c r="IC26" s="491"/>
      <c r="ID26" s="496" t="s">
        <v>398</v>
      </c>
      <c r="IE26" s="520" t="s">
        <v>422</v>
      </c>
      <c r="IF26" s="521" t="s">
        <v>434</v>
      </c>
      <c r="IG26" s="491">
        <v>5</v>
      </c>
      <c r="IH26" s="491"/>
    </row>
    <row r="27" spans="1:242">
      <c r="A27" s="104">
        <v>26</v>
      </c>
      <c r="B27" s="104" t="s">
        <v>807</v>
      </c>
      <c r="C27" s="104" t="s">
        <v>882</v>
      </c>
      <c r="D27" s="116" t="s">
        <v>808</v>
      </c>
      <c r="E27" s="95">
        <v>45964</v>
      </c>
      <c r="F27" s="104" t="s">
        <v>759</v>
      </c>
      <c r="G27" s="104" t="s">
        <v>778</v>
      </c>
      <c r="H27" s="485" t="s">
        <v>172</v>
      </c>
      <c r="I27" s="238" t="s">
        <v>246</v>
      </c>
      <c r="J27" s="485" t="s">
        <v>435</v>
      </c>
      <c r="K27" s="238" t="s">
        <v>511</v>
      </c>
      <c r="L27" s="238" t="s">
        <v>755</v>
      </c>
      <c r="M27" s="11">
        <v>0</v>
      </c>
      <c r="N27" s="33">
        <v>1</v>
      </c>
      <c r="O27" s="33"/>
      <c r="P27" s="33"/>
      <c r="Q27" s="33">
        <f t="shared" si="0"/>
        <v>6</v>
      </c>
      <c r="R27" s="33">
        <v>1</v>
      </c>
      <c r="S27" s="33">
        <v>1</v>
      </c>
      <c r="T27" s="33">
        <v>1</v>
      </c>
      <c r="U27" s="33">
        <v>1</v>
      </c>
      <c r="V27" s="33">
        <v>1</v>
      </c>
      <c r="W27" s="33">
        <v>1</v>
      </c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95">
        <v>45970</v>
      </c>
      <c r="IE27" s="231" t="s">
        <v>436</v>
      </c>
      <c r="IF27" s="11" t="s">
        <v>392</v>
      </c>
      <c r="IG27" s="11" t="s">
        <v>61</v>
      </c>
      <c r="IH27" s="11"/>
    </row>
    <row r="28" spans="1:242" s="511" customFormat="1" ht="16.5">
      <c r="A28" s="500">
        <v>27</v>
      </c>
      <c r="B28" s="500"/>
      <c r="C28" s="500" t="s">
        <v>882</v>
      </c>
      <c r="D28" s="501" t="s">
        <v>808</v>
      </c>
      <c r="E28" s="523">
        <v>45964</v>
      </c>
      <c r="F28" s="500" t="s">
        <v>759</v>
      </c>
      <c r="G28" s="500" t="s">
        <v>778</v>
      </c>
      <c r="H28" s="503" t="s">
        <v>172</v>
      </c>
      <c r="I28" s="504" t="s">
        <v>246</v>
      </c>
      <c r="J28" s="503" t="s">
        <v>437</v>
      </c>
      <c r="K28" s="504" t="s">
        <v>512</v>
      </c>
      <c r="L28" s="504"/>
      <c r="M28" s="506">
        <v>1</v>
      </c>
      <c r="N28" s="505">
        <v>0</v>
      </c>
      <c r="O28" s="505"/>
      <c r="P28" s="507" t="b">
        <v>0</v>
      </c>
      <c r="Q28" s="506">
        <f t="shared" si="0"/>
        <v>4</v>
      </c>
      <c r="R28" s="505">
        <v>1</v>
      </c>
      <c r="S28" s="505">
        <v>1</v>
      </c>
      <c r="T28" s="505">
        <v>1</v>
      </c>
      <c r="U28" s="505">
        <v>1</v>
      </c>
      <c r="V28" s="505">
        <v>0</v>
      </c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  <c r="AG28" s="505"/>
      <c r="AH28" s="505"/>
      <c r="AI28" s="505"/>
      <c r="AJ28" s="505"/>
      <c r="AK28" s="505"/>
      <c r="AL28" s="505"/>
      <c r="AM28" s="505"/>
      <c r="AN28" s="505"/>
      <c r="AO28" s="505"/>
      <c r="AP28" s="505"/>
      <c r="AQ28" s="505"/>
      <c r="AR28" s="505"/>
      <c r="AS28" s="505"/>
      <c r="AT28" s="505"/>
      <c r="AU28" s="505"/>
      <c r="AV28" s="505"/>
      <c r="AW28" s="505"/>
      <c r="AX28" s="505"/>
      <c r="AY28" s="505"/>
      <c r="AZ28" s="505"/>
      <c r="BA28" s="505"/>
      <c r="BB28" s="505"/>
      <c r="BC28" s="505"/>
      <c r="BD28" s="505"/>
      <c r="BE28" s="505"/>
      <c r="BF28" s="505"/>
      <c r="BG28" s="505"/>
      <c r="BH28" s="505"/>
      <c r="BI28" s="505"/>
      <c r="BJ28" s="505"/>
      <c r="BK28" s="505"/>
      <c r="BL28" s="505"/>
      <c r="BM28" s="505"/>
      <c r="BN28" s="505"/>
      <c r="BO28" s="505"/>
      <c r="BP28" s="505"/>
      <c r="BQ28" s="505"/>
      <c r="BR28" s="505"/>
      <c r="BS28" s="505"/>
      <c r="BT28" s="505"/>
      <c r="BU28" s="505"/>
      <c r="BV28" s="505"/>
      <c r="BW28" s="505"/>
      <c r="BX28" s="505"/>
      <c r="BY28" s="505"/>
      <c r="BZ28" s="505"/>
      <c r="CA28" s="505"/>
      <c r="CB28" s="505"/>
      <c r="CC28" s="505"/>
      <c r="CD28" s="505"/>
      <c r="CE28" s="505"/>
      <c r="CF28" s="505"/>
      <c r="CG28" s="505"/>
      <c r="CH28" s="505"/>
      <c r="CI28" s="505"/>
      <c r="CJ28" s="505"/>
      <c r="CK28" s="505"/>
      <c r="CL28" s="505"/>
      <c r="CM28" s="505"/>
      <c r="CN28" s="505"/>
      <c r="CO28" s="505"/>
      <c r="CP28" s="505"/>
      <c r="CQ28" s="505"/>
      <c r="CR28" s="505"/>
      <c r="CS28" s="505"/>
      <c r="CT28" s="505"/>
      <c r="CU28" s="505"/>
      <c r="CV28" s="505"/>
      <c r="CW28" s="505"/>
      <c r="CX28" s="505"/>
      <c r="CY28" s="505"/>
      <c r="CZ28" s="505"/>
      <c r="DA28" s="505"/>
      <c r="DB28" s="505"/>
      <c r="DC28" s="505"/>
      <c r="DD28" s="505"/>
      <c r="DE28" s="505"/>
      <c r="DF28" s="505"/>
      <c r="DG28" s="505"/>
      <c r="DH28" s="505"/>
      <c r="DI28" s="505"/>
      <c r="DJ28" s="505"/>
      <c r="DK28" s="505"/>
      <c r="DL28" s="505"/>
      <c r="DM28" s="505"/>
      <c r="DN28" s="505"/>
      <c r="DO28" s="505"/>
      <c r="DP28" s="505"/>
      <c r="DQ28" s="505"/>
      <c r="DR28" s="505"/>
      <c r="DS28" s="505"/>
      <c r="DT28" s="505"/>
      <c r="DU28" s="505"/>
      <c r="DV28" s="505"/>
      <c r="DW28" s="505"/>
      <c r="DX28" s="505"/>
      <c r="DY28" s="505"/>
      <c r="DZ28" s="505"/>
      <c r="EA28" s="505"/>
      <c r="EB28" s="505"/>
      <c r="EC28" s="505"/>
      <c r="ED28" s="505"/>
      <c r="EE28" s="505"/>
      <c r="EF28" s="505"/>
      <c r="EG28" s="505"/>
      <c r="EH28" s="505"/>
      <c r="EI28" s="505"/>
      <c r="EJ28" s="505"/>
      <c r="EK28" s="505"/>
      <c r="EL28" s="505"/>
      <c r="EM28" s="505"/>
      <c r="EN28" s="505"/>
      <c r="EO28" s="505"/>
      <c r="EP28" s="505"/>
      <c r="EQ28" s="505"/>
      <c r="ER28" s="505"/>
      <c r="ES28" s="505"/>
      <c r="ET28" s="505"/>
      <c r="EU28" s="505"/>
      <c r="EV28" s="505"/>
      <c r="EW28" s="505"/>
      <c r="EX28" s="505"/>
      <c r="EY28" s="505"/>
      <c r="EZ28" s="505"/>
      <c r="FA28" s="505"/>
      <c r="FB28" s="505"/>
      <c r="FC28" s="505"/>
      <c r="FD28" s="505"/>
      <c r="FE28" s="505"/>
      <c r="FF28" s="505"/>
      <c r="FG28" s="505"/>
      <c r="FH28" s="505"/>
      <c r="FI28" s="505"/>
      <c r="FJ28" s="505"/>
      <c r="FK28" s="505"/>
      <c r="FL28" s="505"/>
      <c r="FM28" s="505"/>
      <c r="FN28" s="505"/>
      <c r="FO28" s="505"/>
      <c r="FP28" s="505"/>
      <c r="FQ28" s="505"/>
      <c r="FR28" s="505"/>
      <c r="FS28" s="505"/>
      <c r="FT28" s="505"/>
      <c r="FU28" s="505"/>
      <c r="FV28" s="505"/>
      <c r="FW28" s="505"/>
      <c r="FX28" s="505"/>
      <c r="FY28" s="505"/>
      <c r="FZ28" s="505"/>
      <c r="GA28" s="505"/>
      <c r="GB28" s="505"/>
      <c r="GC28" s="505"/>
      <c r="GD28" s="505"/>
      <c r="GE28" s="505"/>
      <c r="GF28" s="505"/>
      <c r="GG28" s="505"/>
      <c r="GH28" s="505"/>
      <c r="GI28" s="505"/>
      <c r="GJ28" s="505"/>
      <c r="GK28" s="505"/>
      <c r="GL28" s="505"/>
      <c r="GM28" s="505"/>
      <c r="GN28" s="505"/>
      <c r="GO28" s="505"/>
      <c r="GP28" s="505"/>
      <c r="GQ28" s="505"/>
      <c r="GR28" s="505"/>
      <c r="GS28" s="505"/>
      <c r="GT28" s="505"/>
      <c r="GU28" s="505"/>
      <c r="GV28" s="505"/>
      <c r="GW28" s="505"/>
      <c r="GX28" s="505"/>
      <c r="GY28" s="505"/>
      <c r="GZ28" s="505"/>
      <c r="HA28" s="505"/>
      <c r="HB28" s="505"/>
      <c r="HC28" s="505"/>
      <c r="HD28" s="505"/>
      <c r="HE28" s="505"/>
      <c r="HF28" s="505"/>
      <c r="HG28" s="505"/>
      <c r="HH28" s="505"/>
      <c r="HI28" s="505"/>
      <c r="HJ28" s="505"/>
      <c r="HK28" s="505"/>
      <c r="HL28" s="505"/>
      <c r="HM28" s="505"/>
      <c r="HN28" s="505"/>
      <c r="HO28" s="505"/>
      <c r="HP28" s="505"/>
      <c r="HQ28" s="505"/>
      <c r="HR28" s="505"/>
      <c r="HS28" s="505"/>
      <c r="HT28" s="505"/>
      <c r="HU28" s="505"/>
      <c r="HV28" s="505"/>
      <c r="HW28" s="505"/>
      <c r="HX28" s="505"/>
      <c r="HY28" s="505"/>
      <c r="HZ28" s="505"/>
      <c r="IA28" s="505"/>
      <c r="IB28" s="505"/>
      <c r="IC28" s="505"/>
      <c r="ID28" s="518" t="s">
        <v>61</v>
      </c>
      <c r="IE28" s="509" t="s">
        <v>513</v>
      </c>
      <c r="IF28" s="510" t="s">
        <v>405</v>
      </c>
      <c r="IG28" s="505">
        <v>6</v>
      </c>
      <c r="IH28" s="749" t="s">
        <v>439</v>
      </c>
    </row>
    <row r="29" spans="1:242" s="511" customFormat="1">
      <c r="A29" s="500">
        <v>28</v>
      </c>
      <c r="B29" s="500"/>
      <c r="C29" s="500" t="s">
        <v>882</v>
      </c>
      <c r="D29" s="501" t="s">
        <v>808</v>
      </c>
      <c r="E29" s="523">
        <v>45964</v>
      </c>
      <c r="F29" s="500" t="s">
        <v>759</v>
      </c>
      <c r="G29" s="500" t="s">
        <v>778</v>
      </c>
      <c r="H29" s="503" t="s">
        <v>172</v>
      </c>
      <c r="I29" s="504" t="s">
        <v>246</v>
      </c>
      <c r="J29" s="517" t="s">
        <v>514</v>
      </c>
      <c r="K29" s="504" t="s">
        <v>512</v>
      </c>
      <c r="L29" s="504"/>
      <c r="M29" s="506">
        <v>1</v>
      </c>
      <c r="N29" s="505">
        <v>0</v>
      </c>
      <c r="O29" s="505"/>
      <c r="P29" s="507" t="b">
        <v>0</v>
      </c>
      <c r="Q29" s="506">
        <f>SUM(R29:DM29)</f>
        <v>13</v>
      </c>
      <c r="R29" s="505">
        <v>1</v>
      </c>
      <c r="S29" s="505">
        <v>1</v>
      </c>
      <c r="T29" s="505">
        <v>1</v>
      </c>
      <c r="U29" s="505">
        <v>1</v>
      </c>
      <c r="V29" s="505">
        <v>1</v>
      </c>
      <c r="W29" s="505">
        <v>1</v>
      </c>
      <c r="X29" s="505">
        <v>1</v>
      </c>
      <c r="Y29" s="505">
        <v>1</v>
      </c>
      <c r="Z29" s="505">
        <v>1</v>
      </c>
      <c r="AA29" s="505">
        <v>1</v>
      </c>
      <c r="AB29" s="505">
        <v>1</v>
      </c>
      <c r="AC29" s="505">
        <v>1</v>
      </c>
      <c r="AD29" s="505">
        <v>1</v>
      </c>
      <c r="AE29" s="505"/>
      <c r="AF29" s="505"/>
      <c r="AG29" s="505"/>
      <c r="AH29" s="505"/>
      <c r="AI29" s="505"/>
      <c r="AJ29" s="505"/>
      <c r="AK29" s="505"/>
      <c r="AL29" s="505"/>
      <c r="AM29" s="505"/>
      <c r="AN29" s="505"/>
      <c r="AO29" s="505"/>
      <c r="AP29" s="505"/>
      <c r="AQ29" s="505"/>
      <c r="AR29" s="505"/>
      <c r="AS29" s="505"/>
      <c r="AT29" s="505"/>
      <c r="AU29" s="505"/>
      <c r="AV29" s="505"/>
      <c r="AW29" s="505"/>
      <c r="AX29" s="505"/>
      <c r="AY29" s="505"/>
      <c r="AZ29" s="505"/>
      <c r="BA29" s="505"/>
      <c r="BB29" s="505"/>
      <c r="BC29" s="505"/>
      <c r="BD29" s="505"/>
      <c r="BE29" s="505"/>
      <c r="BF29" s="505"/>
      <c r="BG29" s="505"/>
      <c r="BH29" s="505"/>
      <c r="BI29" s="505"/>
      <c r="BJ29" s="505"/>
      <c r="BK29" s="505"/>
      <c r="BL29" s="505"/>
      <c r="BM29" s="505"/>
      <c r="BN29" s="505"/>
      <c r="BO29" s="505"/>
      <c r="BP29" s="505"/>
      <c r="BQ29" s="505"/>
      <c r="BR29" s="505"/>
      <c r="BS29" s="505"/>
      <c r="BT29" s="505"/>
      <c r="BU29" s="505"/>
      <c r="BV29" s="505"/>
      <c r="BW29" s="505"/>
      <c r="BX29" s="505"/>
      <c r="BY29" s="505"/>
      <c r="BZ29" s="505"/>
      <c r="CA29" s="505"/>
      <c r="CB29" s="505"/>
      <c r="CC29" s="505"/>
      <c r="CD29" s="505"/>
      <c r="CE29" s="505"/>
      <c r="CF29" s="505"/>
      <c r="CG29" s="505"/>
      <c r="CH29" s="505"/>
      <c r="CI29" s="505"/>
      <c r="CJ29" s="505"/>
      <c r="CK29" s="505"/>
      <c r="CL29" s="505"/>
      <c r="CM29" s="505"/>
      <c r="CN29" s="505"/>
      <c r="CO29" s="505"/>
      <c r="CP29" s="505"/>
      <c r="CQ29" s="505"/>
      <c r="CR29" s="505"/>
      <c r="CS29" s="505"/>
      <c r="CT29" s="505"/>
      <c r="CU29" s="505"/>
      <c r="CV29" s="505"/>
      <c r="CW29" s="505"/>
      <c r="CX29" s="505"/>
      <c r="CY29" s="505"/>
      <c r="CZ29" s="505"/>
      <c r="DA29" s="505"/>
      <c r="DB29" s="505"/>
      <c r="DC29" s="505"/>
      <c r="DD29" s="505"/>
      <c r="DE29" s="505"/>
      <c r="DF29" s="505"/>
      <c r="DG29" s="505"/>
      <c r="DH29" s="505"/>
      <c r="DI29" s="505"/>
      <c r="DJ29" s="505"/>
      <c r="DK29" s="505"/>
      <c r="DL29" s="505"/>
      <c r="DM29" s="505"/>
      <c r="DN29" s="505"/>
      <c r="DO29" s="505"/>
      <c r="DP29" s="505"/>
      <c r="DQ29" s="505"/>
      <c r="DR29" s="505"/>
      <c r="DS29" s="505"/>
      <c r="DT29" s="505"/>
      <c r="DU29" s="505"/>
      <c r="DV29" s="505"/>
      <c r="DW29" s="505"/>
      <c r="DX29" s="505"/>
      <c r="DY29" s="505"/>
      <c r="DZ29" s="505"/>
      <c r="EA29" s="505"/>
      <c r="EB29" s="505"/>
      <c r="EC29" s="505"/>
      <c r="ED29" s="505"/>
      <c r="EE29" s="505"/>
      <c r="EF29" s="505"/>
      <c r="EG29" s="505"/>
      <c r="EH29" s="505"/>
      <c r="EI29" s="505"/>
      <c r="EJ29" s="505"/>
      <c r="EK29" s="505"/>
      <c r="EL29" s="505"/>
      <c r="EM29" s="505"/>
      <c r="EN29" s="505"/>
      <c r="EO29" s="505"/>
      <c r="EP29" s="505"/>
      <c r="EQ29" s="505"/>
      <c r="ER29" s="505"/>
      <c r="ES29" s="505"/>
      <c r="ET29" s="505"/>
      <c r="EU29" s="505"/>
      <c r="EV29" s="505"/>
      <c r="EW29" s="505"/>
      <c r="EX29" s="505"/>
      <c r="EY29" s="505"/>
      <c r="EZ29" s="505"/>
      <c r="FA29" s="505"/>
      <c r="FB29" s="505"/>
      <c r="FC29" s="505"/>
      <c r="FD29" s="505"/>
      <c r="FE29" s="505"/>
      <c r="FF29" s="505"/>
      <c r="FG29" s="505"/>
      <c r="FH29" s="505"/>
      <c r="FI29" s="505"/>
      <c r="FJ29" s="505"/>
      <c r="FK29" s="505"/>
      <c r="FL29" s="505"/>
      <c r="FM29" s="505"/>
      <c r="FN29" s="505"/>
      <c r="FO29" s="505"/>
      <c r="FP29" s="505"/>
      <c r="FQ29" s="505"/>
      <c r="FR29" s="505"/>
      <c r="FS29" s="505"/>
      <c r="FT29" s="505"/>
      <c r="FU29" s="505"/>
      <c r="FV29" s="505"/>
      <c r="FW29" s="505"/>
      <c r="FX29" s="505"/>
      <c r="FY29" s="505"/>
      <c r="FZ29" s="505"/>
      <c r="GA29" s="505"/>
      <c r="GB29" s="505"/>
      <c r="GC29" s="505"/>
      <c r="GD29" s="505"/>
      <c r="GE29" s="505"/>
      <c r="GF29" s="505"/>
      <c r="GG29" s="505"/>
      <c r="GH29" s="505"/>
      <c r="GI29" s="505"/>
      <c r="GJ29" s="505"/>
      <c r="GK29" s="505"/>
      <c r="GL29" s="505"/>
      <c r="GM29" s="505"/>
      <c r="GN29" s="505"/>
      <c r="GO29" s="505"/>
      <c r="GP29" s="505"/>
      <c r="GQ29" s="505"/>
      <c r="GR29" s="505"/>
      <c r="GS29" s="505"/>
      <c r="GT29" s="505"/>
      <c r="GU29" s="505"/>
      <c r="GV29" s="505"/>
      <c r="GW29" s="505"/>
      <c r="GX29" s="505"/>
      <c r="GY29" s="505"/>
      <c r="GZ29" s="505"/>
      <c r="HA29" s="505"/>
      <c r="HB29" s="505"/>
      <c r="HC29" s="505"/>
      <c r="HD29" s="505"/>
      <c r="HE29" s="505"/>
      <c r="HF29" s="505"/>
      <c r="HG29" s="505"/>
      <c r="HH29" s="505"/>
      <c r="HI29" s="505"/>
      <c r="HJ29" s="505"/>
      <c r="HK29" s="505"/>
      <c r="HL29" s="505"/>
      <c r="HM29" s="505"/>
      <c r="HN29" s="505"/>
      <c r="HO29" s="505"/>
      <c r="HP29" s="505"/>
      <c r="HQ29" s="505"/>
      <c r="HR29" s="505"/>
      <c r="HS29" s="505"/>
      <c r="HT29" s="505"/>
      <c r="HU29" s="505"/>
      <c r="HV29" s="505"/>
      <c r="HW29" s="505"/>
      <c r="HX29" s="505"/>
      <c r="HY29" s="505"/>
      <c r="HZ29" s="505"/>
      <c r="IA29" s="505"/>
      <c r="IB29" s="505"/>
      <c r="IC29" s="505"/>
      <c r="ID29" s="518" t="s">
        <v>398</v>
      </c>
      <c r="IE29" s="509" t="s">
        <v>422</v>
      </c>
      <c r="IF29" s="505" t="s">
        <v>438</v>
      </c>
      <c r="IG29" s="505">
        <v>6</v>
      </c>
      <c r="IH29" s="750"/>
    </row>
    <row r="30" spans="1:242">
      <c r="A30" s="535">
        <v>29</v>
      </c>
      <c r="B30" s="535" t="s">
        <v>835</v>
      </c>
      <c r="C30" s="535" t="s">
        <v>805</v>
      </c>
      <c r="D30" s="531" t="s">
        <v>808</v>
      </c>
      <c r="E30" s="542">
        <v>45964</v>
      </c>
      <c r="F30" s="535" t="s">
        <v>759</v>
      </c>
      <c r="G30" s="535" t="s">
        <v>778</v>
      </c>
      <c r="H30" s="485" t="s">
        <v>172</v>
      </c>
      <c r="I30" s="238" t="s">
        <v>246</v>
      </c>
      <c r="J30" s="537" t="s">
        <v>441</v>
      </c>
      <c r="K30" s="238" t="s">
        <v>511</v>
      </c>
      <c r="L30" s="238" t="s">
        <v>771</v>
      </c>
      <c r="M30" s="33">
        <v>1</v>
      </c>
      <c r="N30" s="11">
        <v>0</v>
      </c>
      <c r="O30" s="538" t="s">
        <v>696</v>
      </c>
      <c r="P30" s="539" t="b">
        <v>0</v>
      </c>
      <c r="Q30" s="33">
        <f t="shared" ref="Q30:Q35" si="1">SUM(R30:GO30)</f>
        <v>162</v>
      </c>
      <c r="R30" s="11">
        <v>1</v>
      </c>
      <c r="S30" s="11">
        <v>1</v>
      </c>
      <c r="T30" s="11">
        <v>1</v>
      </c>
      <c r="U30" s="11">
        <v>1</v>
      </c>
      <c r="V30" s="11">
        <v>1</v>
      </c>
      <c r="W30" s="11">
        <v>1</v>
      </c>
      <c r="X30" s="11">
        <v>1</v>
      </c>
      <c r="Y30" s="11">
        <v>1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11">
        <v>1</v>
      </c>
      <c r="AK30" s="11">
        <v>1</v>
      </c>
      <c r="AL30" s="11">
        <v>1</v>
      </c>
      <c r="AM30" s="11">
        <v>1</v>
      </c>
      <c r="AN30" s="11">
        <v>1</v>
      </c>
      <c r="AO30" s="11">
        <v>1</v>
      </c>
      <c r="AP30" s="11">
        <v>1</v>
      </c>
      <c r="AQ30" s="11">
        <v>1</v>
      </c>
      <c r="AR30" s="11">
        <v>1</v>
      </c>
      <c r="AS30" s="11">
        <v>1</v>
      </c>
      <c r="AT30" s="11">
        <v>1</v>
      </c>
      <c r="AU30" s="11">
        <v>1</v>
      </c>
      <c r="AV30" s="11">
        <v>1</v>
      </c>
      <c r="AW30" s="11">
        <v>1</v>
      </c>
      <c r="AX30" s="11">
        <v>1</v>
      </c>
      <c r="AY30" s="11">
        <v>1</v>
      </c>
      <c r="AZ30" s="11">
        <v>1</v>
      </c>
      <c r="BA30" s="11">
        <v>1</v>
      </c>
      <c r="BB30" s="11">
        <v>1</v>
      </c>
      <c r="BC30" s="11">
        <v>1</v>
      </c>
      <c r="BD30" s="11">
        <v>1</v>
      </c>
      <c r="BE30" s="11">
        <v>1</v>
      </c>
      <c r="BF30" s="11">
        <v>1</v>
      </c>
      <c r="BG30" s="11">
        <v>1</v>
      </c>
      <c r="BH30" s="11">
        <v>1</v>
      </c>
      <c r="BI30" s="11">
        <v>1</v>
      </c>
      <c r="BJ30" s="11">
        <v>1</v>
      </c>
      <c r="BK30" s="11">
        <v>1</v>
      </c>
      <c r="BL30" s="11">
        <v>1</v>
      </c>
      <c r="BM30" s="11">
        <v>1</v>
      </c>
      <c r="BN30" s="11">
        <v>1</v>
      </c>
      <c r="BO30" s="11">
        <v>1</v>
      </c>
      <c r="BP30" s="11">
        <v>1</v>
      </c>
      <c r="BQ30" s="11">
        <v>1</v>
      </c>
      <c r="BR30" s="11">
        <v>1</v>
      </c>
      <c r="BS30" s="11">
        <v>1</v>
      </c>
      <c r="BT30" s="11">
        <v>1</v>
      </c>
      <c r="BU30" s="11">
        <v>1</v>
      </c>
      <c r="BV30" s="11">
        <v>1</v>
      </c>
      <c r="BW30" s="11">
        <v>1</v>
      </c>
      <c r="BX30" s="11">
        <v>1</v>
      </c>
      <c r="BY30" s="11">
        <v>1</v>
      </c>
      <c r="BZ30" s="11">
        <v>1</v>
      </c>
      <c r="CA30" s="11">
        <v>1</v>
      </c>
      <c r="CB30" s="11">
        <v>1</v>
      </c>
      <c r="CC30" s="11">
        <v>1</v>
      </c>
      <c r="CD30" s="11">
        <v>1</v>
      </c>
      <c r="CE30" s="11">
        <v>1</v>
      </c>
      <c r="CF30" s="11">
        <v>1</v>
      </c>
      <c r="CG30" s="11">
        <v>1</v>
      </c>
      <c r="CH30" s="11">
        <v>1</v>
      </c>
      <c r="CI30" s="11">
        <v>1</v>
      </c>
      <c r="CJ30" s="11">
        <v>1</v>
      </c>
      <c r="CK30" s="11">
        <v>1</v>
      </c>
      <c r="CL30" s="11">
        <v>1</v>
      </c>
      <c r="CM30" s="11">
        <v>1</v>
      </c>
      <c r="CN30" s="11">
        <v>1</v>
      </c>
      <c r="CO30" s="11">
        <v>1</v>
      </c>
      <c r="CP30" s="11">
        <v>1</v>
      </c>
      <c r="CQ30" s="11">
        <v>1</v>
      </c>
      <c r="CR30" s="11">
        <v>1</v>
      </c>
      <c r="CS30" s="11">
        <v>1</v>
      </c>
      <c r="CT30" s="11">
        <v>1</v>
      </c>
      <c r="CU30" s="11">
        <v>1</v>
      </c>
      <c r="CV30" s="11">
        <v>1</v>
      </c>
      <c r="CW30" s="11">
        <v>1</v>
      </c>
      <c r="CX30" s="11">
        <v>1</v>
      </c>
      <c r="CY30" s="11">
        <v>1</v>
      </c>
      <c r="CZ30" s="11">
        <v>1</v>
      </c>
      <c r="DA30" s="11">
        <v>1</v>
      </c>
      <c r="DB30" s="11">
        <v>1</v>
      </c>
      <c r="DC30" s="11">
        <v>1</v>
      </c>
      <c r="DD30" s="11">
        <v>1</v>
      </c>
      <c r="DE30" s="11">
        <v>1</v>
      </c>
      <c r="DF30" s="11">
        <v>1</v>
      </c>
      <c r="DG30" s="11">
        <v>1</v>
      </c>
      <c r="DH30" s="11">
        <v>1</v>
      </c>
      <c r="DI30" s="11">
        <v>1</v>
      </c>
      <c r="DJ30" s="11">
        <v>1</v>
      </c>
      <c r="DK30" s="11">
        <v>1</v>
      </c>
      <c r="DL30" s="11">
        <v>1</v>
      </c>
      <c r="DM30" s="11">
        <v>1</v>
      </c>
      <c r="DN30" s="11">
        <v>1</v>
      </c>
      <c r="DO30" s="11">
        <v>1</v>
      </c>
      <c r="DP30" s="11">
        <v>1</v>
      </c>
      <c r="DQ30" s="11">
        <v>1</v>
      </c>
      <c r="DR30" s="11">
        <v>1</v>
      </c>
      <c r="DS30" s="11">
        <v>1</v>
      </c>
      <c r="DT30" s="11">
        <v>1</v>
      </c>
      <c r="DU30" s="11">
        <v>1</v>
      </c>
      <c r="DV30" s="11">
        <v>1</v>
      </c>
      <c r="DW30" s="11">
        <v>1</v>
      </c>
      <c r="DX30" s="11">
        <v>1</v>
      </c>
      <c r="DY30" s="11">
        <v>1</v>
      </c>
      <c r="DZ30" s="11">
        <v>1</v>
      </c>
      <c r="EA30" s="11">
        <v>1</v>
      </c>
      <c r="EB30" s="11">
        <v>1</v>
      </c>
      <c r="EC30" s="11">
        <v>1</v>
      </c>
      <c r="ED30" s="11">
        <v>1</v>
      </c>
      <c r="EE30" s="11">
        <v>1</v>
      </c>
      <c r="EF30" s="11">
        <v>1</v>
      </c>
      <c r="EG30" s="11">
        <v>1</v>
      </c>
      <c r="EH30" s="11">
        <v>1</v>
      </c>
      <c r="EI30" s="11">
        <v>1</v>
      </c>
      <c r="EJ30" s="11">
        <v>1</v>
      </c>
      <c r="EK30" s="11">
        <v>1</v>
      </c>
      <c r="EL30" s="11">
        <v>1</v>
      </c>
      <c r="EM30" s="11">
        <v>1</v>
      </c>
      <c r="EN30" s="11">
        <v>1</v>
      </c>
      <c r="EO30" s="11">
        <v>1</v>
      </c>
      <c r="EP30" s="11">
        <v>1</v>
      </c>
      <c r="EQ30" s="11">
        <v>1</v>
      </c>
      <c r="ER30" s="11">
        <v>1</v>
      </c>
      <c r="ES30" s="11">
        <v>1</v>
      </c>
      <c r="ET30" s="11">
        <v>1</v>
      </c>
      <c r="EU30" s="11">
        <v>1</v>
      </c>
      <c r="EV30" s="11">
        <v>1</v>
      </c>
      <c r="EW30" s="11">
        <v>1</v>
      </c>
      <c r="EX30" s="11">
        <v>1</v>
      </c>
      <c r="EY30" s="11">
        <v>1</v>
      </c>
      <c r="EZ30" s="11">
        <v>1</v>
      </c>
      <c r="FA30" s="11">
        <v>1</v>
      </c>
      <c r="FB30" s="11">
        <v>1</v>
      </c>
      <c r="FC30" s="11">
        <v>1</v>
      </c>
      <c r="FD30" s="11">
        <v>1</v>
      </c>
      <c r="FE30" s="11">
        <v>1</v>
      </c>
      <c r="FF30" s="11">
        <v>1</v>
      </c>
      <c r="FG30" s="11">
        <v>1</v>
      </c>
      <c r="FH30" s="11">
        <v>1</v>
      </c>
      <c r="FI30" s="11">
        <v>1</v>
      </c>
      <c r="FJ30" s="11">
        <v>1</v>
      </c>
      <c r="FK30" s="11">
        <v>1</v>
      </c>
      <c r="FL30" s="11">
        <v>1</v>
      </c>
      <c r="FM30" s="11">
        <v>1</v>
      </c>
      <c r="FN30" s="11">
        <v>1</v>
      </c>
      <c r="FO30" s="11">
        <v>1</v>
      </c>
      <c r="FP30" s="11">
        <v>1</v>
      </c>
      <c r="FQ30" s="11">
        <v>1</v>
      </c>
      <c r="FR30" s="11">
        <v>1</v>
      </c>
      <c r="FS30" s="11">
        <v>1</v>
      </c>
      <c r="FT30" s="11">
        <v>1</v>
      </c>
      <c r="FU30" s="11">
        <v>1</v>
      </c>
      <c r="FV30" s="11">
        <v>1</v>
      </c>
      <c r="FW30" s="11">
        <v>1</v>
      </c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 t="s">
        <v>230</v>
      </c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540" t="s">
        <v>398</v>
      </c>
      <c r="IE30" s="231" t="s">
        <v>422</v>
      </c>
      <c r="IF30" s="11" t="s">
        <v>438</v>
      </c>
      <c r="IG30" s="11">
        <v>6</v>
      </c>
      <c r="IH30" s="750"/>
    </row>
    <row r="31" spans="1:242" s="499" customFormat="1">
      <c r="A31" s="487">
        <v>30</v>
      </c>
      <c r="B31" s="487" t="s">
        <v>809</v>
      </c>
      <c r="C31" s="487" t="s">
        <v>810</v>
      </c>
      <c r="D31" s="488" t="s">
        <v>811</v>
      </c>
      <c r="E31" s="522">
        <v>45968</v>
      </c>
      <c r="F31" s="487" t="s">
        <v>759</v>
      </c>
      <c r="G31" s="487" t="s">
        <v>778</v>
      </c>
      <c r="H31" s="512" t="s">
        <v>175</v>
      </c>
      <c r="I31" s="491" t="s">
        <v>276</v>
      </c>
      <c r="J31" s="513" t="s">
        <v>442</v>
      </c>
      <c r="K31" s="491" t="s">
        <v>398</v>
      </c>
      <c r="L31" s="491" t="s">
        <v>771</v>
      </c>
      <c r="M31" s="493">
        <v>1</v>
      </c>
      <c r="N31" s="491">
        <v>0</v>
      </c>
      <c r="O31" s="494" t="s">
        <v>696</v>
      </c>
      <c r="P31" s="514" t="b">
        <v>1</v>
      </c>
      <c r="Q31" s="493">
        <f>SUM(R31:IC31)</f>
        <v>169</v>
      </c>
      <c r="R31" s="491">
        <v>1</v>
      </c>
      <c r="S31" s="491">
        <v>1</v>
      </c>
      <c r="T31" s="491">
        <v>1</v>
      </c>
      <c r="U31" s="491">
        <v>1</v>
      </c>
      <c r="V31" s="491">
        <v>1</v>
      </c>
      <c r="W31" s="491">
        <v>1</v>
      </c>
      <c r="X31" s="491">
        <v>1</v>
      </c>
      <c r="Y31" s="491">
        <v>1</v>
      </c>
      <c r="Z31" s="491">
        <v>1</v>
      </c>
      <c r="AA31" s="491">
        <v>1</v>
      </c>
      <c r="AB31" s="491">
        <v>1</v>
      </c>
      <c r="AC31" s="491">
        <v>1</v>
      </c>
      <c r="AD31" s="491">
        <v>1</v>
      </c>
      <c r="AE31" s="491">
        <v>1</v>
      </c>
      <c r="AF31" s="491">
        <v>1</v>
      </c>
      <c r="AG31" s="491">
        <v>1</v>
      </c>
      <c r="AH31" s="491">
        <v>1</v>
      </c>
      <c r="AI31" s="491">
        <v>1</v>
      </c>
      <c r="AJ31" s="491">
        <v>1</v>
      </c>
      <c r="AK31" s="491">
        <v>1</v>
      </c>
      <c r="AL31" s="491">
        <v>1</v>
      </c>
      <c r="AM31" s="491">
        <v>1</v>
      </c>
      <c r="AN31" s="491">
        <v>1</v>
      </c>
      <c r="AO31" s="491">
        <v>1</v>
      </c>
      <c r="AP31" s="491">
        <v>1</v>
      </c>
      <c r="AQ31" s="491">
        <v>1</v>
      </c>
      <c r="AR31" s="491">
        <v>1</v>
      </c>
      <c r="AS31" s="491">
        <v>1</v>
      </c>
      <c r="AT31" s="491">
        <v>1</v>
      </c>
      <c r="AU31" s="491">
        <v>1</v>
      </c>
      <c r="AV31" s="491">
        <v>1</v>
      </c>
      <c r="AW31" s="491">
        <v>1</v>
      </c>
      <c r="AX31" s="491">
        <v>1</v>
      </c>
      <c r="AY31" s="491">
        <v>1</v>
      </c>
      <c r="AZ31" s="491">
        <v>1</v>
      </c>
      <c r="BA31" s="491">
        <v>1</v>
      </c>
      <c r="BB31" s="491">
        <v>1</v>
      </c>
      <c r="BC31" s="491">
        <v>1</v>
      </c>
      <c r="BD31" s="491">
        <v>1</v>
      </c>
      <c r="BE31" s="491">
        <v>1</v>
      </c>
      <c r="BF31" s="491">
        <v>1</v>
      </c>
      <c r="BG31" s="491">
        <v>1</v>
      </c>
      <c r="BH31" s="491">
        <v>1</v>
      </c>
      <c r="BI31" s="491">
        <v>1</v>
      </c>
      <c r="BJ31" s="491">
        <v>1</v>
      </c>
      <c r="BK31" s="491">
        <v>1</v>
      </c>
      <c r="BL31" s="491">
        <v>1</v>
      </c>
      <c r="BM31" s="491">
        <v>1</v>
      </c>
      <c r="BN31" s="491">
        <v>1</v>
      </c>
      <c r="BO31" s="491">
        <v>1</v>
      </c>
      <c r="BP31" s="491">
        <v>1</v>
      </c>
      <c r="BQ31" s="491">
        <v>1</v>
      </c>
      <c r="BR31" s="491">
        <v>1</v>
      </c>
      <c r="BS31" s="491">
        <v>1</v>
      </c>
      <c r="BT31" s="491">
        <v>1</v>
      </c>
      <c r="BU31" s="491">
        <v>1</v>
      </c>
      <c r="BV31" s="491">
        <v>1</v>
      </c>
      <c r="BW31" s="491">
        <v>1</v>
      </c>
      <c r="BX31" s="491">
        <v>1</v>
      </c>
      <c r="BY31" s="491">
        <v>1</v>
      </c>
      <c r="BZ31" s="491">
        <v>1</v>
      </c>
      <c r="CA31" s="491">
        <v>1</v>
      </c>
      <c r="CB31" s="491">
        <v>1</v>
      </c>
      <c r="CC31" s="491">
        <v>1</v>
      </c>
      <c r="CD31" s="491">
        <v>1</v>
      </c>
      <c r="CE31" s="491">
        <v>1</v>
      </c>
      <c r="CF31" s="491">
        <v>1</v>
      </c>
      <c r="CG31" s="491">
        <v>1</v>
      </c>
      <c r="CH31" s="491">
        <v>1</v>
      </c>
      <c r="CI31" s="491">
        <v>1</v>
      </c>
      <c r="CJ31" s="491">
        <v>1</v>
      </c>
      <c r="CK31" s="491">
        <v>1</v>
      </c>
      <c r="CL31" s="491">
        <v>1</v>
      </c>
      <c r="CM31" s="491">
        <v>1</v>
      </c>
      <c r="CN31" s="491">
        <v>1</v>
      </c>
      <c r="CO31" s="491">
        <v>1</v>
      </c>
      <c r="CP31" s="491">
        <v>1</v>
      </c>
      <c r="CQ31" s="491">
        <v>1</v>
      </c>
      <c r="CR31" s="491">
        <v>1</v>
      </c>
      <c r="CS31" s="491">
        <v>1</v>
      </c>
      <c r="CT31" s="491">
        <v>1</v>
      </c>
      <c r="CU31" s="491">
        <v>1</v>
      </c>
      <c r="CV31" s="491">
        <v>1</v>
      </c>
      <c r="CW31" s="491">
        <v>1</v>
      </c>
      <c r="CX31" s="491">
        <v>1</v>
      </c>
      <c r="CY31" s="491">
        <v>1</v>
      </c>
      <c r="CZ31" s="491">
        <v>1</v>
      </c>
      <c r="DA31" s="491">
        <v>1</v>
      </c>
      <c r="DB31" s="491">
        <v>1</v>
      </c>
      <c r="DC31" s="491">
        <v>1</v>
      </c>
      <c r="DD31" s="491">
        <v>1</v>
      </c>
      <c r="DE31" s="491">
        <v>1</v>
      </c>
      <c r="DF31" s="491">
        <v>1</v>
      </c>
      <c r="DG31" s="491">
        <v>1</v>
      </c>
      <c r="DH31" s="491">
        <v>1</v>
      </c>
      <c r="DI31" s="491">
        <v>1</v>
      </c>
      <c r="DJ31" s="491">
        <v>1</v>
      </c>
      <c r="DK31" s="491">
        <v>1</v>
      </c>
      <c r="DL31" s="491">
        <v>1</v>
      </c>
      <c r="DM31" s="491">
        <v>1</v>
      </c>
      <c r="DN31" s="491">
        <v>1</v>
      </c>
      <c r="DO31" s="491">
        <v>1</v>
      </c>
      <c r="DP31" s="491">
        <v>1</v>
      </c>
      <c r="DQ31" s="491">
        <v>1</v>
      </c>
      <c r="DR31" s="491">
        <v>1</v>
      </c>
      <c r="DS31" s="491">
        <v>1</v>
      </c>
      <c r="DT31" s="491">
        <v>1</v>
      </c>
      <c r="DU31" s="491">
        <v>1</v>
      </c>
      <c r="DV31" s="491">
        <v>1</v>
      </c>
      <c r="DW31" s="491">
        <v>1</v>
      </c>
      <c r="DX31" s="491">
        <v>1</v>
      </c>
      <c r="DY31" s="491">
        <v>1</v>
      </c>
      <c r="DZ31" s="491">
        <v>1</v>
      </c>
      <c r="EA31" s="491">
        <v>1</v>
      </c>
      <c r="EB31" s="491">
        <v>1</v>
      </c>
      <c r="EC31" s="491">
        <v>1</v>
      </c>
      <c r="ED31" s="491">
        <v>1</v>
      </c>
      <c r="EE31" s="491">
        <v>1</v>
      </c>
      <c r="EF31" s="491">
        <v>1</v>
      </c>
      <c r="EG31" s="491">
        <v>1</v>
      </c>
      <c r="EH31" s="491">
        <v>1</v>
      </c>
      <c r="EI31" s="491">
        <v>1</v>
      </c>
      <c r="EJ31" s="491">
        <v>1</v>
      </c>
      <c r="EK31" s="491">
        <v>1</v>
      </c>
      <c r="EL31" s="491">
        <v>1</v>
      </c>
      <c r="EM31" s="491">
        <v>1</v>
      </c>
      <c r="EN31" s="491">
        <v>1</v>
      </c>
      <c r="EO31" s="491">
        <v>1</v>
      </c>
      <c r="EP31" s="491">
        <v>1</v>
      </c>
      <c r="EQ31" s="491">
        <v>1</v>
      </c>
      <c r="ER31" s="491">
        <v>1</v>
      </c>
      <c r="ES31" s="491">
        <v>1</v>
      </c>
      <c r="ET31" s="491">
        <v>1</v>
      </c>
      <c r="EU31" s="491">
        <v>1</v>
      </c>
      <c r="EV31" s="491">
        <v>1</v>
      </c>
      <c r="EW31" s="491">
        <v>1</v>
      </c>
      <c r="EX31" s="491">
        <v>1</v>
      </c>
      <c r="EY31" s="491">
        <v>1</v>
      </c>
      <c r="EZ31" s="491">
        <v>1</v>
      </c>
      <c r="FA31" s="491">
        <v>1</v>
      </c>
      <c r="FB31" s="491">
        <v>1</v>
      </c>
      <c r="FC31" s="491">
        <v>1</v>
      </c>
      <c r="FD31" s="491">
        <v>1</v>
      </c>
      <c r="FE31" s="491">
        <v>1</v>
      </c>
      <c r="FF31" s="491">
        <v>1</v>
      </c>
      <c r="FG31" s="491">
        <v>1</v>
      </c>
      <c r="FH31" s="491">
        <v>1</v>
      </c>
      <c r="FI31" s="491">
        <v>1</v>
      </c>
      <c r="FJ31" s="491">
        <v>1</v>
      </c>
      <c r="FK31" s="491">
        <v>1</v>
      </c>
      <c r="FL31" s="491">
        <v>1</v>
      </c>
      <c r="FM31" s="491">
        <v>1</v>
      </c>
      <c r="FN31" s="491">
        <v>1</v>
      </c>
      <c r="FO31" s="491">
        <v>1</v>
      </c>
      <c r="FP31" s="491">
        <v>1</v>
      </c>
      <c r="FQ31" s="491">
        <v>1</v>
      </c>
      <c r="FR31" s="491">
        <v>1</v>
      </c>
      <c r="FS31" s="491">
        <v>1</v>
      </c>
      <c r="FT31" s="491">
        <v>1</v>
      </c>
      <c r="FU31" s="491">
        <v>1</v>
      </c>
      <c r="FV31" s="491">
        <v>1</v>
      </c>
      <c r="FW31" s="491">
        <v>1</v>
      </c>
      <c r="FX31" s="491">
        <v>1</v>
      </c>
      <c r="FY31" s="491">
        <v>1</v>
      </c>
      <c r="FZ31" s="491">
        <v>1</v>
      </c>
      <c r="GA31" s="491">
        <v>1</v>
      </c>
      <c r="GB31" s="491">
        <v>1</v>
      </c>
      <c r="GC31" s="491">
        <v>1</v>
      </c>
      <c r="GD31" s="491">
        <v>1</v>
      </c>
      <c r="GE31" s="491"/>
      <c r="GF31" s="491"/>
      <c r="GG31" s="491"/>
      <c r="GH31" s="491"/>
      <c r="GI31" s="491"/>
      <c r="GJ31" s="491"/>
      <c r="GK31" s="491"/>
      <c r="GL31" s="491"/>
      <c r="GM31" s="491"/>
      <c r="GN31" s="491"/>
      <c r="GO31" s="491"/>
      <c r="GP31" s="491"/>
      <c r="GQ31" s="491"/>
      <c r="GR31" s="491"/>
      <c r="GS31" s="491"/>
      <c r="GT31" s="491"/>
      <c r="GU31" s="491"/>
      <c r="GV31" s="491"/>
      <c r="GW31" s="491"/>
      <c r="GX31" s="491"/>
      <c r="GY31" s="491"/>
      <c r="GZ31" s="491"/>
      <c r="HA31" s="491"/>
      <c r="HB31" s="491"/>
      <c r="HC31" s="491"/>
      <c r="HD31" s="491"/>
      <c r="HE31" s="491"/>
      <c r="HF31" s="491"/>
      <c r="HG31" s="491"/>
      <c r="HH31" s="491"/>
      <c r="HI31" s="491"/>
      <c r="HJ31" s="491"/>
      <c r="HK31" s="491"/>
      <c r="HL31" s="491"/>
      <c r="HM31" s="491"/>
      <c r="HN31" s="491"/>
      <c r="HO31" s="491"/>
      <c r="HP31" s="491"/>
      <c r="HQ31" s="491"/>
      <c r="HR31" s="491"/>
      <c r="HS31" s="491"/>
      <c r="HT31" s="491"/>
      <c r="HU31" s="491"/>
      <c r="HV31" s="491"/>
      <c r="HW31" s="491"/>
      <c r="HX31" s="491"/>
      <c r="HY31" s="491"/>
      <c r="HZ31" s="491"/>
      <c r="IA31" s="491"/>
      <c r="IB31" s="491"/>
      <c r="IC31" s="491"/>
      <c r="ID31" s="496" t="s">
        <v>398</v>
      </c>
      <c r="IE31" s="520" t="s">
        <v>422</v>
      </c>
      <c r="IF31" s="521" t="s">
        <v>443</v>
      </c>
      <c r="IG31" s="491">
        <v>7</v>
      </c>
      <c r="IH31" s="491"/>
    </row>
    <row r="32" spans="1:242" s="499" customFormat="1">
      <c r="A32" s="487">
        <v>31</v>
      </c>
      <c r="B32" s="487" t="s">
        <v>812</v>
      </c>
      <c r="C32" s="487" t="s">
        <v>810</v>
      </c>
      <c r="D32" s="488" t="s">
        <v>811</v>
      </c>
      <c r="E32" s="522">
        <v>45968</v>
      </c>
      <c r="F32" s="487" t="s">
        <v>759</v>
      </c>
      <c r="G32" s="487" t="s">
        <v>778</v>
      </c>
      <c r="H32" s="512" t="s">
        <v>175</v>
      </c>
      <c r="I32" s="491" t="s">
        <v>276</v>
      </c>
      <c r="J32" s="513" t="s">
        <v>444</v>
      </c>
      <c r="K32" s="491" t="s">
        <v>398</v>
      </c>
      <c r="L32" s="491" t="s">
        <v>771</v>
      </c>
      <c r="M32" s="493">
        <v>1</v>
      </c>
      <c r="N32" s="491">
        <v>0</v>
      </c>
      <c r="O32" s="494" t="s">
        <v>695</v>
      </c>
      <c r="P32" s="514" t="b">
        <v>1</v>
      </c>
      <c r="Q32" s="493">
        <f>SUM(R32:IC32)</f>
        <v>169</v>
      </c>
      <c r="R32" s="491">
        <v>1</v>
      </c>
      <c r="S32" s="491">
        <v>1</v>
      </c>
      <c r="T32" s="491">
        <v>1</v>
      </c>
      <c r="U32" s="491">
        <v>1</v>
      </c>
      <c r="V32" s="491">
        <v>1</v>
      </c>
      <c r="W32" s="491">
        <v>1</v>
      </c>
      <c r="X32" s="491">
        <v>1</v>
      </c>
      <c r="Y32" s="491">
        <v>1</v>
      </c>
      <c r="Z32" s="491">
        <v>1</v>
      </c>
      <c r="AA32" s="491">
        <v>1</v>
      </c>
      <c r="AB32" s="491">
        <v>1</v>
      </c>
      <c r="AC32" s="491">
        <v>1</v>
      </c>
      <c r="AD32" s="491">
        <v>1</v>
      </c>
      <c r="AE32" s="491">
        <v>1</v>
      </c>
      <c r="AF32" s="491">
        <v>1</v>
      </c>
      <c r="AG32" s="491">
        <v>1</v>
      </c>
      <c r="AH32" s="491">
        <v>1</v>
      </c>
      <c r="AI32" s="491">
        <v>1</v>
      </c>
      <c r="AJ32" s="491">
        <v>1</v>
      </c>
      <c r="AK32" s="491">
        <v>1</v>
      </c>
      <c r="AL32" s="491">
        <v>1</v>
      </c>
      <c r="AM32" s="491">
        <v>1</v>
      </c>
      <c r="AN32" s="491">
        <v>1</v>
      </c>
      <c r="AO32" s="491">
        <v>1</v>
      </c>
      <c r="AP32" s="491">
        <v>1</v>
      </c>
      <c r="AQ32" s="491">
        <v>1</v>
      </c>
      <c r="AR32" s="491">
        <v>1</v>
      </c>
      <c r="AS32" s="491">
        <v>1</v>
      </c>
      <c r="AT32" s="491">
        <v>1</v>
      </c>
      <c r="AU32" s="491">
        <v>1</v>
      </c>
      <c r="AV32" s="491">
        <v>1</v>
      </c>
      <c r="AW32" s="491">
        <v>1</v>
      </c>
      <c r="AX32" s="491">
        <v>1</v>
      </c>
      <c r="AY32" s="491">
        <v>1</v>
      </c>
      <c r="AZ32" s="491">
        <v>1</v>
      </c>
      <c r="BA32" s="491">
        <v>1</v>
      </c>
      <c r="BB32" s="491">
        <v>1</v>
      </c>
      <c r="BC32" s="491">
        <v>1</v>
      </c>
      <c r="BD32" s="491">
        <v>1</v>
      </c>
      <c r="BE32" s="491">
        <v>1</v>
      </c>
      <c r="BF32" s="491">
        <v>1</v>
      </c>
      <c r="BG32" s="491">
        <v>1</v>
      </c>
      <c r="BH32" s="491">
        <v>1</v>
      </c>
      <c r="BI32" s="491">
        <v>1</v>
      </c>
      <c r="BJ32" s="491">
        <v>1</v>
      </c>
      <c r="BK32" s="491">
        <v>1</v>
      </c>
      <c r="BL32" s="491">
        <v>1</v>
      </c>
      <c r="BM32" s="491">
        <v>1</v>
      </c>
      <c r="BN32" s="491">
        <v>1</v>
      </c>
      <c r="BO32" s="491">
        <v>1</v>
      </c>
      <c r="BP32" s="491">
        <v>1</v>
      </c>
      <c r="BQ32" s="491">
        <v>1</v>
      </c>
      <c r="BR32" s="491">
        <v>1</v>
      </c>
      <c r="BS32" s="491">
        <v>1</v>
      </c>
      <c r="BT32" s="491">
        <v>1</v>
      </c>
      <c r="BU32" s="491">
        <v>1</v>
      </c>
      <c r="BV32" s="491">
        <v>1</v>
      </c>
      <c r="BW32" s="491">
        <v>1</v>
      </c>
      <c r="BX32" s="491">
        <v>1</v>
      </c>
      <c r="BY32" s="491">
        <v>1</v>
      </c>
      <c r="BZ32" s="491">
        <v>1</v>
      </c>
      <c r="CA32" s="491">
        <v>1</v>
      </c>
      <c r="CB32" s="491">
        <v>1</v>
      </c>
      <c r="CC32" s="491">
        <v>1</v>
      </c>
      <c r="CD32" s="491">
        <v>1</v>
      </c>
      <c r="CE32" s="491">
        <v>1</v>
      </c>
      <c r="CF32" s="491">
        <v>1</v>
      </c>
      <c r="CG32" s="491">
        <v>1</v>
      </c>
      <c r="CH32" s="491">
        <v>1</v>
      </c>
      <c r="CI32" s="491">
        <v>1</v>
      </c>
      <c r="CJ32" s="491">
        <v>1</v>
      </c>
      <c r="CK32" s="491">
        <v>1</v>
      </c>
      <c r="CL32" s="491">
        <v>1</v>
      </c>
      <c r="CM32" s="491">
        <v>1</v>
      </c>
      <c r="CN32" s="491">
        <v>1</v>
      </c>
      <c r="CO32" s="491">
        <v>1</v>
      </c>
      <c r="CP32" s="491">
        <v>1</v>
      </c>
      <c r="CQ32" s="491">
        <v>1</v>
      </c>
      <c r="CR32" s="491">
        <v>1</v>
      </c>
      <c r="CS32" s="491">
        <v>1</v>
      </c>
      <c r="CT32" s="491">
        <v>1</v>
      </c>
      <c r="CU32" s="491">
        <v>1</v>
      </c>
      <c r="CV32" s="491">
        <v>1</v>
      </c>
      <c r="CW32" s="491">
        <v>1</v>
      </c>
      <c r="CX32" s="491">
        <v>1</v>
      </c>
      <c r="CY32" s="491">
        <v>1</v>
      </c>
      <c r="CZ32" s="491">
        <v>1</v>
      </c>
      <c r="DA32" s="491">
        <v>1</v>
      </c>
      <c r="DB32" s="491">
        <v>1</v>
      </c>
      <c r="DC32" s="491">
        <v>1</v>
      </c>
      <c r="DD32" s="491">
        <v>1</v>
      </c>
      <c r="DE32" s="491">
        <v>1</v>
      </c>
      <c r="DF32" s="491">
        <v>1</v>
      </c>
      <c r="DG32" s="491">
        <v>1</v>
      </c>
      <c r="DH32" s="491">
        <v>1</v>
      </c>
      <c r="DI32" s="491">
        <v>1</v>
      </c>
      <c r="DJ32" s="491">
        <v>1</v>
      </c>
      <c r="DK32" s="491">
        <v>1</v>
      </c>
      <c r="DL32" s="491">
        <v>1</v>
      </c>
      <c r="DM32" s="491">
        <v>1</v>
      </c>
      <c r="DN32" s="491">
        <v>1</v>
      </c>
      <c r="DO32" s="491">
        <v>1</v>
      </c>
      <c r="DP32" s="491">
        <v>1</v>
      </c>
      <c r="DQ32" s="491">
        <v>1</v>
      </c>
      <c r="DR32" s="491">
        <v>1</v>
      </c>
      <c r="DS32" s="491">
        <v>1</v>
      </c>
      <c r="DT32" s="491">
        <v>1</v>
      </c>
      <c r="DU32" s="491">
        <v>1</v>
      </c>
      <c r="DV32" s="491">
        <v>1</v>
      </c>
      <c r="DW32" s="491">
        <v>1</v>
      </c>
      <c r="DX32" s="491">
        <v>1</v>
      </c>
      <c r="DY32" s="491">
        <v>1</v>
      </c>
      <c r="DZ32" s="491">
        <v>1</v>
      </c>
      <c r="EA32" s="491">
        <v>1</v>
      </c>
      <c r="EB32" s="491">
        <v>1</v>
      </c>
      <c r="EC32" s="491">
        <v>1</v>
      </c>
      <c r="ED32" s="491">
        <v>1</v>
      </c>
      <c r="EE32" s="491">
        <v>1</v>
      </c>
      <c r="EF32" s="491">
        <v>1</v>
      </c>
      <c r="EG32" s="491">
        <v>1</v>
      </c>
      <c r="EH32" s="491">
        <v>1</v>
      </c>
      <c r="EI32" s="491">
        <v>1</v>
      </c>
      <c r="EJ32" s="491">
        <v>1</v>
      </c>
      <c r="EK32" s="491">
        <v>1</v>
      </c>
      <c r="EL32" s="491">
        <v>1</v>
      </c>
      <c r="EM32" s="491">
        <v>1</v>
      </c>
      <c r="EN32" s="491">
        <v>1</v>
      </c>
      <c r="EO32" s="491">
        <v>1</v>
      </c>
      <c r="EP32" s="491">
        <v>1</v>
      </c>
      <c r="EQ32" s="491">
        <v>1</v>
      </c>
      <c r="ER32" s="491">
        <v>1</v>
      </c>
      <c r="ES32" s="491">
        <v>1</v>
      </c>
      <c r="ET32" s="491">
        <v>1</v>
      </c>
      <c r="EU32" s="491">
        <v>1</v>
      </c>
      <c r="EV32" s="491">
        <v>1</v>
      </c>
      <c r="EW32" s="491">
        <v>1</v>
      </c>
      <c r="EX32" s="491">
        <v>1</v>
      </c>
      <c r="EY32" s="491">
        <v>1</v>
      </c>
      <c r="EZ32" s="491">
        <v>1</v>
      </c>
      <c r="FA32" s="491">
        <v>1</v>
      </c>
      <c r="FB32" s="491">
        <v>1</v>
      </c>
      <c r="FC32" s="491">
        <v>1</v>
      </c>
      <c r="FD32" s="491">
        <v>1</v>
      </c>
      <c r="FE32" s="491">
        <v>1</v>
      </c>
      <c r="FF32" s="491">
        <v>1</v>
      </c>
      <c r="FG32" s="491">
        <v>1</v>
      </c>
      <c r="FH32" s="491">
        <v>1</v>
      </c>
      <c r="FI32" s="491">
        <v>1</v>
      </c>
      <c r="FJ32" s="491">
        <v>1</v>
      </c>
      <c r="FK32" s="491">
        <v>1</v>
      </c>
      <c r="FL32" s="491">
        <v>1</v>
      </c>
      <c r="FM32" s="491">
        <v>1</v>
      </c>
      <c r="FN32" s="491">
        <v>1</v>
      </c>
      <c r="FO32" s="491">
        <v>1</v>
      </c>
      <c r="FP32" s="491">
        <v>1</v>
      </c>
      <c r="FQ32" s="491">
        <v>1</v>
      </c>
      <c r="FR32" s="491">
        <v>1</v>
      </c>
      <c r="FS32" s="491">
        <v>1</v>
      </c>
      <c r="FT32" s="491">
        <v>1</v>
      </c>
      <c r="FU32" s="491">
        <v>1</v>
      </c>
      <c r="FV32" s="491">
        <v>1</v>
      </c>
      <c r="FW32" s="491">
        <v>1</v>
      </c>
      <c r="FX32" s="491">
        <v>1</v>
      </c>
      <c r="FY32" s="491">
        <v>1</v>
      </c>
      <c r="FZ32" s="491">
        <v>1</v>
      </c>
      <c r="GA32" s="491">
        <v>1</v>
      </c>
      <c r="GB32" s="491">
        <v>1</v>
      </c>
      <c r="GC32" s="491">
        <v>1</v>
      </c>
      <c r="GD32" s="491">
        <v>1</v>
      </c>
      <c r="GE32" s="491"/>
      <c r="GF32" s="491"/>
      <c r="GG32" s="491"/>
      <c r="GH32" s="491"/>
      <c r="GI32" s="491"/>
      <c r="GJ32" s="491"/>
      <c r="GK32" s="491"/>
      <c r="GL32" s="491"/>
      <c r="GM32" s="491"/>
      <c r="GN32" s="491"/>
      <c r="GO32" s="491"/>
      <c r="GP32" s="491"/>
      <c r="GQ32" s="491"/>
      <c r="GR32" s="491"/>
      <c r="GS32" s="491"/>
      <c r="GT32" s="491"/>
      <c r="GU32" s="491"/>
      <c r="GV32" s="491"/>
      <c r="GW32" s="491"/>
      <c r="GX32" s="491"/>
      <c r="GY32" s="491"/>
      <c r="GZ32" s="491"/>
      <c r="HA32" s="491"/>
      <c r="HB32" s="491"/>
      <c r="HC32" s="491"/>
      <c r="HD32" s="491"/>
      <c r="HE32" s="491"/>
      <c r="HF32" s="491"/>
      <c r="HG32" s="491"/>
      <c r="HH32" s="491"/>
      <c r="HI32" s="491"/>
      <c r="HJ32" s="491"/>
      <c r="HK32" s="491"/>
      <c r="HL32" s="491"/>
      <c r="HM32" s="491"/>
      <c r="HN32" s="491"/>
      <c r="HO32" s="491"/>
      <c r="HP32" s="491"/>
      <c r="HQ32" s="491"/>
      <c r="HR32" s="491"/>
      <c r="HS32" s="491"/>
      <c r="HT32" s="491"/>
      <c r="HU32" s="491"/>
      <c r="HV32" s="491"/>
      <c r="HW32" s="491"/>
      <c r="HX32" s="491"/>
      <c r="HY32" s="491"/>
      <c r="HZ32" s="491"/>
      <c r="IA32" s="491"/>
      <c r="IB32" s="491"/>
      <c r="IC32" s="491"/>
      <c r="ID32" s="496" t="s">
        <v>398</v>
      </c>
      <c r="IE32" s="520" t="s">
        <v>422</v>
      </c>
      <c r="IF32" s="521" t="s">
        <v>443</v>
      </c>
      <c r="IG32" s="491">
        <v>7</v>
      </c>
      <c r="IH32" s="491"/>
    </row>
    <row r="33" spans="1:242" s="499" customFormat="1">
      <c r="A33" s="487">
        <v>32</v>
      </c>
      <c r="B33" s="487" t="s">
        <v>813</v>
      </c>
      <c r="C33" s="487" t="s">
        <v>814</v>
      </c>
      <c r="D33" s="488" t="s">
        <v>815</v>
      </c>
      <c r="E33" s="522">
        <v>45981</v>
      </c>
      <c r="F33" s="487" t="s">
        <v>759</v>
      </c>
      <c r="G33" s="487" t="s">
        <v>803</v>
      </c>
      <c r="H33" s="490" t="s">
        <v>541</v>
      </c>
      <c r="I33" s="491" t="s">
        <v>274</v>
      </c>
      <c r="J33" s="513" t="s">
        <v>688</v>
      </c>
      <c r="K33" s="491" t="s">
        <v>398</v>
      </c>
      <c r="L33" s="491" t="s">
        <v>771</v>
      </c>
      <c r="M33" s="493">
        <v>1</v>
      </c>
      <c r="N33" s="491">
        <v>0</v>
      </c>
      <c r="O33" s="494" t="s">
        <v>696</v>
      </c>
      <c r="P33" s="514" t="b">
        <v>1</v>
      </c>
      <c r="Q33" s="493">
        <f t="shared" si="1"/>
        <v>156</v>
      </c>
      <c r="R33" s="491">
        <v>1</v>
      </c>
      <c r="S33" s="491">
        <v>1</v>
      </c>
      <c r="T33" s="491">
        <v>1</v>
      </c>
      <c r="U33" s="491">
        <v>1</v>
      </c>
      <c r="V33" s="491">
        <v>1</v>
      </c>
      <c r="W33" s="491">
        <v>1</v>
      </c>
      <c r="X33" s="491">
        <v>1</v>
      </c>
      <c r="Y33" s="491">
        <v>1</v>
      </c>
      <c r="Z33" s="491">
        <v>1</v>
      </c>
      <c r="AA33" s="491">
        <v>1</v>
      </c>
      <c r="AB33" s="491">
        <v>1</v>
      </c>
      <c r="AC33" s="491">
        <v>1</v>
      </c>
      <c r="AD33" s="491">
        <v>1</v>
      </c>
      <c r="AE33" s="491">
        <v>1</v>
      </c>
      <c r="AF33" s="491">
        <v>1</v>
      </c>
      <c r="AG33" s="491">
        <v>1</v>
      </c>
      <c r="AH33" s="491">
        <v>1</v>
      </c>
      <c r="AI33" s="491">
        <v>1</v>
      </c>
      <c r="AJ33" s="491">
        <v>1</v>
      </c>
      <c r="AK33" s="491">
        <v>1</v>
      </c>
      <c r="AL33" s="491">
        <v>1</v>
      </c>
      <c r="AM33" s="491">
        <v>1</v>
      </c>
      <c r="AN33" s="491">
        <v>1</v>
      </c>
      <c r="AO33" s="491">
        <v>1</v>
      </c>
      <c r="AP33" s="491">
        <v>1</v>
      </c>
      <c r="AQ33" s="491">
        <v>1</v>
      </c>
      <c r="AR33" s="491">
        <v>1</v>
      </c>
      <c r="AS33" s="491">
        <v>1</v>
      </c>
      <c r="AT33" s="491">
        <v>1</v>
      </c>
      <c r="AU33" s="491">
        <v>1</v>
      </c>
      <c r="AV33" s="491">
        <v>1</v>
      </c>
      <c r="AW33" s="491">
        <v>1</v>
      </c>
      <c r="AX33" s="491">
        <v>1</v>
      </c>
      <c r="AY33" s="491">
        <v>1</v>
      </c>
      <c r="AZ33" s="491">
        <v>1</v>
      </c>
      <c r="BA33" s="491">
        <v>1</v>
      </c>
      <c r="BB33" s="491">
        <v>1</v>
      </c>
      <c r="BC33" s="491">
        <v>1</v>
      </c>
      <c r="BD33" s="491">
        <v>1</v>
      </c>
      <c r="BE33" s="491">
        <v>1</v>
      </c>
      <c r="BF33" s="491">
        <v>1</v>
      </c>
      <c r="BG33" s="491">
        <v>1</v>
      </c>
      <c r="BH33" s="491">
        <v>1</v>
      </c>
      <c r="BI33" s="491">
        <v>1</v>
      </c>
      <c r="BJ33" s="491">
        <v>1</v>
      </c>
      <c r="BK33" s="491">
        <v>1</v>
      </c>
      <c r="BL33" s="491">
        <v>1</v>
      </c>
      <c r="BM33" s="491">
        <v>1</v>
      </c>
      <c r="BN33" s="491">
        <v>1</v>
      </c>
      <c r="BO33" s="491">
        <v>1</v>
      </c>
      <c r="BP33" s="491">
        <v>1</v>
      </c>
      <c r="BQ33" s="491">
        <v>1</v>
      </c>
      <c r="BR33" s="491">
        <v>1</v>
      </c>
      <c r="BS33" s="491">
        <v>1</v>
      </c>
      <c r="BT33" s="491">
        <v>1</v>
      </c>
      <c r="BU33" s="491">
        <v>1</v>
      </c>
      <c r="BV33" s="491">
        <v>1</v>
      </c>
      <c r="BW33" s="491">
        <v>1</v>
      </c>
      <c r="BX33" s="491">
        <v>1</v>
      </c>
      <c r="BY33" s="491">
        <v>1</v>
      </c>
      <c r="BZ33" s="491">
        <v>1</v>
      </c>
      <c r="CA33" s="491">
        <v>1</v>
      </c>
      <c r="CB33" s="491">
        <v>1</v>
      </c>
      <c r="CC33" s="491">
        <v>1</v>
      </c>
      <c r="CD33" s="491">
        <v>1</v>
      </c>
      <c r="CE33" s="491">
        <v>1</v>
      </c>
      <c r="CF33" s="491">
        <v>1</v>
      </c>
      <c r="CG33" s="491">
        <v>1</v>
      </c>
      <c r="CH33" s="491">
        <v>1</v>
      </c>
      <c r="CI33" s="491">
        <v>1</v>
      </c>
      <c r="CJ33" s="491">
        <v>1</v>
      </c>
      <c r="CK33" s="491">
        <v>1</v>
      </c>
      <c r="CL33" s="491">
        <v>1</v>
      </c>
      <c r="CM33" s="491">
        <v>1</v>
      </c>
      <c r="CN33" s="491">
        <v>1</v>
      </c>
      <c r="CO33" s="491">
        <v>1</v>
      </c>
      <c r="CP33" s="491">
        <v>1</v>
      </c>
      <c r="CQ33" s="491">
        <v>1</v>
      </c>
      <c r="CR33" s="491">
        <v>1</v>
      </c>
      <c r="CS33" s="491">
        <v>1</v>
      </c>
      <c r="CT33" s="491">
        <v>1</v>
      </c>
      <c r="CU33" s="491">
        <v>1</v>
      </c>
      <c r="CV33" s="491">
        <v>1</v>
      </c>
      <c r="CW33" s="491">
        <v>1</v>
      </c>
      <c r="CX33" s="491">
        <v>1</v>
      </c>
      <c r="CY33" s="491">
        <v>1</v>
      </c>
      <c r="CZ33" s="491">
        <v>1</v>
      </c>
      <c r="DA33" s="491">
        <v>1</v>
      </c>
      <c r="DB33" s="491">
        <v>1</v>
      </c>
      <c r="DC33" s="491">
        <v>1</v>
      </c>
      <c r="DD33" s="491">
        <v>1</v>
      </c>
      <c r="DE33" s="491">
        <v>1</v>
      </c>
      <c r="DF33" s="491">
        <v>1</v>
      </c>
      <c r="DG33" s="491">
        <v>1</v>
      </c>
      <c r="DH33" s="491">
        <v>1</v>
      </c>
      <c r="DI33" s="491">
        <v>1</v>
      </c>
      <c r="DJ33" s="491">
        <v>1</v>
      </c>
      <c r="DK33" s="491">
        <v>1</v>
      </c>
      <c r="DL33" s="491">
        <v>1</v>
      </c>
      <c r="DM33" s="491">
        <v>1</v>
      </c>
      <c r="DN33" s="491">
        <v>1</v>
      </c>
      <c r="DO33" s="491">
        <v>1</v>
      </c>
      <c r="DP33" s="491">
        <v>1</v>
      </c>
      <c r="DQ33" s="491">
        <v>1</v>
      </c>
      <c r="DR33" s="491">
        <v>1</v>
      </c>
      <c r="DS33" s="491">
        <v>1</v>
      </c>
      <c r="DT33" s="491">
        <v>1</v>
      </c>
      <c r="DU33" s="491">
        <v>1</v>
      </c>
      <c r="DV33" s="491">
        <v>1</v>
      </c>
      <c r="DW33" s="491">
        <v>1</v>
      </c>
      <c r="DX33" s="491">
        <v>1</v>
      </c>
      <c r="DY33" s="491">
        <v>1</v>
      </c>
      <c r="DZ33" s="491">
        <v>1</v>
      </c>
      <c r="EA33" s="491">
        <v>1</v>
      </c>
      <c r="EB33" s="491">
        <v>1</v>
      </c>
      <c r="EC33" s="491">
        <v>1</v>
      </c>
      <c r="ED33" s="491">
        <v>1</v>
      </c>
      <c r="EE33" s="491">
        <v>1</v>
      </c>
      <c r="EF33" s="491">
        <v>1</v>
      </c>
      <c r="EG33" s="491">
        <v>1</v>
      </c>
      <c r="EH33" s="491">
        <v>1</v>
      </c>
      <c r="EI33" s="491">
        <v>1</v>
      </c>
      <c r="EJ33" s="491">
        <v>1</v>
      </c>
      <c r="EK33" s="491">
        <v>1</v>
      </c>
      <c r="EL33" s="491">
        <v>1</v>
      </c>
      <c r="EM33" s="491">
        <v>1</v>
      </c>
      <c r="EN33" s="491">
        <v>1</v>
      </c>
      <c r="EO33" s="491">
        <v>1</v>
      </c>
      <c r="EP33" s="491">
        <v>1</v>
      </c>
      <c r="EQ33" s="491">
        <v>1</v>
      </c>
      <c r="ER33" s="491">
        <v>1</v>
      </c>
      <c r="ES33" s="491">
        <v>1</v>
      </c>
      <c r="ET33" s="491">
        <v>1</v>
      </c>
      <c r="EU33" s="491">
        <v>1</v>
      </c>
      <c r="EV33" s="491">
        <v>1</v>
      </c>
      <c r="EW33" s="491">
        <v>1</v>
      </c>
      <c r="EX33" s="491">
        <v>1</v>
      </c>
      <c r="EY33" s="491">
        <v>1</v>
      </c>
      <c r="EZ33" s="491">
        <v>1</v>
      </c>
      <c r="FA33" s="491">
        <v>1</v>
      </c>
      <c r="FB33" s="491">
        <v>1</v>
      </c>
      <c r="FC33" s="491">
        <v>1</v>
      </c>
      <c r="FD33" s="491">
        <v>1</v>
      </c>
      <c r="FE33" s="491">
        <v>1</v>
      </c>
      <c r="FF33" s="491">
        <v>1</v>
      </c>
      <c r="FG33" s="491">
        <v>1</v>
      </c>
      <c r="FH33" s="491">
        <v>1</v>
      </c>
      <c r="FI33" s="491">
        <v>1</v>
      </c>
      <c r="FJ33" s="491">
        <v>1</v>
      </c>
      <c r="FK33" s="491">
        <v>1</v>
      </c>
      <c r="FL33" s="491">
        <v>1</v>
      </c>
      <c r="FM33" s="491">
        <v>1</v>
      </c>
      <c r="FN33" s="491">
        <v>1</v>
      </c>
      <c r="FO33" s="491">
        <v>1</v>
      </c>
      <c r="FP33" s="491">
        <v>1</v>
      </c>
      <c r="FQ33" s="491">
        <v>1</v>
      </c>
      <c r="FR33" s="491"/>
      <c r="FS33" s="491"/>
      <c r="FT33" s="491"/>
      <c r="FU33" s="491"/>
      <c r="FV33" s="491"/>
      <c r="FW33" s="491"/>
      <c r="FX33" s="491"/>
      <c r="FY33" s="491"/>
      <c r="FZ33" s="491"/>
      <c r="GA33" s="491"/>
      <c r="GB33" s="491"/>
      <c r="GC33" s="491"/>
      <c r="GD33" s="491"/>
      <c r="GE33" s="491"/>
      <c r="GF33" s="491"/>
      <c r="GG33" s="491"/>
      <c r="GH33" s="491"/>
      <c r="GI33" s="491"/>
      <c r="GJ33" s="491"/>
      <c r="GK33" s="491"/>
      <c r="GL33" s="491"/>
      <c r="GM33" s="491"/>
      <c r="GN33" s="491"/>
      <c r="GO33" s="491"/>
      <c r="GP33" s="491"/>
      <c r="GQ33" s="491"/>
      <c r="GR33" s="491"/>
      <c r="GS33" s="491"/>
      <c r="GT33" s="491"/>
      <c r="GU33" s="491"/>
      <c r="GV33" s="491"/>
      <c r="GW33" s="491"/>
      <c r="GX33" s="491"/>
      <c r="GY33" s="491"/>
      <c r="GZ33" s="491"/>
      <c r="HA33" s="491"/>
      <c r="HB33" s="491"/>
      <c r="HC33" s="491"/>
      <c r="HD33" s="491"/>
      <c r="HE33" s="491"/>
      <c r="HF33" s="491"/>
      <c r="HG33" s="491"/>
      <c r="HH33" s="491"/>
      <c r="HI33" s="491"/>
      <c r="HJ33" s="491"/>
      <c r="HK33" s="491"/>
      <c r="HL33" s="491"/>
      <c r="HM33" s="491"/>
      <c r="HN33" s="491"/>
      <c r="HO33" s="491"/>
      <c r="HP33" s="491"/>
      <c r="HQ33" s="491"/>
      <c r="HR33" s="491"/>
      <c r="HS33" s="491"/>
      <c r="HT33" s="491"/>
      <c r="HU33" s="491"/>
      <c r="HV33" s="491"/>
      <c r="HW33" s="491"/>
      <c r="HX33" s="491"/>
      <c r="HY33" s="491"/>
      <c r="HZ33" s="491"/>
      <c r="IA33" s="491"/>
      <c r="IB33" s="491"/>
      <c r="IC33" s="491"/>
      <c r="ID33" s="496"/>
      <c r="IE33" s="520"/>
      <c r="IF33" s="521"/>
      <c r="IG33" s="491"/>
      <c r="IH33" s="491"/>
    </row>
    <row r="34" spans="1:242" s="499" customFormat="1" ht="15" customHeight="1">
      <c r="A34" s="487">
        <v>33</v>
      </c>
      <c r="B34" s="487" t="s">
        <v>816</v>
      </c>
      <c r="C34" s="487" t="s">
        <v>817</v>
      </c>
      <c r="D34" s="488" t="s">
        <v>818</v>
      </c>
      <c r="E34" s="522">
        <v>45986</v>
      </c>
      <c r="F34" s="487" t="s">
        <v>819</v>
      </c>
      <c r="G34" s="487" t="s">
        <v>820</v>
      </c>
      <c r="H34" s="490" t="s">
        <v>544</v>
      </c>
      <c r="I34" s="491" t="s">
        <v>274</v>
      </c>
      <c r="J34" s="513" t="s">
        <v>689</v>
      </c>
      <c r="K34" s="491" t="s">
        <v>398</v>
      </c>
      <c r="L34" s="491" t="s">
        <v>821</v>
      </c>
      <c r="M34" s="491">
        <v>0</v>
      </c>
      <c r="N34" s="491">
        <v>1</v>
      </c>
      <c r="O34" s="494" t="s">
        <v>696</v>
      </c>
      <c r="P34" s="514" t="b">
        <v>1</v>
      </c>
      <c r="Q34" s="524">
        <f t="shared" si="1"/>
        <v>151</v>
      </c>
      <c r="R34" s="491">
        <v>1</v>
      </c>
      <c r="S34" s="491">
        <v>1</v>
      </c>
      <c r="T34" s="491">
        <v>1</v>
      </c>
      <c r="U34" s="491">
        <v>1</v>
      </c>
      <c r="V34" s="491">
        <v>1</v>
      </c>
      <c r="W34" s="491">
        <v>1</v>
      </c>
      <c r="X34" s="491">
        <v>1</v>
      </c>
      <c r="Y34" s="491">
        <v>1</v>
      </c>
      <c r="Z34" s="491">
        <v>1</v>
      </c>
      <c r="AA34" s="491">
        <v>1</v>
      </c>
      <c r="AB34" s="491">
        <v>1</v>
      </c>
      <c r="AC34" s="491">
        <v>1</v>
      </c>
      <c r="AD34" s="491">
        <v>1</v>
      </c>
      <c r="AE34" s="491">
        <v>1</v>
      </c>
      <c r="AF34" s="491">
        <v>1</v>
      </c>
      <c r="AG34" s="491">
        <v>1</v>
      </c>
      <c r="AH34" s="491">
        <v>1</v>
      </c>
      <c r="AI34" s="491">
        <v>1</v>
      </c>
      <c r="AJ34" s="491">
        <v>1</v>
      </c>
      <c r="AK34" s="491">
        <v>1</v>
      </c>
      <c r="AL34" s="491">
        <v>1</v>
      </c>
      <c r="AM34" s="491">
        <v>1</v>
      </c>
      <c r="AN34" s="491">
        <v>1</v>
      </c>
      <c r="AO34" s="491">
        <v>1</v>
      </c>
      <c r="AP34" s="491">
        <v>1</v>
      </c>
      <c r="AQ34" s="491">
        <v>1</v>
      </c>
      <c r="AR34" s="491">
        <v>1</v>
      </c>
      <c r="AS34" s="491">
        <v>1</v>
      </c>
      <c r="AT34" s="491">
        <v>1</v>
      </c>
      <c r="AU34" s="491">
        <v>1</v>
      </c>
      <c r="AV34" s="491">
        <v>1</v>
      </c>
      <c r="AW34" s="491">
        <v>1</v>
      </c>
      <c r="AX34" s="491">
        <v>1</v>
      </c>
      <c r="AY34" s="491">
        <v>1</v>
      </c>
      <c r="AZ34" s="491">
        <v>1</v>
      </c>
      <c r="BA34" s="491">
        <v>1</v>
      </c>
      <c r="BB34" s="491">
        <v>1</v>
      </c>
      <c r="BC34" s="491">
        <v>1</v>
      </c>
      <c r="BD34" s="491">
        <v>1</v>
      </c>
      <c r="BE34" s="491">
        <v>1</v>
      </c>
      <c r="BF34" s="491">
        <v>1</v>
      </c>
      <c r="BG34" s="491">
        <v>1</v>
      </c>
      <c r="BH34" s="491">
        <v>1</v>
      </c>
      <c r="BI34" s="491">
        <v>1</v>
      </c>
      <c r="BJ34" s="491">
        <v>1</v>
      </c>
      <c r="BK34" s="491">
        <v>1</v>
      </c>
      <c r="BL34" s="491">
        <v>1</v>
      </c>
      <c r="BM34" s="491">
        <v>1</v>
      </c>
      <c r="BN34" s="491">
        <v>1</v>
      </c>
      <c r="BO34" s="491">
        <v>1</v>
      </c>
      <c r="BP34" s="491">
        <v>1</v>
      </c>
      <c r="BQ34" s="491">
        <v>1</v>
      </c>
      <c r="BR34" s="491">
        <v>1</v>
      </c>
      <c r="BS34" s="491">
        <v>1</v>
      </c>
      <c r="BT34" s="491">
        <v>1</v>
      </c>
      <c r="BU34" s="491">
        <v>1</v>
      </c>
      <c r="BV34" s="491">
        <v>1</v>
      </c>
      <c r="BW34" s="491">
        <v>1</v>
      </c>
      <c r="BX34" s="491">
        <v>1</v>
      </c>
      <c r="BY34" s="491">
        <v>1</v>
      </c>
      <c r="BZ34" s="491">
        <v>1</v>
      </c>
      <c r="CA34" s="491">
        <v>1</v>
      </c>
      <c r="CB34" s="491">
        <v>1</v>
      </c>
      <c r="CC34" s="491">
        <v>1</v>
      </c>
      <c r="CD34" s="491">
        <v>1</v>
      </c>
      <c r="CE34" s="491">
        <v>1</v>
      </c>
      <c r="CF34" s="491">
        <v>1</v>
      </c>
      <c r="CG34" s="491">
        <v>1</v>
      </c>
      <c r="CH34" s="491">
        <v>1</v>
      </c>
      <c r="CI34" s="491">
        <v>1</v>
      </c>
      <c r="CJ34" s="491">
        <v>1</v>
      </c>
      <c r="CK34" s="491">
        <v>1</v>
      </c>
      <c r="CL34" s="491">
        <v>1</v>
      </c>
      <c r="CM34" s="491">
        <v>1</v>
      </c>
      <c r="CN34" s="491">
        <v>1</v>
      </c>
      <c r="CO34" s="491">
        <v>1</v>
      </c>
      <c r="CP34" s="491">
        <v>1</v>
      </c>
      <c r="CQ34" s="491">
        <v>1</v>
      </c>
      <c r="CR34" s="491">
        <v>1</v>
      </c>
      <c r="CS34" s="491">
        <v>1</v>
      </c>
      <c r="CT34" s="491">
        <v>1</v>
      </c>
      <c r="CU34" s="491">
        <v>1</v>
      </c>
      <c r="CV34" s="491">
        <v>1</v>
      </c>
      <c r="CW34" s="491">
        <v>1</v>
      </c>
      <c r="CX34" s="491">
        <v>1</v>
      </c>
      <c r="CY34" s="491">
        <v>1</v>
      </c>
      <c r="CZ34" s="491">
        <v>1</v>
      </c>
      <c r="DA34" s="491">
        <v>1</v>
      </c>
      <c r="DB34" s="491">
        <v>1</v>
      </c>
      <c r="DC34" s="491">
        <v>1</v>
      </c>
      <c r="DD34" s="491">
        <v>1</v>
      </c>
      <c r="DE34" s="491">
        <v>1</v>
      </c>
      <c r="DF34" s="491">
        <v>1</v>
      </c>
      <c r="DG34" s="491">
        <v>1</v>
      </c>
      <c r="DH34" s="491">
        <v>1</v>
      </c>
      <c r="DI34" s="491">
        <v>1</v>
      </c>
      <c r="DJ34" s="491">
        <v>1</v>
      </c>
      <c r="DK34" s="491">
        <v>1</v>
      </c>
      <c r="DL34" s="491">
        <v>1</v>
      </c>
      <c r="DM34" s="491">
        <v>1</v>
      </c>
      <c r="DN34" s="491">
        <v>1</v>
      </c>
      <c r="DO34" s="491">
        <v>1</v>
      </c>
      <c r="DP34" s="491">
        <v>1</v>
      </c>
      <c r="DQ34" s="491">
        <v>1</v>
      </c>
      <c r="DR34" s="491">
        <v>1</v>
      </c>
      <c r="DS34" s="491">
        <v>1</v>
      </c>
      <c r="DT34" s="491">
        <v>1</v>
      </c>
      <c r="DU34" s="491">
        <v>1</v>
      </c>
      <c r="DV34" s="491">
        <v>1</v>
      </c>
      <c r="DW34" s="491">
        <v>1</v>
      </c>
      <c r="DX34" s="491">
        <v>1</v>
      </c>
      <c r="DY34" s="491">
        <v>1</v>
      </c>
      <c r="DZ34" s="491">
        <v>1</v>
      </c>
      <c r="EA34" s="491">
        <v>1</v>
      </c>
      <c r="EB34" s="491">
        <v>1</v>
      </c>
      <c r="EC34" s="491">
        <v>1</v>
      </c>
      <c r="ED34" s="491">
        <v>1</v>
      </c>
      <c r="EE34" s="491">
        <v>1</v>
      </c>
      <c r="EF34" s="491">
        <v>1</v>
      </c>
      <c r="EG34" s="491">
        <v>1</v>
      </c>
      <c r="EH34" s="491">
        <v>1</v>
      </c>
      <c r="EI34" s="491">
        <v>1</v>
      </c>
      <c r="EJ34" s="491">
        <v>1</v>
      </c>
      <c r="EK34" s="491">
        <v>1</v>
      </c>
      <c r="EL34" s="491">
        <v>1</v>
      </c>
      <c r="EM34" s="491">
        <v>1</v>
      </c>
      <c r="EN34" s="491">
        <v>1</v>
      </c>
      <c r="EO34" s="491">
        <v>1</v>
      </c>
      <c r="EP34" s="491">
        <v>1</v>
      </c>
      <c r="EQ34" s="491">
        <v>1</v>
      </c>
      <c r="ER34" s="491">
        <v>1</v>
      </c>
      <c r="ES34" s="491">
        <v>1</v>
      </c>
      <c r="ET34" s="491">
        <v>1</v>
      </c>
      <c r="EU34" s="491">
        <v>1</v>
      </c>
      <c r="EV34" s="491">
        <v>1</v>
      </c>
      <c r="EW34" s="491">
        <v>1</v>
      </c>
      <c r="EX34" s="491">
        <v>1</v>
      </c>
      <c r="EY34" s="491">
        <v>1</v>
      </c>
      <c r="EZ34" s="491">
        <v>1</v>
      </c>
      <c r="FA34" s="491">
        <v>1</v>
      </c>
      <c r="FB34" s="491">
        <v>1</v>
      </c>
      <c r="FC34" s="491">
        <v>1</v>
      </c>
      <c r="FD34" s="491">
        <v>1</v>
      </c>
      <c r="FE34" s="491">
        <v>1</v>
      </c>
      <c r="FF34" s="491">
        <v>1</v>
      </c>
      <c r="FG34" s="491">
        <v>1</v>
      </c>
      <c r="FH34" s="491">
        <v>1</v>
      </c>
      <c r="FI34" s="491">
        <v>1</v>
      </c>
      <c r="FJ34" s="491">
        <v>1</v>
      </c>
      <c r="FK34" s="491">
        <v>1</v>
      </c>
      <c r="FL34" s="491">
        <v>1</v>
      </c>
      <c r="FM34" s="491"/>
      <c r="FN34" s="491"/>
      <c r="FO34" s="491"/>
      <c r="FP34" s="491"/>
      <c r="FQ34" s="491"/>
      <c r="FR34" s="491"/>
      <c r="FS34" s="491"/>
      <c r="FT34" s="491"/>
      <c r="FU34" s="491"/>
      <c r="FV34" s="491"/>
      <c r="FW34" s="491"/>
      <c r="FX34" s="491"/>
      <c r="FY34" s="491"/>
      <c r="FZ34" s="491"/>
      <c r="GA34" s="491"/>
      <c r="GB34" s="491"/>
      <c r="GC34" s="491"/>
      <c r="GD34" s="491"/>
      <c r="GE34" s="491"/>
      <c r="GF34" s="491"/>
      <c r="GG34" s="491"/>
      <c r="GH34" s="491"/>
      <c r="GI34" s="491"/>
      <c r="GJ34" s="491"/>
      <c r="GK34" s="491"/>
      <c r="GL34" s="491"/>
      <c r="GM34" s="491"/>
      <c r="GN34" s="491"/>
      <c r="GO34" s="491"/>
      <c r="GP34" s="491"/>
      <c r="GQ34" s="491"/>
      <c r="GR34" s="491"/>
      <c r="GS34" s="491"/>
      <c r="GT34" s="491"/>
      <c r="GU34" s="491"/>
      <c r="GV34" s="491"/>
      <c r="GW34" s="491"/>
      <c r="GX34" s="491"/>
      <c r="GY34" s="491"/>
      <c r="GZ34" s="491"/>
      <c r="HA34" s="491"/>
      <c r="HB34" s="491"/>
      <c r="HC34" s="491"/>
      <c r="HD34" s="491"/>
      <c r="HE34" s="491"/>
      <c r="HF34" s="491"/>
      <c r="HG34" s="491"/>
      <c r="HH34" s="491"/>
      <c r="HI34" s="491"/>
      <c r="HJ34" s="491"/>
      <c r="HK34" s="491"/>
      <c r="HL34" s="491"/>
      <c r="HM34" s="491"/>
      <c r="HN34" s="491"/>
      <c r="HO34" s="491"/>
      <c r="HP34" s="491"/>
      <c r="HQ34" s="491"/>
      <c r="HR34" s="491"/>
      <c r="HS34" s="491"/>
      <c r="HT34" s="491"/>
      <c r="HU34" s="491"/>
      <c r="HV34" s="491"/>
      <c r="HW34" s="491"/>
      <c r="HX34" s="491"/>
      <c r="HY34" s="491"/>
      <c r="HZ34" s="491"/>
      <c r="IA34" s="491"/>
      <c r="IB34" s="491"/>
      <c r="IC34" s="491"/>
    </row>
    <row r="35" spans="1:242" s="499" customFormat="1" ht="15" customHeight="1">
      <c r="A35" s="487">
        <v>34</v>
      </c>
      <c r="B35" s="487" t="s">
        <v>822</v>
      </c>
      <c r="C35" s="487" t="s">
        <v>817</v>
      </c>
      <c r="D35" s="488" t="s">
        <v>818</v>
      </c>
      <c r="E35" s="489">
        <v>45986</v>
      </c>
      <c r="F35" s="487" t="s">
        <v>819</v>
      </c>
      <c r="G35" s="487" t="s">
        <v>820</v>
      </c>
      <c r="H35" s="490" t="s">
        <v>544</v>
      </c>
      <c r="I35" s="491" t="s">
        <v>274</v>
      </c>
      <c r="J35" s="513" t="s">
        <v>690</v>
      </c>
      <c r="K35" s="491" t="s">
        <v>398</v>
      </c>
      <c r="L35" s="491" t="s">
        <v>771</v>
      </c>
      <c r="M35" s="491">
        <v>1</v>
      </c>
      <c r="N35" s="491">
        <v>0</v>
      </c>
      <c r="O35" s="494" t="s">
        <v>696</v>
      </c>
      <c r="P35" s="514" t="b">
        <v>1</v>
      </c>
      <c r="Q35" s="493">
        <f t="shared" si="1"/>
        <v>151</v>
      </c>
      <c r="R35" s="491">
        <v>1</v>
      </c>
      <c r="S35" s="491">
        <v>1</v>
      </c>
      <c r="T35" s="491">
        <v>1</v>
      </c>
      <c r="U35" s="491">
        <v>1</v>
      </c>
      <c r="V35" s="491">
        <v>1</v>
      </c>
      <c r="W35" s="491">
        <v>1</v>
      </c>
      <c r="X35" s="491">
        <v>1</v>
      </c>
      <c r="Y35" s="491">
        <v>1</v>
      </c>
      <c r="Z35" s="491">
        <v>1</v>
      </c>
      <c r="AA35" s="491">
        <v>1</v>
      </c>
      <c r="AB35" s="491">
        <v>1</v>
      </c>
      <c r="AC35" s="491">
        <v>1</v>
      </c>
      <c r="AD35" s="491">
        <v>1</v>
      </c>
      <c r="AE35" s="491">
        <v>1</v>
      </c>
      <c r="AF35" s="491">
        <v>1</v>
      </c>
      <c r="AG35" s="491">
        <v>1</v>
      </c>
      <c r="AH35" s="491">
        <v>1</v>
      </c>
      <c r="AI35" s="491">
        <v>1</v>
      </c>
      <c r="AJ35" s="491">
        <v>1</v>
      </c>
      <c r="AK35" s="491">
        <v>1</v>
      </c>
      <c r="AL35" s="491">
        <v>1</v>
      </c>
      <c r="AM35" s="491">
        <v>1</v>
      </c>
      <c r="AN35" s="491">
        <v>1</v>
      </c>
      <c r="AO35" s="491">
        <v>1</v>
      </c>
      <c r="AP35" s="491">
        <v>1</v>
      </c>
      <c r="AQ35" s="491">
        <v>1</v>
      </c>
      <c r="AR35" s="491">
        <v>1</v>
      </c>
      <c r="AS35" s="491">
        <v>1</v>
      </c>
      <c r="AT35" s="491">
        <v>1</v>
      </c>
      <c r="AU35" s="491">
        <v>1</v>
      </c>
      <c r="AV35" s="491">
        <v>1</v>
      </c>
      <c r="AW35" s="491">
        <v>1</v>
      </c>
      <c r="AX35" s="491">
        <v>1</v>
      </c>
      <c r="AY35" s="491">
        <v>1</v>
      </c>
      <c r="AZ35" s="491">
        <v>1</v>
      </c>
      <c r="BA35" s="491">
        <v>1</v>
      </c>
      <c r="BB35" s="491">
        <v>1</v>
      </c>
      <c r="BC35" s="491">
        <v>1</v>
      </c>
      <c r="BD35" s="491">
        <v>1</v>
      </c>
      <c r="BE35" s="491">
        <v>1</v>
      </c>
      <c r="BF35" s="491">
        <v>1</v>
      </c>
      <c r="BG35" s="491">
        <v>1</v>
      </c>
      <c r="BH35" s="491">
        <v>1</v>
      </c>
      <c r="BI35" s="491">
        <v>1</v>
      </c>
      <c r="BJ35" s="491">
        <v>1</v>
      </c>
      <c r="BK35" s="491">
        <v>1</v>
      </c>
      <c r="BL35" s="491">
        <v>1</v>
      </c>
      <c r="BM35" s="491">
        <v>1</v>
      </c>
      <c r="BN35" s="491">
        <v>1</v>
      </c>
      <c r="BO35" s="491">
        <v>1</v>
      </c>
      <c r="BP35" s="491">
        <v>1</v>
      </c>
      <c r="BQ35" s="491">
        <v>1</v>
      </c>
      <c r="BR35" s="491">
        <v>1</v>
      </c>
      <c r="BS35" s="491">
        <v>1</v>
      </c>
      <c r="BT35" s="491">
        <v>1</v>
      </c>
      <c r="BU35" s="491">
        <v>1</v>
      </c>
      <c r="BV35" s="491">
        <v>1</v>
      </c>
      <c r="BW35" s="491">
        <v>1</v>
      </c>
      <c r="BX35" s="491">
        <v>1</v>
      </c>
      <c r="BY35" s="491">
        <v>1</v>
      </c>
      <c r="BZ35" s="491">
        <v>1</v>
      </c>
      <c r="CA35" s="491">
        <v>1</v>
      </c>
      <c r="CB35" s="491">
        <v>1</v>
      </c>
      <c r="CC35" s="491">
        <v>1</v>
      </c>
      <c r="CD35" s="491">
        <v>1</v>
      </c>
      <c r="CE35" s="491">
        <v>1</v>
      </c>
      <c r="CF35" s="491">
        <v>1</v>
      </c>
      <c r="CG35" s="491">
        <v>1</v>
      </c>
      <c r="CH35" s="491">
        <v>1</v>
      </c>
      <c r="CI35" s="491">
        <v>1</v>
      </c>
      <c r="CJ35" s="491">
        <v>1</v>
      </c>
      <c r="CK35" s="491">
        <v>1</v>
      </c>
      <c r="CL35" s="491">
        <v>1</v>
      </c>
      <c r="CM35" s="491">
        <v>1</v>
      </c>
      <c r="CN35" s="491">
        <v>1</v>
      </c>
      <c r="CO35" s="491">
        <v>1</v>
      </c>
      <c r="CP35" s="491">
        <v>1</v>
      </c>
      <c r="CQ35" s="491">
        <v>1</v>
      </c>
      <c r="CR35" s="491">
        <v>1</v>
      </c>
      <c r="CS35" s="491">
        <v>1</v>
      </c>
      <c r="CT35" s="491">
        <v>1</v>
      </c>
      <c r="CU35" s="491">
        <v>1</v>
      </c>
      <c r="CV35" s="491">
        <v>1</v>
      </c>
      <c r="CW35" s="491">
        <v>1</v>
      </c>
      <c r="CX35" s="491">
        <v>1</v>
      </c>
      <c r="CY35" s="491">
        <v>1</v>
      </c>
      <c r="CZ35" s="491">
        <v>1</v>
      </c>
      <c r="DA35" s="491">
        <v>1</v>
      </c>
      <c r="DB35" s="491">
        <v>1</v>
      </c>
      <c r="DC35" s="491">
        <v>1</v>
      </c>
      <c r="DD35" s="491">
        <v>1</v>
      </c>
      <c r="DE35" s="491">
        <v>1</v>
      </c>
      <c r="DF35" s="491">
        <v>1</v>
      </c>
      <c r="DG35" s="491">
        <v>1</v>
      </c>
      <c r="DH35" s="491">
        <v>1</v>
      </c>
      <c r="DI35" s="491">
        <v>1</v>
      </c>
      <c r="DJ35" s="491">
        <v>1</v>
      </c>
      <c r="DK35" s="491">
        <v>1</v>
      </c>
      <c r="DL35" s="491">
        <v>1</v>
      </c>
      <c r="DM35" s="491">
        <v>1</v>
      </c>
      <c r="DN35" s="491">
        <v>1</v>
      </c>
      <c r="DO35" s="491">
        <v>1</v>
      </c>
      <c r="DP35" s="491">
        <v>1</v>
      </c>
      <c r="DQ35" s="491">
        <v>1</v>
      </c>
      <c r="DR35" s="491">
        <v>1</v>
      </c>
      <c r="DS35" s="491">
        <v>1</v>
      </c>
      <c r="DT35" s="491">
        <v>1</v>
      </c>
      <c r="DU35" s="491">
        <v>1</v>
      </c>
      <c r="DV35" s="491">
        <v>1</v>
      </c>
      <c r="DW35" s="491">
        <v>1</v>
      </c>
      <c r="DX35" s="491">
        <v>1</v>
      </c>
      <c r="DY35" s="491">
        <v>1</v>
      </c>
      <c r="DZ35" s="491">
        <v>1</v>
      </c>
      <c r="EA35" s="491">
        <v>1</v>
      </c>
      <c r="EB35" s="491">
        <v>1</v>
      </c>
      <c r="EC35" s="491">
        <v>1</v>
      </c>
      <c r="ED35" s="491">
        <v>1</v>
      </c>
      <c r="EE35" s="491">
        <v>1</v>
      </c>
      <c r="EF35" s="491">
        <v>1</v>
      </c>
      <c r="EG35" s="491">
        <v>1</v>
      </c>
      <c r="EH35" s="491">
        <v>1</v>
      </c>
      <c r="EI35" s="491">
        <v>1</v>
      </c>
      <c r="EJ35" s="491">
        <v>1</v>
      </c>
      <c r="EK35" s="491">
        <v>1</v>
      </c>
      <c r="EL35" s="491">
        <v>1</v>
      </c>
      <c r="EM35" s="491">
        <v>1</v>
      </c>
      <c r="EN35" s="491">
        <v>1</v>
      </c>
      <c r="EO35" s="491">
        <v>1</v>
      </c>
      <c r="EP35" s="491">
        <v>1</v>
      </c>
      <c r="EQ35" s="491">
        <v>1</v>
      </c>
      <c r="ER35" s="491">
        <v>1</v>
      </c>
      <c r="ES35" s="491">
        <v>1</v>
      </c>
      <c r="ET35" s="491">
        <v>1</v>
      </c>
      <c r="EU35" s="491">
        <v>1</v>
      </c>
      <c r="EV35" s="491">
        <v>1</v>
      </c>
      <c r="EW35" s="491">
        <v>1</v>
      </c>
      <c r="EX35" s="491">
        <v>1</v>
      </c>
      <c r="EY35" s="491">
        <v>1</v>
      </c>
      <c r="EZ35" s="491">
        <v>1</v>
      </c>
      <c r="FA35" s="491">
        <v>1</v>
      </c>
      <c r="FB35" s="491">
        <v>1</v>
      </c>
      <c r="FC35" s="491">
        <v>1</v>
      </c>
      <c r="FD35" s="491">
        <v>1</v>
      </c>
      <c r="FE35" s="491">
        <v>1</v>
      </c>
      <c r="FF35" s="491">
        <v>1</v>
      </c>
      <c r="FG35" s="491">
        <v>1</v>
      </c>
      <c r="FH35" s="491">
        <v>1</v>
      </c>
      <c r="FI35" s="491">
        <v>1</v>
      </c>
      <c r="FJ35" s="491">
        <v>1</v>
      </c>
      <c r="FK35" s="491">
        <v>1</v>
      </c>
      <c r="FL35" s="491">
        <v>1</v>
      </c>
      <c r="FM35" s="491"/>
      <c r="FN35" s="491"/>
      <c r="FO35" s="491"/>
      <c r="FP35" s="491"/>
      <c r="FQ35" s="491"/>
      <c r="FR35" s="491"/>
      <c r="FS35" s="491"/>
      <c r="FT35" s="491"/>
      <c r="FU35" s="491"/>
      <c r="FV35" s="491"/>
      <c r="FW35" s="491"/>
      <c r="FX35" s="491"/>
      <c r="FY35" s="491"/>
      <c r="FZ35" s="491"/>
      <c r="GA35" s="491"/>
      <c r="GB35" s="491"/>
      <c r="GC35" s="491"/>
      <c r="GD35" s="491"/>
      <c r="GE35" s="491"/>
      <c r="GF35" s="491"/>
      <c r="GG35" s="491"/>
      <c r="GH35" s="491"/>
      <c r="GI35" s="491"/>
      <c r="GJ35" s="491"/>
      <c r="GK35" s="491"/>
      <c r="GL35" s="491"/>
      <c r="GM35" s="491"/>
      <c r="GN35" s="491"/>
      <c r="GO35" s="491"/>
      <c r="GP35" s="491"/>
      <c r="GQ35" s="491"/>
      <c r="GR35" s="491"/>
      <c r="GS35" s="491"/>
      <c r="GT35" s="491"/>
      <c r="GU35" s="491"/>
      <c r="GV35" s="491"/>
      <c r="GW35" s="491"/>
      <c r="GX35" s="491"/>
      <c r="GY35" s="491"/>
      <c r="GZ35" s="491"/>
      <c r="HA35" s="491"/>
      <c r="HB35" s="491"/>
      <c r="HC35" s="491"/>
      <c r="HD35" s="491"/>
      <c r="HE35" s="491"/>
      <c r="HF35" s="491"/>
      <c r="HG35" s="491"/>
      <c r="HH35" s="491"/>
      <c r="HI35" s="491"/>
      <c r="HJ35" s="491"/>
      <c r="HK35" s="491"/>
      <c r="HL35" s="491"/>
      <c r="HM35" s="491"/>
      <c r="HN35" s="491"/>
      <c r="HO35" s="491"/>
      <c r="HP35" s="491"/>
      <c r="HQ35" s="491"/>
      <c r="HR35" s="491"/>
      <c r="HS35" s="491"/>
      <c r="HT35" s="491"/>
      <c r="HU35" s="491"/>
      <c r="HV35" s="491"/>
      <c r="HW35" s="491"/>
      <c r="HX35" s="491"/>
      <c r="HY35" s="491"/>
      <c r="HZ35" s="491"/>
      <c r="IA35" s="491"/>
      <c r="IB35" s="491"/>
      <c r="IC35" s="491"/>
    </row>
    <row r="36" spans="1:242" s="563" customFormat="1" ht="15" customHeight="1">
      <c r="A36" s="561"/>
      <c r="B36" s="561"/>
      <c r="C36" s="561"/>
      <c r="D36" s="564"/>
      <c r="E36" s="502">
        <v>45986</v>
      </c>
      <c r="F36" s="500"/>
      <c r="G36" s="500"/>
      <c r="H36" s="557" t="s">
        <v>544</v>
      </c>
      <c r="I36" s="558" t="s">
        <v>274</v>
      </c>
      <c r="J36" s="517" t="s">
        <v>886</v>
      </c>
      <c r="K36" s="504" t="s">
        <v>512</v>
      </c>
      <c r="L36" s="504">
        <v>0</v>
      </c>
      <c r="M36" s="504">
        <v>1</v>
      </c>
      <c r="N36" s="559"/>
      <c r="O36" s="560"/>
      <c r="P36" s="558">
        <v>4</v>
      </c>
      <c r="Q36" s="504">
        <v>1</v>
      </c>
      <c r="R36" s="504">
        <v>1</v>
      </c>
      <c r="S36" s="504">
        <v>1</v>
      </c>
      <c r="T36" s="504">
        <v>1</v>
      </c>
      <c r="U36" s="562"/>
      <c r="V36" s="562"/>
      <c r="W36" s="562"/>
      <c r="X36" s="562"/>
      <c r="Y36" s="562"/>
      <c r="Z36" s="562"/>
      <c r="AA36" s="562"/>
      <c r="AB36" s="562"/>
      <c r="AC36" s="562"/>
      <c r="AD36" s="562"/>
      <c r="AE36" s="562"/>
      <c r="AF36" s="562"/>
      <c r="AG36" s="562"/>
      <c r="AH36" s="562"/>
      <c r="AI36" s="562"/>
      <c r="AJ36" s="562"/>
      <c r="AK36" s="562"/>
      <c r="AL36" s="562"/>
      <c r="AM36" s="562"/>
      <c r="AN36" s="562"/>
      <c r="AO36" s="562"/>
      <c r="AP36" s="562"/>
      <c r="AQ36" s="562"/>
      <c r="AR36" s="562"/>
      <c r="AS36" s="562"/>
      <c r="AT36" s="562"/>
      <c r="AU36" s="562"/>
      <c r="AV36" s="562"/>
      <c r="AW36" s="562"/>
      <c r="AX36" s="562"/>
      <c r="AY36" s="562"/>
      <c r="AZ36" s="562"/>
      <c r="BA36" s="562"/>
      <c r="BB36" s="562"/>
      <c r="BC36" s="562"/>
      <c r="BD36" s="562"/>
      <c r="BE36" s="562"/>
      <c r="BF36" s="562"/>
      <c r="BG36" s="562"/>
      <c r="BH36" s="562"/>
      <c r="BI36" s="562"/>
      <c r="BJ36" s="562"/>
      <c r="BK36" s="562"/>
      <c r="BL36" s="562"/>
      <c r="BM36" s="562"/>
      <c r="BN36" s="562"/>
      <c r="BO36" s="562"/>
      <c r="BP36" s="562"/>
      <c r="BQ36" s="562"/>
      <c r="BR36" s="562"/>
      <c r="BS36" s="562"/>
      <c r="BT36" s="562"/>
      <c r="BU36" s="562"/>
      <c r="BV36" s="562"/>
      <c r="BW36" s="562"/>
      <c r="BX36" s="562"/>
      <c r="BY36" s="562"/>
      <c r="BZ36" s="562"/>
      <c r="CA36" s="562"/>
      <c r="CB36" s="562"/>
      <c r="CC36" s="562"/>
      <c r="CD36" s="562"/>
      <c r="CE36" s="562"/>
      <c r="CF36" s="562"/>
      <c r="CG36" s="562"/>
      <c r="CH36" s="562"/>
      <c r="CI36" s="562"/>
      <c r="CJ36" s="562"/>
      <c r="CK36" s="562"/>
      <c r="CL36" s="562"/>
      <c r="CM36" s="562"/>
      <c r="CN36" s="562"/>
      <c r="CO36" s="562"/>
      <c r="CP36" s="562"/>
      <c r="CQ36" s="562"/>
      <c r="CR36" s="562"/>
      <c r="CS36" s="562"/>
      <c r="CT36" s="562"/>
      <c r="CU36" s="562"/>
      <c r="CV36" s="562"/>
      <c r="CW36" s="562"/>
      <c r="CX36" s="562"/>
      <c r="CY36" s="562"/>
      <c r="CZ36" s="562"/>
      <c r="DA36" s="562"/>
      <c r="DB36" s="562"/>
      <c r="DC36" s="562"/>
      <c r="DD36" s="562"/>
      <c r="DE36" s="562"/>
      <c r="DF36" s="562"/>
      <c r="DG36" s="562"/>
      <c r="DH36" s="562"/>
      <c r="DI36" s="562"/>
      <c r="DJ36" s="562"/>
      <c r="DK36" s="562"/>
      <c r="DL36" s="562"/>
      <c r="DM36" s="562"/>
      <c r="DN36" s="562"/>
      <c r="DO36" s="562"/>
      <c r="DP36" s="562"/>
      <c r="DQ36" s="562"/>
      <c r="DR36" s="562"/>
      <c r="DS36" s="562"/>
      <c r="DT36" s="562"/>
      <c r="DU36" s="562"/>
      <c r="DV36" s="562"/>
      <c r="DW36" s="562"/>
      <c r="DX36" s="562"/>
      <c r="DY36" s="562"/>
      <c r="DZ36" s="562"/>
      <c r="EA36" s="562"/>
      <c r="EB36" s="562"/>
      <c r="EC36" s="562"/>
      <c r="ED36" s="562"/>
      <c r="EE36" s="562"/>
      <c r="EF36" s="562"/>
      <c r="EG36" s="562"/>
      <c r="EH36" s="562"/>
      <c r="EI36" s="562"/>
      <c r="EJ36" s="562"/>
      <c r="EK36" s="562"/>
      <c r="EL36" s="562"/>
      <c r="EM36" s="562"/>
      <c r="EN36" s="562"/>
      <c r="EO36" s="562"/>
      <c r="EP36" s="562"/>
      <c r="EQ36" s="562"/>
      <c r="ER36" s="562"/>
      <c r="ES36" s="562"/>
      <c r="ET36" s="562"/>
      <c r="EU36" s="562"/>
      <c r="EV36" s="562"/>
      <c r="EW36" s="562"/>
      <c r="EX36" s="562"/>
      <c r="EY36" s="562"/>
      <c r="EZ36" s="562"/>
      <c r="FA36" s="562"/>
      <c r="FB36" s="562"/>
      <c r="FC36" s="562"/>
      <c r="FD36" s="562"/>
      <c r="FE36" s="562"/>
      <c r="FF36" s="562"/>
      <c r="FG36" s="562"/>
      <c r="FH36" s="562"/>
      <c r="FI36" s="562"/>
      <c r="FJ36" s="562"/>
      <c r="FK36" s="562"/>
      <c r="FL36" s="562"/>
      <c r="FM36" s="562"/>
      <c r="FN36" s="562"/>
      <c r="FO36" s="562"/>
      <c r="FP36" s="562"/>
      <c r="FQ36" s="562"/>
      <c r="FR36" s="562"/>
      <c r="FS36" s="562"/>
      <c r="FT36" s="562"/>
      <c r="FU36" s="562"/>
      <c r="FV36" s="562"/>
      <c r="FW36" s="562"/>
      <c r="FX36" s="562"/>
      <c r="FY36" s="562"/>
      <c r="FZ36" s="562"/>
      <c r="GA36" s="562"/>
      <c r="GB36" s="562"/>
      <c r="GC36" s="562"/>
      <c r="GD36" s="562"/>
      <c r="GE36" s="562"/>
      <c r="GF36" s="562"/>
      <c r="GG36" s="562"/>
      <c r="GH36" s="562"/>
      <c r="GI36" s="562"/>
      <c r="GJ36" s="562"/>
      <c r="GK36" s="562"/>
      <c r="GL36" s="562"/>
      <c r="GM36" s="562"/>
      <c r="GN36" s="562"/>
      <c r="GO36" s="562"/>
      <c r="GP36" s="562"/>
      <c r="GQ36" s="562"/>
      <c r="GR36" s="562"/>
      <c r="GS36" s="562"/>
      <c r="GT36" s="562"/>
      <c r="GU36" s="562"/>
      <c r="GV36" s="562"/>
      <c r="GW36" s="562"/>
      <c r="GX36" s="562"/>
      <c r="GY36" s="562"/>
      <c r="GZ36" s="562"/>
      <c r="HA36" s="562"/>
      <c r="HB36" s="562"/>
      <c r="HC36" s="562"/>
      <c r="HD36" s="562"/>
      <c r="HE36" s="562"/>
      <c r="HF36" s="562"/>
      <c r="HG36" s="562"/>
      <c r="HH36" s="562"/>
      <c r="HI36" s="562"/>
      <c r="HJ36" s="562"/>
      <c r="HK36" s="562"/>
      <c r="HL36" s="562"/>
      <c r="HM36" s="562"/>
      <c r="HN36" s="562"/>
      <c r="HO36" s="562"/>
      <c r="HP36" s="562"/>
      <c r="HQ36" s="562"/>
      <c r="HR36" s="562"/>
      <c r="HS36" s="562"/>
      <c r="HT36" s="562"/>
      <c r="HU36" s="562"/>
      <c r="HV36" s="562"/>
      <c r="HW36" s="562"/>
      <c r="HX36" s="562"/>
      <c r="HY36" s="562"/>
      <c r="HZ36" s="562"/>
      <c r="IA36" s="562"/>
      <c r="IB36" s="562"/>
      <c r="IC36" s="562"/>
    </row>
    <row r="37" spans="1:242" s="499" customFormat="1" ht="15" customHeight="1">
      <c r="A37" s="487">
        <v>35</v>
      </c>
      <c r="B37" s="487" t="s">
        <v>823</v>
      </c>
      <c r="C37" s="487" t="s">
        <v>817</v>
      </c>
      <c r="D37" s="488" t="s">
        <v>818</v>
      </c>
      <c r="E37" s="489">
        <v>45986</v>
      </c>
      <c r="F37" s="487" t="s">
        <v>819</v>
      </c>
      <c r="G37" s="487" t="s">
        <v>820</v>
      </c>
      <c r="H37" s="490" t="s">
        <v>544</v>
      </c>
      <c r="I37" s="491" t="s">
        <v>274</v>
      </c>
      <c r="J37" s="513" t="s">
        <v>691</v>
      </c>
      <c r="K37" s="491" t="s">
        <v>398</v>
      </c>
      <c r="L37" s="491" t="s">
        <v>771</v>
      </c>
      <c r="M37" s="491">
        <v>1</v>
      </c>
      <c r="N37" s="491">
        <v>0</v>
      </c>
      <c r="O37" s="494" t="s">
        <v>696</v>
      </c>
      <c r="P37" s="514" t="b">
        <v>1</v>
      </c>
      <c r="Q37" s="493">
        <f>SUM(R37:GO37)</f>
        <v>151</v>
      </c>
      <c r="R37" s="491">
        <v>1</v>
      </c>
      <c r="S37" s="491">
        <v>1</v>
      </c>
      <c r="T37" s="491">
        <v>1</v>
      </c>
      <c r="U37" s="491">
        <v>1</v>
      </c>
      <c r="V37" s="491">
        <v>1</v>
      </c>
      <c r="W37" s="491">
        <v>1</v>
      </c>
      <c r="X37" s="491">
        <v>1</v>
      </c>
      <c r="Y37" s="491">
        <v>1</v>
      </c>
      <c r="Z37" s="491">
        <v>1</v>
      </c>
      <c r="AA37" s="491">
        <v>1</v>
      </c>
      <c r="AB37" s="491">
        <v>1</v>
      </c>
      <c r="AC37" s="491">
        <v>1</v>
      </c>
      <c r="AD37" s="491">
        <v>1</v>
      </c>
      <c r="AE37" s="491">
        <v>1</v>
      </c>
      <c r="AF37" s="491">
        <v>1</v>
      </c>
      <c r="AG37" s="491">
        <v>1</v>
      </c>
      <c r="AH37" s="491">
        <v>1</v>
      </c>
      <c r="AI37" s="491">
        <v>1</v>
      </c>
      <c r="AJ37" s="491">
        <v>1</v>
      </c>
      <c r="AK37" s="491">
        <v>1</v>
      </c>
      <c r="AL37" s="491">
        <v>1</v>
      </c>
      <c r="AM37" s="491">
        <v>1</v>
      </c>
      <c r="AN37" s="491">
        <v>1</v>
      </c>
      <c r="AO37" s="491">
        <v>1</v>
      </c>
      <c r="AP37" s="491">
        <v>1</v>
      </c>
      <c r="AQ37" s="491">
        <v>1</v>
      </c>
      <c r="AR37" s="491">
        <v>1</v>
      </c>
      <c r="AS37" s="491">
        <v>1</v>
      </c>
      <c r="AT37" s="491">
        <v>1</v>
      </c>
      <c r="AU37" s="491">
        <v>1</v>
      </c>
      <c r="AV37" s="491">
        <v>1</v>
      </c>
      <c r="AW37" s="491">
        <v>1</v>
      </c>
      <c r="AX37" s="491">
        <v>1</v>
      </c>
      <c r="AY37" s="491">
        <v>1</v>
      </c>
      <c r="AZ37" s="491">
        <v>1</v>
      </c>
      <c r="BA37" s="491">
        <v>1</v>
      </c>
      <c r="BB37" s="491">
        <v>1</v>
      </c>
      <c r="BC37" s="491">
        <v>1</v>
      </c>
      <c r="BD37" s="491">
        <v>1</v>
      </c>
      <c r="BE37" s="491">
        <v>1</v>
      </c>
      <c r="BF37" s="491">
        <v>1</v>
      </c>
      <c r="BG37" s="491">
        <v>1</v>
      </c>
      <c r="BH37" s="491">
        <v>1</v>
      </c>
      <c r="BI37" s="491">
        <v>1</v>
      </c>
      <c r="BJ37" s="491">
        <v>1</v>
      </c>
      <c r="BK37" s="491">
        <v>1</v>
      </c>
      <c r="BL37" s="491">
        <v>1</v>
      </c>
      <c r="BM37" s="491">
        <v>1</v>
      </c>
      <c r="BN37" s="491">
        <v>1</v>
      </c>
      <c r="BO37" s="491">
        <v>1</v>
      </c>
      <c r="BP37" s="491">
        <v>1</v>
      </c>
      <c r="BQ37" s="491">
        <v>1</v>
      </c>
      <c r="BR37" s="491">
        <v>1</v>
      </c>
      <c r="BS37" s="491">
        <v>1</v>
      </c>
      <c r="BT37" s="491">
        <v>1</v>
      </c>
      <c r="BU37" s="491">
        <v>1</v>
      </c>
      <c r="BV37" s="491">
        <v>1</v>
      </c>
      <c r="BW37" s="491">
        <v>1</v>
      </c>
      <c r="BX37" s="491">
        <v>1</v>
      </c>
      <c r="BY37" s="491">
        <v>1</v>
      </c>
      <c r="BZ37" s="491">
        <v>1</v>
      </c>
      <c r="CA37" s="491">
        <v>1</v>
      </c>
      <c r="CB37" s="491">
        <v>1</v>
      </c>
      <c r="CC37" s="491">
        <v>1</v>
      </c>
      <c r="CD37" s="491">
        <v>1</v>
      </c>
      <c r="CE37" s="491">
        <v>1</v>
      </c>
      <c r="CF37" s="491">
        <v>1</v>
      </c>
      <c r="CG37" s="491">
        <v>1</v>
      </c>
      <c r="CH37" s="491">
        <v>1</v>
      </c>
      <c r="CI37" s="491">
        <v>1</v>
      </c>
      <c r="CJ37" s="491">
        <v>1</v>
      </c>
      <c r="CK37" s="491">
        <v>1</v>
      </c>
      <c r="CL37" s="491">
        <v>1</v>
      </c>
      <c r="CM37" s="491">
        <v>1</v>
      </c>
      <c r="CN37" s="491">
        <v>1</v>
      </c>
      <c r="CO37" s="491">
        <v>1</v>
      </c>
      <c r="CP37" s="491">
        <v>1</v>
      </c>
      <c r="CQ37" s="491">
        <v>1</v>
      </c>
      <c r="CR37" s="491">
        <v>1</v>
      </c>
      <c r="CS37" s="491">
        <v>1</v>
      </c>
      <c r="CT37" s="491">
        <v>1</v>
      </c>
      <c r="CU37" s="491">
        <v>1</v>
      </c>
      <c r="CV37" s="491">
        <v>1</v>
      </c>
      <c r="CW37" s="491">
        <v>1</v>
      </c>
      <c r="CX37" s="491">
        <v>1</v>
      </c>
      <c r="CY37" s="491">
        <v>1</v>
      </c>
      <c r="CZ37" s="491">
        <v>1</v>
      </c>
      <c r="DA37" s="491">
        <v>1</v>
      </c>
      <c r="DB37" s="491">
        <v>1</v>
      </c>
      <c r="DC37" s="491">
        <v>1</v>
      </c>
      <c r="DD37" s="491">
        <v>1</v>
      </c>
      <c r="DE37" s="491">
        <v>1</v>
      </c>
      <c r="DF37" s="491">
        <v>1</v>
      </c>
      <c r="DG37" s="491">
        <v>1</v>
      </c>
      <c r="DH37" s="491">
        <v>1</v>
      </c>
      <c r="DI37" s="491">
        <v>1</v>
      </c>
      <c r="DJ37" s="491">
        <v>1</v>
      </c>
      <c r="DK37" s="491">
        <v>1</v>
      </c>
      <c r="DL37" s="491">
        <v>1</v>
      </c>
      <c r="DM37" s="491">
        <v>1</v>
      </c>
      <c r="DN37" s="491">
        <v>1</v>
      </c>
      <c r="DO37" s="491">
        <v>1</v>
      </c>
      <c r="DP37" s="491">
        <v>1</v>
      </c>
      <c r="DQ37" s="491">
        <v>1</v>
      </c>
      <c r="DR37" s="491">
        <v>1</v>
      </c>
      <c r="DS37" s="491">
        <v>1</v>
      </c>
      <c r="DT37" s="491">
        <v>1</v>
      </c>
      <c r="DU37" s="491">
        <v>1</v>
      </c>
      <c r="DV37" s="491">
        <v>1</v>
      </c>
      <c r="DW37" s="491">
        <v>1</v>
      </c>
      <c r="DX37" s="491">
        <v>1</v>
      </c>
      <c r="DY37" s="491">
        <v>1</v>
      </c>
      <c r="DZ37" s="491">
        <v>1</v>
      </c>
      <c r="EA37" s="491">
        <v>1</v>
      </c>
      <c r="EB37" s="491">
        <v>1</v>
      </c>
      <c r="EC37" s="491">
        <v>1</v>
      </c>
      <c r="ED37" s="491">
        <v>1</v>
      </c>
      <c r="EE37" s="491">
        <v>1</v>
      </c>
      <c r="EF37" s="491">
        <v>1</v>
      </c>
      <c r="EG37" s="491">
        <v>1</v>
      </c>
      <c r="EH37" s="491">
        <v>1</v>
      </c>
      <c r="EI37" s="491">
        <v>1</v>
      </c>
      <c r="EJ37" s="491">
        <v>1</v>
      </c>
      <c r="EK37" s="491">
        <v>1</v>
      </c>
      <c r="EL37" s="491">
        <v>1</v>
      </c>
      <c r="EM37" s="491">
        <v>1</v>
      </c>
      <c r="EN37" s="491">
        <v>1</v>
      </c>
      <c r="EO37" s="491">
        <v>1</v>
      </c>
      <c r="EP37" s="491">
        <v>1</v>
      </c>
      <c r="EQ37" s="491">
        <v>1</v>
      </c>
      <c r="ER37" s="491">
        <v>1</v>
      </c>
      <c r="ES37" s="491">
        <v>1</v>
      </c>
      <c r="ET37" s="491">
        <v>1</v>
      </c>
      <c r="EU37" s="491">
        <v>1</v>
      </c>
      <c r="EV37" s="491">
        <v>1</v>
      </c>
      <c r="EW37" s="491">
        <v>1</v>
      </c>
      <c r="EX37" s="491">
        <v>1</v>
      </c>
      <c r="EY37" s="491">
        <v>1</v>
      </c>
      <c r="EZ37" s="491">
        <v>1</v>
      </c>
      <c r="FA37" s="491">
        <v>1</v>
      </c>
      <c r="FB37" s="491">
        <v>1</v>
      </c>
      <c r="FC37" s="491">
        <v>1</v>
      </c>
      <c r="FD37" s="491">
        <v>1</v>
      </c>
      <c r="FE37" s="491">
        <v>1</v>
      </c>
      <c r="FF37" s="491">
        <v>1</v>
      </c>
      <c r="FG37" s="491">
        <v>1</v>
      </c>
      <c r="FH37" s="491">
        <v>1</v>
      </c>
      <c r="FI37" s="491">
        <v>1</v>
      </c>
      <c r="FJ37" s="491">
        <v>1</v>
      </c>
      <c r="FK37" s="491">
        <v>1</v>
      </c>
      <c r="FL37" s="491">
        <v>1</v>
      </c>
      <c r="FM37" s="491"/>
      <c r="FN37" s="491"/>
      <c r="FO37" s="491"/>
      <c r="FP37" s="491"/>
      <c r="FQ37" s="491"/>
      <c r="FR37" s="491"/>
      <c r="FS37" s="491"/>
      <c r="FT37" s="491"/>
      <c r="FU37" s="491"/>
      <c r="FV37" s="491"/>
      <c r="FW37" s="491"/>
      <c r="FX37" s="491"/>
      <c r="FY37" s="491"/>
      <c r="FZ37" s="491"/>
      <c r="GA37" s="491"/>
      <c r="GB37" s="491"/>
      <c r="GC37" s="491"/>
      <c r="GD37" s="491"/>
      <c r="GE37" s="491"/>
      <c r="GF37" s="491"/>
      <c r="GG37" s="491"/>
      <c r="GH37" s="491"/>
      <c r="GI37" s="491"/>
      <c r="GJ37" s="491"/>
      <c r="GK37" s="491"/>
      <c r="GL37" s="491"/>
      <c r="GM37" s="491"/>
      <c r="GN37" s="491"/>
      <c r="GO37" s="491"/>
      <c r="GP37" s="491"/>
      <c r="GQ37" s="491"/>
      <c r="GR37" s="491"/>
      <c r="GS37" s="491"/>
      <c r="GT37" s="491"/>
      <c r="GU37" s="491"/>
      <c r="GV37" s="491"/>
      <c r="GW37" s="491"/>
      <c r="GX37" s="491"/>
      <c r="GY37" s="491"/>
      <c r="GZ37" s="491"/>
      <c r="HA37" s="491"/>
      <c r="HB37" s="491"/>
      <c r="HC37" s="491"/>
      <c r="HD37" s="491"/>
      <c r="HE37" s="491"/>
      <c r="HF37" s="491"/>
      <c r="HG37" s="491"/>
      <c r="HH37" s="491"/>
      <c r="HI37" s="491"/>
      <c r="HJ37" s="491"/>
      <c r="HK37" s="491"/>
      <c r="HL37" s="491"/>
      <c r="HM37" s="491"/>
      <c r="HN37" s="491"/>
      <c r="HO37" s="491"/>
      <c r="HP37" s="491"/>
      <c r="HQ37" s="491"/>
      <c r="HR37" s="491"/>
      <c r="HS37" s="491"/>
      <c r="HT37" s="491"/>
      <c r="HU37" s="491"/>
      <c r="HV37" s="491"/>
      <c r="HW37" s="491"/>
      <c r="HX37" s="491"/>
      <c r="HY37" s="491"/>
      <c r="HZ37" s="491"/>
      <c r="IA37" s="491"/>
      <c r="IB37" s="491"/>
      <c r="IC37" s="491"/>
    </row>
    <row r="38" spans="1:242" s="563" customFormat="1" ht="15" customHeight="1">
      <c r="A38" s="561"/>
      <c r="B38" s="561"/>
      <c r="C38" s="561"/>
      <c r="D38" s="564"/>
      <c r="E38" s="502">
        <v>45986</v>
      </c>
      <c r="F38" s="500"/>
      <c r="G38" s="500"/>
      <c r="H38" s="557" t="s">
        <v>544</v>
      </c>
      <c r="I38" s="558" t="s">
        <v>274</v>
      </c>
      <c r="J38" s="517" t="s">
        <v>889</v>
      </c>
      <c r="K38" s="504" t="s">
        <v>512</v>
      </c>
      <c r="L38" s="504">
        <v>0</v>
      </c>
      <c r="M38" s="504">
        <v>1</v>
      </c>
      <c r="N38" s="559"/>
      <c r="O38" s="560" t="b">
        <v>0</v>
      </c>
      <c r="P38" s="558">
        <v>3</v>
      </c>
      <c r="Q38" s="504">
        <v>1</v>
      </c>
      <c r="R38" s="504">
        <v>1</v>
      </c>
      <c r="S38" s="504">
        <v>1</v>
      </c>
      <c r="T38" s="562"/>
      <c r="U38" s="562"/>
      <c r="V38" s="562"/>
      <c r="W38" s="562"/>
      <c r="X38" s="562"/>
      <c r="Y38" s="562"/>
      <c r="Z38" s="562"/>
      <c r="AA38" s="562"/>
      <c r="AB38" s="562"/>
      <c r="AC38" s="562"/>
      <c r="AD38" s="562"/>
      <c r="AE38" s="562"/>
      <c r="AF38" s="562"/>
      <c r="AG38" s="562"/>
      <c r="AH38" s="562"/>
      <c r="AI38" s="562"/>
      <c r="AJ38" s="562"/>
      <c r="AK38" s="562"/>
      <c r="AL38" s="562"/>
      <c r="AM38" s="562"/>
      <c r="AN38" s="562"/>
      <c r="AO38" s="562"/>
      <c r="AP38" s="562"/>
      <c r="AQ38" s="562"/>
      <c r="AR38" s="562"/>
      <c r="AS38" s="562"/>
      <c r="AT38" s="562"/>
      <c r="AU38" s="562"/>
      <c r="AV38" s="562"/>
      <c r="AW38" s="562"/>
      <c r="AX38" s="562"/>
      <c r="AY38" s="562"/>
      <c r="AZ38" s="562"/>
      <c r="BA38" s="562"/>
      <c r="BB38" s="562"/>
      <c r="BC38" s="562"/>
      <c r="BD38" s="562"/>
      <c r="BE38" s="562"/>
      <c r="BF38" s="562"/>
      <c r="BG38" s="562"/>
      <c r="BH38" s="562"/>
      <c r="BI38" s="562"/>
      <c r="BJ38" s="562"/>
      <c r="BK38" s="562"/>
      <c r="BL38" s="562"/>
      <c r="BM38" s="562"/>
      <c r="BN38" s="562"/>
      <c r="BO38" s="562"/>
      <c r="BP38" s="562"/>
      <c r="BQ38" s="562"/>
      <c r="BR38" s="562"/>
      <c r="BS38" s="562"/>
      <c r="BT38" s="562"/>
      <c r="BU38" s="562"/>
      <c r="BV38" s="562"/>
      <c r="BW38" s="562"/>
      <c r="BX38" s="562"/>
      <c r="BY38" s="562"/>
      <c r="BZ38" s="562"/>
      <c r="CA38" s="562"/>
      <c r="CB38" s="562"/>
      <c r="CC38" s="562"/>
      <c r="CD38" s="562"/>
      <c r="CE38" s="562"/>
      <c r="CF38" s="562"/>
      <c r="CG38" s="562"/>
      <c r="CH38" s="562"/>
      <c r="CI38" s="562"/>
      <c r="CJ38" s="562"/>
      <c r="CK38" s="562"/>
      <c r="CL38" s="562"/>
      <c r="CM38" s="562"/>
      <c r="CN38" s="562"/>
      <c r="CO38" s="562"/>
      <c r="CP38" s="562"/>
      <c r="CQ38" s="562"/>
      <c r="CR38" s="562"/>
      <c r="CS38" s="562"/>
      <c r="CT38" s="562"/>
      <c r="CU38" s="562"/>
      <c r="CV38" s="562"/>
      <c r="CW38" s="562"/>
      <c r="CX38" s="562"/>
      <c r="CY38" s="562"/>
      <c r="CZ38" s="562"/>
      <c r="DA38" s="562"/>
      <c r="DB38" s="562"/>
      <c r="DC38" s="562"/>
      <c r="DD38" s="562"/>
      <c r="DE38" s="562"/>
      <c r="DF38" s="562"/>
      <c r="DG38" s="562"/>
      <c r="DH38" s="562"/>
      <c r="DI38" s="562"/>
      <c r="DJ38" s="562"/>
      <c r="DK38" s="562"/>
      <c r="DL38" s="562"/>
      <c r="DM38" s="562"/>
      <c r="DN38" s="562"/>
      <c r="DO38" s="562"/>
      <c r="DP38" s="562"/>
      <c r="DQ38" s="562"/>
      <c r="DR38" s="562"/>
      <c r="DS38" s="562"/>
      <c r="DT38" s="562"/>
      <c r="DU38" s="562"/>
      <c r="DV38" s="562"/>
      <c r="DW38" s="562"/>
      <c r="DX38" s="562"/>
      <c r="DY38" s="562"/>
      <c r="DZ38" s="562"/>
      <c r="EA38" s="562"/>
      <c r="EB38" s="562"/>
      <c r="EC38" s="562"/>
      <c r="ED38" s="562"/>
      <c r="EE38" s="562"/>
      <c r="EF38" s="562"/>
      <c r="EG38" s="562"/>
      <c r="EH38" s="562"/>
      <c r="EI38" s="562"/>
      <c r="EJ38" s="562"/>
      <c r="EK38" s="562"/>
      <c r="EL38" s="562"/>
      <c r="EM38" s="562"/>
      <c r="EN38" s="562"/>
      <c r="EO38" s="562"/>
      <c r="EP38" s="562"/>
      <c r="EQ38" s="562"/>
      <c r="ER38" s="562"/>
      <c r="ES38" s="562"/>
      <c r="ET38" s="562"/>
      <c r="EU38" s="562"/>
      <c r="EV38" s="562"/>
      <c r="EW38" s="562"/>
      <c r="EX38" s="562"/>
      <c r="EY38" s="562"/>
      <c r="EZ38" s="562"/>
      <c r="FA38" s="562"/>
      <c r="FB38" s="562"/>
      <c r="FC38" s="562"/>
      <c r="FD38" s="562"/>
      <c r="FE38" s="562"/>
      <c r="FF38" s="562"/>
      <c r="FG38" s="562"/>
      <c r="FH38" s="562"/>
      <c r="FI38" s="562"/>
      <c r="FJ38" s="562"/>
      <c r="FK38" s="562"/>
      <c r="FL38" s="562"/>
      <c r="FM38" s="562"/>
      <c r="FN38" s="562"/>
      <c r="FO38" s="562"/>
      <c r="FP38" s="562"/>
      <c r="FQ38" s="562"/>
      <c r="FR38" s="562"/>
      <c r="FS38" s="562"/>
      <c r="FT38" s="562"/>
      <c r="FU38" s="562"/>
      <c r="FV38" s="562"/>
      <c r="FW38" s="562"/>
      <c r="FX38" s="562"/>
      <c r="FY38" s="562"/>
      <c r="FZ38" s="562"/>
      <c r="GA38" s="562"/>
      <c r="GB38" s="562"/>
      <c r="GC38" s="562"/>
      <c r="GD38" s="562"/>
      <c r="GE38" s="562"/>
      <c r="GF38" s="562"/>
      <c r="GG38" s="562"/>
      <c r="GH38" s="562"/>
      <c r="GI38" s="562"/>
      <c r="GJ38" s="562"/>
      <c r="GK38" s="562"/>
      <c r="GL38" s="562"/>
      <c r="GM38" s="562"/>
      <c r="GN38" s="562"/>
      <c r="GO38" s="562"/>
      <c r="GP38" s="562"/>
      <c r="GQ38" s="562"/>
      <c r="GR38" s="562"/>
      <c r="GS38" s="562"/>
      <c r="GT38" s="562"/>
      <c r="GU38" s="562"/>
      <c r="GV38" s="562"/>
      <c r="GW38" s="562"/>
      <c r="GX38" s="562"/>
      <c r="GY38" s="562"/>
      <c r="GZ38" s="562"/>
      <c r="HA38" s="562"/>
      <c r="HB38" s="562"/>
      <c r="HC38" s="562"/>
      <c r="HD38" s="562"/>
      <c r="HE38" s="562"/>
      <c r="HF38" s="562"/>
      <c r="HG38" s="562"/>
      <c r="HH38" s="562"/>
      <c r="HI38" s="562"/>
      <c r="HJ38" s="562"/>
      <c r="HK38" s="562"/>
      <c r="HL38" s="562"/>
      <c r="HM38" s="562"/>
      <c r="HN38" s="562"/>
      <c r="HO38" s="562"/>
      <c r="HP38" s="562"/>
      <c r="HQ38" s="562"/>
      <c r="HR38" s="562"/>
      <c r="HS38" s="562"/>
      <c r="HT38" s="562"/>
      <c r="HU38" s="562"/>
      <c r="HV38" s="562"/>
      <c r="HW38" s="562"/>
      <c r="HX38" s="562"/>
      <c r="HY38" s="562"/>
      <c r="HZ38" s="562"/>
      <c r="IA38" s="562"/>
      <c r="IB38" s="562"/>
      <c r="IC38" s="562"/>
    </row>
    <row r="39" spans="1:242" s="563" customFormat="1" ht="15" customHeight="1">
      <c r="A39" s="561"/>
      <c r="B39" s="561"/>
      <c r="C39" s="561"/>
      <c r="D39" s="564"/>
      <c r="E39" s="502">
        <v>45986</v>
      </c>
      <c r="F39" s="500"/>
      <c r="G39" s="500"/>
      <c r="H39" s="557" t="s">
        <v>544</v>
      </c>
      <c r="I39" s="558" t="s">
        <v>274</v>
      </c>
      <c r="J39" s="517" t="s">
        <v>890</v>
      </c>
      <c r="K39" s="504" t="s">
        <v>512</v>
      </c>
      <c r="L39" s="504">
        <v>0</v>
      </c>
      <c r="M39" s="504">
        <v>1</v>
      </c>
      <c r="N39" s="559"/>
      <c r="O39" s="560" t="b">
        <v>0</v>
      </c>
      <c r="P39" s="558">
        <v>3</v>
      </c>
      <c r="Q39" s="504">
        <v>1</v>
      </c>
      <c r="R39" s="504">
        <v>1</v>
      </c>
      <c r="S39" s="504">
        <v>1</v>
      </c>
      <c r="T39" s="562"/>
      <c r="U39" s="562"/>
      <c r="V39" s="562"/>
      <c r="W39" s="562"/>
      <c r="X39" s="562"/>
      <c r="Y39" s="562"/>
      <c r="Z39" s="562"/>
      <c r="AA39" s="562"/>
      <c r="AB39" s="562"/>
      <c r="AC39" s="562"/>
      <c r="AD39" s="562"/>
      <c r="AE39" s="562"/>
      <c r="AF39" s="562"/>
      <c r="AG39" s="562"/>
      <c r="AH39" s="562"/>
      <c r="AI39" s="562"/>
      <c r="AJ39" s="562"/>
      <c r="AK39" s="562"/>
      <c r="AL39" s="562"/>
      <c r="AM39" s="562"/>
      <c r="AN39" s="562"/>
      <c r="AO39" s="562"/>
      <c r="AP39" s="562"/>
      <c r="AQ39" s="562"/>
      <c r="AR39" s="562"/>
      <c r="AS39" s="562"/>
      <c r="AT39" s="562"/>
      <c r="AU39" s="562"/>
      <c r="AV39" s="562"/>
      <c r="AW39" s="562"/>
      <c r="AX39" s="562"/>
      <c r="AY39" s="562"/>
      <c r="AZ39" s="562"/>
      <c r="BA39" s="562"/>
      <c r="BB39" s="562"/>
      <c r="BC39" s="562"/>
      <c r="BD39" s="562"/>
      <c r="BE39" s="562"/>
      <c r="BF39" s="562"/>
      <c r="BG39" s="562"/>
      <c r="BH39" s="562"/>
      <c r="BI39" s="562"/>
      <c r="BJ39" s="562"/>
      <c r="BK39" s="562"/>
      <c r="BL39" s="562"/>
      <c r="BM39" s="562"/>
      <c r="BN39" s="562"/>
      <c r="BO39" s="562"/>
      <c r="BP39" s="562"/>
      <c r="BQ39" s="562"/>
      <c r="BR39" s="562"/>
      <c r="BS39" s="562"/>
      <c r="BT39" s="562"/>
      <c r="BU39" s="562"/>
      <c r="BV39" s="562"/>
      <c r="BW39" s="562"/>
      <c r="BX39" s="562"/>
      <c r="BY39" s="562"/>
      <c r="BZ39" s="562"/>
      <c r="CA39" s="562"/>
      <c r="CB39" s="562"/>
      <c r="CC39" s="562"/>
      <c r="CD39" s="562"/>
      <c r="CE39" s="562"/>
      <c r="CF39" s="562"/>
      <c r="CG39" s="562"/>
      <c r="CH39" s="562"/>
      <c r="CI39" s="562"/>
      <c r="CJ39" s="562"/>
      <c r="CK39" s="562"/>
      <c r="CL39" s="562"/>
      <c r="CM39" s="562"/>
      <c r="CN39" s="562"/>
      <c r="CO39" s="562"/>
      <c r="CP39" s="562"/>
      <c r="CQ39" s="562"/>
      <c r="CR39" s="562"/>
      <c r="CS39" s="562"/>
      <c r="CT39" s="562"/>
      <c r="CU39" s="562"/>
      <c r="CV39" s="562"/>
      <c r="CW39" s="562"/>
      <c r="CX39" s="562"/>
      <c r="CY39" s="562"/>
      <c r="CZ39" s="562"/>
      <c r="DA39" s="562"/>
      <c r="DB39" s="562"/>
      <c r="DC39" s="562"/>
      <c r="DD39" s="562"/>
      <c r="DE39" s="562"/>
      <c r="DF39" s="562"/>
      <c r="DG39" s="562"/>
      <c r="DH39" s="562"/>
      <c r="DI39" s="562"/>
      <c r="DJ39" s="562"/>
      <c r="DK39" s="562"/>
      <c r="DL39" s="562"/>
      <c r="DM39" s="562"/>
      <c r="DN39" s="562"/>
      <c r="DO39" s="562"/>
      <c r="DP39" s="562"/>
      <c r="DQ39" s="562"/>
      <c r="DR39" s="562"/>
      <c r="DS39" s="562"/>
      <c r="DT39" s="562"/>
      <c r="DU39" s="562"/>
      <c r="DV39" s="562"/>
      <c r="DW39" s="562"/>
      <c r="DX39" s="562"/>
      <c r="DY39" s="562"/>
      <c r="DZ39" s="562"/>
      <c r="EA39" s="562"/>
      <c r="EB39" s="562"/>
      <c r="EC39" s="562"/>
      <c r="ED39" s="562"/>
      <c r="EE39" s="562"/>
      <c r="EF39" s="562"/>
      <c r="EG39" s="562"/>
      <c r="EH39" s="562"/>
      <c r="EI39" s="562"/>
      <c r="EJ39" s="562"/>
      <c r="EK39" s="562"/>
      <c r="EL39" s="562"/>
      <c r="EM39" s="562"/>
      <c r="EN39" s="562"/>
      <c r="EO39" s="562"/>
      <c r="EP39" s="562"/>
      <c r="EQ39" s="562"/>
      <c r="ER39" s="562"/>
      <c r="ES39" s="562"/>
      <c r="ET39" s="562"/>
      <c r="EU39" s="562"/>
      <c r="EV39" s="562"/>
      <c r="EW39" s="562"/>
      <c r="EX39" s="562"/>
      <c r="EY39" s="562"/>
      <c r="EZ39" s="562"/>
      <c r="FA39" s="562"/>
      <c r="FB39" s="562"/>
      <c r="FC39" s="562"/>
      <c r="FD39" s="562"/>
      <c r="FE39" s="562"/>
      <c r="FF39" s="562"/>
      <c r="FG39" s="562"/>
      <c r="FH39" s="562"/>
      <c r="FI39" s="562"/>
      <c r="FJ39" s="562"/>
      <c r="FK39" s="562"/>
      <c r="FL39" s="562"/>
      <c r="FM39" s="562"/>
      <c r="FN39" s="562"/>
      <c r="FO39" s="562"/>
      <c r="FP39" s="562"/>
      <c r="FQ39" s="562"/>
      <c r="FR39" s="562"/>
      <c r="FS39" s="562"/>
      <c r="FT39" s="562"/>
      <c r="FU39" s="562"/>
      <c r="FV39" s="562"/>
      <c r="FW39" s="562"/>
      <c r="FX39" s="562"/>
      <c r="FY39" s="562"/>
      <c r="FZ39" s="562"/>
      <c r="GA39" s="562"/>
      <c r="GB39" s="562"/>
      <c r="GC39" s="562"/>
      <c r="GD39" s="562"/>
      <c r="GE39" s="562"/>
      <c r="GF39" s="562"/>
      <c r="GG39" s="562"/>
      <c r="GH39" s="562"/>
      <c r="GI39" s="562"/>
      <c r="GJ39" s="562"/>
      <c r="GK39" s="562"/>
      <c r="GL39" s="562"/>
      <c r="GM39" s="562"/>
      <c r="GN39" s="562"/>
      <c r="GO39" s="562"/>
      <c r="GP39" s="562"/>
      <c r="GQ39" s="562"/>
      <c r="GR39" s="562"/>
      <c r="GS39" s="562"/>
      <c r="GT39" s="562"/>
      <c r="GU39" s="562"/>
      <c r="GV39" s="562"/>
      <c r="GW39" s="562"/>
      <c r="GX39" s="562"/>
      <c r="GY39" s="562"/>
      <c r="GZ39" s="562"/>
      <c r="HA39" s="562"/>
      <c r="HB39" s="562"/>
      <c r="HC39" s="562"/>
      <c r="HD39" s="562"/>
      <c r="HE39" s="562"/>
      <c r="HF39" s="562"/>
      <c r="HG39" s="562"/>
      <c r="HH39" s="562"/>
      <c r="HI39" s="562"/>
      <c r="HJ39" s="562"/>
      <c r="HK39" s="562"/>
      <c r="HL39" s="562"/>
      <c r="HM39" s="562"/>
      <c r="HN39" s="562"/>
      <c r="HO39" s="562"/>
      <c r="HP39" s="562"/>
      <c r="HQ39" s="562"/>
      <c r="HR39" s="562"/>
      <c r="HS39" s="562"/>
      <c r="HT39" s="562"/>
      <c r="HU39" s="562"/>
      <c r="HV39" s="562"/>
      <c r="HW39" s="562"/>
      <c r="HX39" s="562"/>
      <c r="HY39" s="562"/>
      <c r="HZ39" s="562"/>
      <c r="IA39" s="562"/>
      <c r="IB39" s="562"/>
      <c r="IC39" s="562"/>
    </row>
    <row r="40" spans="1:242" s="511" customFormat="1" ht="15" customHeight="1">
      <c r="A40" s="500">
        <v>36</v>
      </c>
      <c r="B40" s="500"/>
      <c r="C40" s="500" t="s">
        <v>824</v>
      </c>
      <c r="D40" s="501" t="s">
        <v>825</v>
      </c>
      <c r="E40" s="523">
        <v>45988</v>
      </c>
      <c r="F40" s="500" t="s">
        <v>759</v>
      </c>
      <c r="G40" s="500" t="s">
        <v>826</v>
      </c>
      <c r="H40" s="516" t="s">
        <v>546</v>
      </c>
      <c r="I40" s="504" t="s">
        <v>274</v>
      </c>
      <c r="J40" s="517" t="s">
        <v>887</v>
      </c>
      <c r="K40" s="504" t="s">
        <v>512</v>
      </c>
      <c r="L40" s="504"/>
      <c r="M40" s="505">
        <v>1</v>
      </c>
      <c r="N40" s="505">
        <v>0</v>
      </c>
      <c r="O40" s="505"/>
      <c r="P40" s="507" t="b">
        <v>0</v>
      </c>
      <c r="Q40" s="506">
        <f>SUM(R40:DM40)</f>
        <v>11</v>
      </c>
      <c r="R40" s="505">
        <v>1</v>
      </c>
      <c r="S40" s="505">
        <v>1</v>
      </c>
      <c r="T40" s="505">
        <v>1</v>
      </c>
      <c r="U40" s="505">
        <v>1</v>
      </c>
      <c r="V40" s="505">
        <v>1</v>
      </c>
      <c r="W40" s="505">
        <v>1</v>
      </c>
      <c r="X40" s="505">
        <v>1</v>
      </c>
      <c r="Y40" s="505">
        <v>1</v>
      </c>
      <c r="Z40" s="505">
        <v>1</v>
      </c>
      <c r="AA40" s="505">
        <v>1</v>
      </c>
      <c r="AB40" s="505">
        <v>1</v>
      </c>
      <c r="AC40" s="505"/>
      <c r="AD40" s="505"/>
      <c r="AE40" s="505"/>
      <c r="AF40" s="505"/>
      <c r="AG40" s="505"/>
      <c r="AH40" s="505"/>
      <c r="AI40" s="505"/>
      <c r="AJ40" s="505"/>
      <c r="AK40" s="505"/>
      <c r="AL40" s="505"/>
      <c r="AM40" s="505"/>
      <c r="AN40" s="505"/>
      <c r="AO40" s="505"/>
      <c r="AP40" s="505"/>
      <c r="AQ40" s="505"/>
      <c r="AR40" s="505"/>
      <c r="AS40" s="505"/>
      <c r="AT40" s="505"/>
      <c r="AU40" s="505"/>
      <c r="AV40" s="505"/>
      <c r="AW40" s="505"/>
      <c r="AX40" s="505"/>
      <c r="AY40" s="505"/>
      <c r="AZ40" s="505"/>
      <c r="BA40" s="505"/>
      <c r="BB40" s="505"/>
      <c r="BC40" s="505"/>
      <c r="BD40" s="505"/>
      <c r="BE40" s="505"/>
      <c r="BF40" s="505"/>
      <c r="BG40" s="505"/>
      <c r="BH40" s="505"/>
      <c r="BI40" s="505"/>
      <c r="BJ40" s="505"/>
      <c r="BK40" s="505"/>
      <c r="BL40" s="505"/>
      <c r="BM40" s="505"/>
      <c r="BN40" s="505"/>
      <c r="BO40" s="505"/>
      <c r="BP40" s="505"/>
      <c r="BQ40" s="505"/>
      <c r="BR40" s="505"/>
      <c r="BS40" s="505"/>
      <c r="BT40" s="505"/>
      <c r="BU40" s="505"/>
      <c r="BV40" s="505"/>
      <c r="BW40" s="505"/>
      <c r="BX40" s="505"/>
      <c r="BY40" s="505"/>
      <c r="BZ40" s="505"/>
      <c r="CA40" s="505"/>
      <c r="CB40" s="505"/>
      <c r="CC40" s="505"/>
      <c r="CD40" s="505"/>
      <c r="CE40" s="505"/>
      <c r="CF40" s="505"/>
      <c r="CG40" s="505"/>
      <c r="CH40" s="505"/>
      <c r="CI40" s="505"/>
      <c r="CJ40" s="505"/>
      <c r="CK40" s="505"/>
      <c r="CL40" s="505"/>
      <c r="CM40" s="505"/>
      <c r="CN40" s="505"/>
      <c r="CO40" s="505"/>
      <c r="CP40" s="505"/>
      <c r="CQ40" s="505"/>
      <c r="CR40" s="505"/>
      <c r="CS40" s="505"/>
      <c r="CT40" s="505"/>
      <c r="CU40" s="505"/>
      <c r="CV40" s="505"/>
      <c r="CW40" s="505"/>
      <c r="CX40" s="505"/>
      <c r="CY40" s="505"/>
      <c r="CZ40" s="505"/>
      <c r="DA40" s="505"/>
      <c r="DB40" s="505"/>
      <c r="DC40" s="505"/>
      <c r="DD40" s="505"/>
      <c r="DE40" s="505"/>
      <c r="DF40" s="505"/>
      <c r="DG40" s="505"/>
      <c r="DH40" s="505"/>
      <c r="DI40" s="505"/>
      <c r="DJ40" s="505"/>
      <c r="DK40" s="505"/>
      <c r="DL40" s="505"/>
      <c r="DM40" s="505"/>
      <c r="DN40" s="505"/>
      <c r="DO40" s="505"/>
      <c r="DP40" s="505"/>
      <c r="DQ40" s="505"/>
      <c r="DR40" s="505"/>
      <c r="DS40" s="505"/>
      <c r="DT40" s="505"/>
      <c r="DU40" s="505"/>
      <c r="DV40" s="505"/>
      <c r="DW40" s="505"/>
      <c r="DX40" s="505"/>
      <c r="DY40" s="505"/>
      <c r="DZ40" s="505"/>
      <c r="EA40" s="505"/>
      <c r="EB40" s="505"/>
      <c r="EC40" s="505"/>
      <c r="ED40" s="505"/>
      <c r="EE40" s="505"/>
      <c r="EF40" s="505"/>
      <c r="EG40" s="505"/>
      <c r="EH40" s="505"/>
      <c r="EI40" s="505"/>
      <c r="EJ40" s="505"/>
      <c r="EK40" s="505"/>
      <c r="EL40" s="505"/>
      <c r="EM40" s="505"/>
      <c r="EN40" s="505"/>
      <c r="EO40" s="505"/>
      <c r="EP40" s="505"/>
      <c r="EQ40" s="505"/>
      <c r="ER40" s="505"/>
      <c r="ES40" s="505"/>
      <c r="ET40" s="505"/>
      <c r="EU40" s="505"/>
      <c r="EV40" s="505"/>
      <c r="EW40" s="505"/>
      <c r="EX40" s="505"/>
      <c r="EY40" s="505"/>
      <c r="EZ40" s="505"/>
      <c r="FA40" s="505"/>
      <c r="FB40" s="505"/>
      <c r="FC40" s="505"/>
      <c r="FD40" s="505"/>
      <c r="FE40" s="505"/>
      <c r="FF40" s="505"/>
      <c r="FG40" s="505"/>
      <c r="FH40" s="505"/>
      <c r="FI40" s="505"/>
      <c r="FJ40" s="505"/>
      <c r="FK40" s="505"/>
      <c r="FL40" s="505"/>
      <c r="FM40" s="505"/>
      <c r="FN40" s="505"/>
      <c r="FO40" s="505"/>
      <c r="FP40" s="505"/>
      <c r="FQ40" s="505"/>
      <c r="FR40" s="505"/>
      <c r="FS40" s="505"/>
      <c r="FT40" s="505"/>
      <c r="FU40" s="505"/>
      <c r="FV40" s="505"/>
      <c r="FW40" s="505"/>
      <c r="FX40" s="505"/>
      <c r="FY40" s="505"/>
      <c r="FZ40" s="505"/>
      <c r="GA40" s="505"/>
      <c r="GB40" s="505"/>
      <c r="GC40" s="505"/>
      <c r="GD40" s="505"/>
      <c r="GE40" s="505"/>
      <c r="GF40" s="505"/>
      <c r="GG40" s="505"/>
      <c r="GH40" s="505"/>
      <c r="GI40" s="505"/>
      <c r="GJ40" s="505"/>
      <c r="GK40" s="505"/>
      <c r="GL40" s="505"/>
      <c r="GM40" s="505"/>
      <c r="GN40" s="505"/>
      <c r="GO40" s="505"/>
      <c r="GP40" s="505"/>
      <c r="GQ40" s="505"/>
      <c r="GR40" s="505"/>
      <c r="GS40" s="505"/>
      <c r="GT40" s="505"/>
      <c r="GU40" s="505"/>
      <c r="GV40" s="505"/>
      <c r="GW40" s="505"/>
      <c r="GX40" s="505"/>
      <c r="GY40" s="505"/>
      <c r="GZ40" s="505"/>
      <c r="HA40" s="505"/>
      <c r="HB40" s="505"/>
      <c r="HC40" s="505"/>
      <c r="HD40" s="505"/>
      <c r="HE40" s="505"/>
      <c r="HF40" s="505"/>
      <c r="HG40" s="505"/>
      <c r="HH40" s="505"/>
      <c r="HI40" s="505"/>
      <c r="HJ40" s="505"/>
      <c r="HK40" s="505"/>
      <c r="HL40" s="505"/>
      <c r="HM40" s="505"/>
      <c r="HN40" s="505"/>
      <c r="HO40" s="505"/>
      <c r="HP40" s="505"/>
      <c r="HQ40" s="505"/>
      <c r="HR40" s="505"/>
      <c r="HS40" s="505"/>
      <c r="HT40" s="505"/>
      <c r="HU40" s="505"/>
      <c r="HV40" s="505"/>
      <c r="HW40" s="505"/>
      <c r="HX40" s="505"/>
      <c r="HY40" s="505"/>
      <c r="HZ40" s="505"/>
      <c r="IA40" s="505"/>
      <c r="IB40" s="505"/>
      <c r="IC40" s="505"/>
    </row>
    <row r="41" spans="1:242" s="511" customFormat="1" ht="15" customHeight="1">
      <c r="A41" s="500">
        <v>37</v>
      </c>
      <c r="B41" s="500"/>
      <c r="C41" s="500" t="s">
        <v>824</v>
      </c>
      <c r="D41" s="501" t="s">
        <v>825</v>
      </c>
      <c r="E41" s="523">
        <v>45988</v>
      </c>
      <c r="F41" s="500" t="s">
        <v>759</v>
      </c>
      <c r="G41" s="500" t="s">
        <v>826</v>
      </c>
      <c r="H41" s="516" t="s">
        <v>546</v>
      </c>
      <c r="I41" s="504" t="s">
        <v>274</v>
      </c>
      <c r="J41" s="517" t="s">
        <v>888</v>
      </c>
      <c r="K41" s="504" t="s">
        <v>512</v>
      </c>
      <c r="L41" s="504"/>
      <c r="M41" s="505">
        <v>1</v>
      </c>
      <c r="N41" s="505">
        <v>0</v>
      </c>
      <c r="O41" s="505"/>
      <c r="P41" s="507" t="b">
        <v>0</v>
      </c>
      <c r="Q41" s="506">
        <f>SUM(R41:DM41)</f>
        <v>47</v>
      </c>
      <c r="R41" s="505">
        <v>1</v>
      </c>
      <c r="S41" s="505">
        <v>1</v>
      </c>
      <c r="T41" s="505">
        <v>1</v>
      </c>
      <c r="U41" s="505">
        <v>1</v>
      </c>
      <c r="V41" s="505">
        <v>1</v>
      </c>
      <c r="W41" s="505">
        <v>1</v>
      </c>
      <c r="X41" s="505">
        <v>1</v>
      </c>
      <c r="Y41" s="505">
        <v>1</v>
      </c>
      <c r="Z41" s="505">
        <v>1</v>
      </c>
      <c r="AA41" s="505">
        <v>1</v>
      </c>
      <c r="AB41" s="505">
        <v>1</v>
      </c>
      <c r="AC41" s="505">
        <v>1</v>
      </c>
      <c r="AD41" s="505">
        <v>1</v>
      </c>
      <c r="AE41" s="505">
        <v>1</v>
      </c>
      <c r="AF41" s="505">
        <v>1</v>
      </c>
      <c r="AG41" s="505">
        <v>1</v>
      </c>
      <c r="AH41" s="505">
        <v>1</v>
      </c>
      <c r="AI41" s="505">
        <v>1</v>
      </c>
      <c r="AJ41" s="505">
        <v>1</v>
      </c>
      <c r="AK41" s="505">
        <v>1</v>
      </c>
      <c r="AL41" s="505">
        <v>1</v>
      </c>
      <c r="AM41" s="505">
        <v>1</v>
      </c>
      <c r="AN41" s="505">
        <v>1</v>
      </c>
      <c r="AO41" s="505">
        <v>1</v>
      </c>
      <c r="AP41" s="505">
        <v>1</v>
      </c>
      <c r="AQ41" s="505">
        <v>1</v>
      </c>
      <c r="AR41" s="505">
        <v>1</v>
      </c>
      <c r="AS41" s="505">
        <v>1</v>
      </c>
      <c r="AT41" s="505">
        <v>1</v>
      </c>
      <c r="AU41" s="505">
        <v>1</v>
      </c>
      <c r="AV41" s="505">
        <v>1</v>
      </c>
      <c r="AW41" s="505">
        <v>1</v>
      </c>
      <c r="AX41" s="505">
        <v>1</v>
      </c>
      <c r="AY41" s="505">
        <v>1</v>
      </c>
      <c r="AZ41" s="505">
        <v>1</v>
      </c>
      <c r="BA41" s="505">
        <v>1</v>
      </c>
      <c r="BB41" s="505">
        <v>1</v>
      </c>
      <c r="BC41" s="505">
        <v>1</v>
      </c>
      <c r="BD41" s="505">
        <v>1</v>
      </c>
      <c r="BE41" s="505">
        <v>1</v>
      </c>
      <c r="BF41" s="505">
        <v>1</v>
      </c>
      <c r="BG41" s="505">
        <v>1</v>
      </c>
      <c r="BH41" s="505">
        <v>1</v>
      </c>
      <c r="BI41" s="505">
        <v>1</v>
      </c>
      <c r="BJ41" s="505">
        <v>1</v>
      </c>
      <c r="BK41" s="505">
        <v>1</v>
      </c>
      <c r="BL41" s="505">
        <v>1</v>
      </c>
      <c r="BM41" s="505"/>
      <c r="BN41" s="505"/>
      <c r="BO41" s="505"/>
      <c r="BP41" s="505"/>
      <c r="BQ41" s="505"/>
      <c r="BR41" s="505"/>
      <c r="BS41" s="505"/>
      <c r="BT41" s="505"/>
      <c r="BU41" s="505"/>
      <c r="BV41" s="505"/>
      <c r="BW41" s="505"/>
      <c r="BX41" s="505"/>
      <c r="BY41" s="505"/>
      <c r="BZ41" s="505"/>
      <c r="CA41" s="505"/>
      <c r="CB41" s="505"/>
      <c r="CC41" s="505"/>
      <c r="CD41" s="505"/>
      <c r="CE41" s="505"/>
      <c r="CF41" s="505"/>
      <c r="CG41" s="505"/>
      <c r="CH41" s="505"/>
      <c r="CI41" s="505"/>
      <c r="CJ41" s="505"/>
      <c r="CK41" s="505"/>
      <c r="CL41" s="505"/>
      <c r="CM41" s="505"/>
      <c r="CN41" s="505"/>
      <c r="CO41" s="505"/>
      <c r="CP41" s="505"/>
      <c r="CQ41" s="505"/>
      <c r="CR41" s="505"/>
      <c r="CS41" s="505"/>
      <c r="CT41" s="505"/>
      <c r="CU41" s="505"/>
      <c r="CV41" s="505"/>
      <c r="CW41" s="505"/>
      <c r="CX41" s="505"/>
      <c r="CY41" s="505"/>
      <c r="CZ41" s="505"/>
      <c r="DA41" s="505"/>
      <c r="DB41" s="505"/>
      <c r="DC41" s="505"/>
      <c r="DD41" s="505"/>
      <c r="DE41" s="505"/>
      <c r="DF41" s="505"/>
      <c r="DG41" s="505"/>
      <c r="DH41" s="505"/>
      <c r="DI41" s="505"/>
      <c r="DJ41" s="505"/>
      <c r="DK41" s="505"/>
      <c r="DL41" s="505"/>
      <c r="DM41" s="505"/>
      <c r="DN41" s="505"/>
      <c r="DO41" s="505"/>
      <c r="DP41" s="505"/>
      <c r="DQ41" s="505"/>
      <c r="DR41" s="505"/>
      <c r="DS41" s="505"/>
      <c r="DT41" s="505"/>
      <c r="DU41" s="505"/>
      <c r="DV41" s="505"/>
      <c r="DW41" s="505"/>
      <c r="DX41" s="505"/>
      <c r="DY41" s="505"/>
      <c r="DZ41" s="505"/>
      <c r="EA41" s="505"/>
      <c r="EB41" s="505"/>
      <c r="EC41" s="505"/>
      <c r="ED41" s="505"/>
      <c r="EE41" s="505"/>
      <c r="EF41" s="505"/>
      <c r="EG41" s="505"/>
      <c r="EH41" s="505"/>
      <c r="EI41" s="505"/>
      <c r="EJ41" s="505"/>
      <c r="EK41" s="505"/>
      <c r="EL41" s="505"/>
      <c r="EM41" s="505"/>
      <c r="EN41" s="505"/>
      <c r="EO41" s="505"/>
      <c r="EP41" s="505"/>
      <c r="EQ41" s="505"/>
      <c r="ER41" s="505"/>
      <c r="ES41" s="505"/>
      <c r="ET41" s="505"/>
      <c r="EU41" s="505"/>
      <c r="EV41" s="505"/>
      <c r="EW41" s="505"/>
      <c r="EX41" s="505"/>
      <c r="EY41" s="505"/>
      <c r="EZ41" s="505"/>
      <c r="FA41" s="505"/>
      <c r="FB41" s="505"/>
      <c r="FC41" s="505"/>
      <c r="FD41" s="505"/>
      <c r="FE41" s="505"/>
      <c r="FF41" s="505"/>
      <c r="FG41" s="505"/>
      <c r="FH41" s="505"/>
      <c r="FI41" s="505"/>
      <c r="FJ41" s="505"/>
      <c r="FK41" s="505"/>
      <c r="FL41" s="505"/>
      <c r="FM41" s="505"/>
      <c r="FN41" s="505"/>
      <c r="FO41" s="505"/>
      <c r="FP41" s="505"/>
      <c r="FQ41" s="505"/>
      <c r="FR41" s="505"/>
      <c r="FS41" s="505"/>
      <c r="FT41" s="505"/>
      <c r="FU41" s="505"/>
      <c r="FV41" s="505"/>
      <c r="FW41" s="505"/>
      <c r="FX41" s="505"/>
      <c r="FY41" s="505"/>
      <c r="FZ41" s="505"/>
      <c r="GA41" s="505"/>
      <c r="GB41" s="505"/>
      <c r="GC41" s="505"/>
      <c r="GD41" s="505"/>
      <c r="GE41" s="505"/>
      <c r="GF41" s="505"/>
      <c r="GG41" s="505"/>
      <c r="GH41" s="505"/>
      <c r="GI41" s="505"/>
      <c r="GJ41" s="505"/>
      <c r="GK41" s="505"/>
      <c r="GL41" s="505"/>
      <c r="GM41" s="505"/>
      <c r="GN41" s="505"/>
      <c r="GO41" s="505"/>
      <c r="GP41" s="505"/>
      <c r="GQ41" s="505"/>
      <c r="GR41" s="505"/>
      <c r="GS41" s="505"/>
      <c r="GT41" s="505"/>
      <c r="GU41" s="505"/>
      <c r="GV41" s="505"/>
      <c r="GW41" s="505"/>
      <c r="GX41" s="505"/>
      <c r="GY41" s="505"/>
      <c r="GZ41" s="505"/>
      <c r="HA41" s="505"/>
      <c r="HB41" s="505"/>
      <c r="HC41" s="505"/>
      <c r="HD41" s="505"/>
      <c r="HE41" s="505"/>
      <c r="HF41" s="505"/>
      <c r="HG41" s="505"/>
      <c r="HH41" s="505"/>
      <c r="HI41" s="505"/>
      <c r="HJ41" s="505"/>
      <c r="HK41" s="505"/>
      <c r="HL41" s="505"/>
      <c r="HM41" s="505"/>
      <c r="HN41" s="505"/>
      <c r="HO41" s="505"/>
      <c r="HP41" s="505"/>
      <c r="HQ41" s="505"/>
      <c r="HR41" s="505"/>
      <c r="HS41" s="505"/>
      <c r="HT41" s="505"/>
      <c r="HU41" s="505"/>
      <c r="HV41" s="505"/>
      <c r="HW41" s="505"/>
      <c r="HX41" s="505"/>
      <c r="HY41" s="505"/>
      <c r="HZ41" s="505"/>
      <c r="IA41" s="505"/>
      <c r="IB41" s="505"/>
      <c r="IC41" s="505"/>
    </row>
    <row r="42" spans="1:242" s="511" customFormat="1" ht="15" customHeight="1">
      <c r="A42" s="500"/>
      <c r="B42" s="500"/>
      <c r="C42" s="500"/>
      <c r="D42" s="501"/>
      <c r="E42" s="523">
        <v>45988</v>
      </c>
      <c r="F42" s="500"/>
      <c r="G42" s="500"/>
      <c r="H42" s="557" t="s">
        <v>546</v>
      </c>
      <c r="I42" s="558" t="s">
        <v>274</v>
      </c>
      <c r="J42" s="517" t="s">
        <v>891</v>
      </c>
      <c r="K42" s="504" t="s">
        <v>512</v>
      </c>
      <c r="L42" s="504">
        <v>0</v>
      </c>
      <c r="M42" s="504">
        <v>1</v>
      </c>
      <c r="N42" s="504"/>
      <c r="O42" s="560" t="b">
        <v>0</v>
      </c>
      <c r="P42" s="558">
        <v>2</v>
      </c>
      <c r="Q42" s="504">
        <v>1</v>
      </c>
      <c r="R42" s="504">
        <v>1</v>
      </c>
      <c r="S42" s="505"/>
      <c r="T42" s="505"/>
      <c r="U42" s="505"/>
      <c r="V42" s="505"/>
      <c r="W42" s="505"/>
      <c r="X42" s="505"/>
      <c r="Y42" s="505"/>
      <c r="Z42" s="505"/>
      <c r="AA42" s="505"/>
      <c r="AB42" s="505"/>
      <c r="AC42" s="505"/>
      <c r="AD42" s="505"/>
      <c r="AE42" s="505"/>
      <c r="AF42" s="505"/>
      <c r="AG42" s="505"/>
      <c r="AH42" s="505"/>
      <c r="AI42" s="505"/>
      <c r="AJ42" s="505"/>
      <c r="AK42" s="505"/>
      <c r="AL42" s="505"/>
      <c r="AM42" s="505"/>
      <c r="AN42" s="505"/>
      <c r="AO42" s="505"/>
      <c r="AP42" s="505"/>
      <c r="AQ42" s="505"/>
      <c r="AR42" s="505"/>
      <c r="AS42" s="505"/>
      <c r="AT42" s="505"/>
      <c r="AU42" s="505"/>
      <c r="AV42" s="505"/>
      <c r="AW42" s="505"/>
      <c r="AX42" s="505"/>
      <c r="AY42" s="505"/>
      <c r="AZ42" s="505"/>
      <c r="BA42" s="505"/>
      <c r="BB42" s="505"/>
      <c r="BC42" s="505"/>
      <c r="BD42" s="505"/>
      <c r="BE42" s="505"/>
      <c r="BF42" s="505"/>
      <c r="BG42" s="505"/>
      <c r="BH42" s="505"/>
      <c r="BI42" s="505"/>
      <c r="BJ42" s="505"/>
      <c r="BK42" s="505"/>
      <c r="BL42" s="505"/>
      <c r="BM42" s="505"/>
      <c r="BN42" s="505"/>
      <c r="BO42" s="505"/>
      <c r="BP42" s="505"/>
      <c r="BQ42" s="505"/>
      <c r="BR42" s="505"/>
      <c r="BS42" s="505"/>
      <c r="BT42" s="505"/>
      <c r="BU42" s="505"/>
      <c r="BV42" s="505"/>
      <c r="BW42" s="505"/>
      <c r="BX42" s="505"/>
      <c r="BY42" s="505"/>
      <c r="BZ42" s="505"/>
      <c r="CA42" s="505"/>
      <c r="CB42" s="505"/>
      <c r="CC42" s="505"/>
      <c r="CD42" s="505"/>
      <c r="CE42" s="505"/>
      <c r="CF42" s="505"/>
      <c r="CG42" s="505"/>
      <c r="CH42" s="505"/>
      <c r="CI42" s="505"/>
      <c r="CJ42" s="505"/>
      <c r="CK42" s="505"/>
      <c r="CL42" s="505"/>
      <c r="CM42" s="505"/>
      <c r="CN42" s="505"/>
      <c r="CO42" s="505"/>
      <c r="CP42" s="505"/>
      <c r="CQ42" s="505"/>
      <c r="CR42" s="505"/>
      <c r="CS42" s="505"/>
      <c r="CT42" s="505"/>
      <c r="CU42" s="505"/>
      <c r="CV42" s="505"/>
      <c r="CW42" s="505"/>
      <c r="CX42" s="505"/>
      <c r="CY42" s="505"/>
      <c r="CZ42" s="505"/>
      <c r="DA42" s="505"/>
      <c r="DB42" s="505"/>
      <c r="DC42" s="505"/>
      <c r="DD42" s="505"/>
      <c r="DE42" s="505"/>
      <c r="DF42" s="505"/>
      <c r="DG42" s="505"/>
      <c r="DH42" s="505"/>
      <c r="DI42" s="505"/>
      <c r="DJ42" s="505"/>
      <c r="DK42" s="505"/>
      <c r="DL42" s="505"/>
      <c r="DM42" s="505"/>
      <c r="DN42" s="505"/>
      <c r="DO42" s="505"/>
      <c r="DP42" s="505"/>
      <c r="DQ42" s="505"/>
      <c r="DR42" s="505"/>
      <c r="DS42" s="505"/>
      <c r="DT42" s="505"/>
      <c r="DU42" s="505"/>
      <c r="DV42" s="505"/>
      <c r="DW42" s="505"/>
      <c r="DX42" s="505"/>
      <c r="DY42" s="505"/>
      <c r="DZ42" s="505"/>
      <c r="EA42" s="505"/>
      <c r="EB42" s="505"/>
      <c r="EC42" s="505"/>
      <c r="ED42" s="505"/>
      <c r="EE42" s="505"/>
      <c r="EF42" s="505"/>
      <c r="EG42" s="505"/>
      <c r="EH42" s="505"/>
      <c r="EI42" s="505"/>
      <c r="EJ42" s="505"/>
      <c r="EK42" s="505"/>
      <c r="EL42" s="505"/>
      <c r="EM42" s="505"/>
      <c r="EN42" s="505"/>
      <c r="EO42" s="505"/>
      <c r="EP42" s="505"/>
      <c r="EQ42" s="505"/>
      <c r="ER42" s="505"/>
      <c r="ES42" s="505"/>
      <c r="ET42" s="505"/>
      <c r="EU42" s="505"/>
      <c r="EV42" s="505"/>
      <c r="EW42" s="505"/>
      <c r="EX42" s="505"/>
      <c r="EY42" s="505"/>
      <c r="EZ42" s="505"/>
      <c r="FA42" s="505"/>
      <c r="FB42" s="505"/>
      <c r="FC42" s="505"/>
      <c r="FD42" s="505"/>
      <c r="FE42" s="505"/>
      <c r="FF42" s="505"/>
      <c r="FG42" s="505"/>
      <c r="FH42" s="505"/>
      <c r="FI42" s="505"/>
      <c r="FJ42" s="505"/>
      <c r="FK42" s="505"/>
      <c r="FL42" s="505"/>
      <c r="FM42" s="505"/>
      <c r="FN42" s="505"/>
      <c r="FO42" s="505"/>
      <c r="FP42" s="505"/>
      <c r="FQ42" s="505"/>
      <c r="FR42" s="505"/>
      <c r="FS42" s="505"/>
      <c r="FT42" s="505"/>
      <c r="FU42" s="505"/>
      <c r="FV42" s="505"/>
      <c r="FW42" s="505"/>
      <c r="FX42" s="505"/>
      <c r="FY42" s="505"/>
      <c r="FZ42" s="505"/>
      <c r="GA42" s="505"/>
      <c r="GB42" s="505"/>
      <c r="GC42" s="505"/>
      <c r="GD42" s="505"/>
      <c r="GE42" s="505"/>
      <c r="GF42" s="505"/>
      <c r="GG42" s="505"/>
      <c r="GH42" s="505"/>
      <c r="GI42" s="505"/>
      <c r="GJ42" s="505"/>
      <c r="GK42" s="505"/>
      <c r="GL42" s="505"/>
      <c r="GM42" s="505"/>
      <c r="GN42" s="505"/>
      <c r="GO42" s="505"/>
      <c r="GP42" s="505"/>
      <c r="GQ42" s="505"/>
      <c r="GR42" s="505"/>
      <c r="GS42" s="505"/>
      <c r="GT42" s="505"/>
      <c r="GU42" s="505"/>
      <c r="GV42" s="505"/>
      <c r="GW42" s="505"/>
      <c r="GX42" s="505"/>
      <c r="GY42" s="505"/>
      <c r="GZ42" s="505"/>
      <c r="HA42" s="505"/>
      <c r="HB42" s="505"/>
      <c r="HC42" s="505"/>
      <c r="HD42" s="505"/>
      <c r="HE42" s="505"/>
      <c r="HF42" s="505"/>
      <c r="HG42" s="505"/>
      <c r="HH42" s="505"/>
      <c r="HI42" s="505"/>
      <c r="HJ42" s="505"/>
      <c r="HK42" s="505"/>
      <c r="HL42" s="505"/>
      <c r="HM42" s="505"/>
      <c r="HN42" s="505"/>
      <c r="HO42" s="505"/>
      <c r="HP42" s="505"/>
      <c r="HQ42" s="505"/>
      <c r="HR42" s="505"/>
      <c r="HS42" s="505"/>
      <c r="HT42" s="505"/>
      <c r="HU42" s="505"/>
      <c r="HV42" s="505"/>
      <c r="HW42" s="505"/>
      <c r="HX42" s="505"/>
      <c r="HY42" s="505"/>
      <c r="HZ42" s="505"/>
      <c r="IA42" s="505"/>
      <c r="IB42" s="505"/>
      <c r="IC42" s="505"/>
    </row>
    <row r="43" spans="1:242" s="511" customFormat="1" ht="15" customHeight="1">
      <c r="A43" s="500"/>
      <c r="B43" s="500"/>
      <c r="C43" s="500"/>
      <c r="D43" s="501"/>
      <c r="E43" s="523">
        <v>45988</v>
      </c>
      <c r="F43" s="500"/>
      <c r="G43" s="500"/>
      <c r="H43" s="557" t="s">
        <v>546</v>
      </c>
      <c r="I43" s="558" t="s">
        <v>274</v>
      </c>
      <c r="J43" s="517" t="s">
        <v>892</v>
      </c>
      <c r="K43" s="504" t="s">
        <v>512</v>
      </c>
      <c r="L43" s="504">
        <v>0</v>
      </c>
      <c r="M43" s="504">
        <v>1</v>
      </c>
      <c r="N43" s="504"/>
      <c r="O43" s="560" t="b">
        <v>0</v>
      </c>
      <c r="P43" s="558">
        <v>2</v>
      </c>
      <c r="Q43" s="504">
        <v>1</v>
      </c>
      <c r="R43" s="504">
        <v>1</v>
      </c>
      <c r="S43" s="505"/>
      <c r="T43" s="505"/>
      <c r="U43" s="505"/>
      <c r="V43" s="505"/>
      <c r="W43" s="505"/>
      <c r="X43" s="505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505"/>
      <c r="AJ43" s="505"/>
      <c r="AK43" s="505"/>
      <c r="AL43" s="505"/>
      <c r="AM43" s="505"/>
      <c r="AN43" s="505"/>
      <c r="AO43" s="505"/>
      <c r="AP43" s="505"/>
      <c r="AQ43" s="505"/>
      <c r="AR43" s="505"/>
      <c r="AS43" s="505"/>
      <c r="AT43" s="505"/>
      <c r="AU43" s="505"/>
      <c r="AV43" s="505"/>
      <c r="AW43" s="505"/>
      <c r="AX43" s="505"/>
      <c r="AY43" s="505"/>
      <c r="AZ43" s="505"/>
      <c r="BA43" s="505"/>
      <c r="BB43" s="505"/>
      <c r="BC43" s="505"/>
      <c r="BD43" s="505"/>
      <c r="BE43" s="505"/>
      <c r="BF43" s="505"/>
      <c r="BG43" s="505"/>
      <c r="BH43" s="505"/>
      <c r="BI43" s="505"/>
      <c r="BJ43" s="505"/>
      <c r="BK43" s="505"/>
      <c r="BL43" s="505"/>
      <c r="BM43" s="505"/>
      <c r="BN43" s="505"/>
      <c r="BO43" s="505"/>
      <c r="BP43" s="505"/>
      <c r="BQ43" s="505"/>
      <c r="BR43" s="505"/>
      <c r="BS43" s="505"/>
      <c r="BT43" s="505"/>
      <c r="BU43" s="505"/>
      <c r="BV43" s="505"/>
      <c r="BW43" s="505"/>
      <c r="BX43" s="505"/>
      <c r="BY43" s="505"/>
      <c r="BZ43" s="505"/>
      <c r="CA43" s="505"/>
      <c r="CB43" s="505"/>
      <c r="CC43" s="505"/>
      <c r="CD43" s="505"/>
      <c r="CE43" s="505"/>
      <c r="CF43" s="505"/>
      <c r="CG43" s="505"/>
      <c r="CH43" s="505"/>
      <c r="CI43" s="505"/>
      <c r="CJ43" s="505"/>
      <c r="CK43" s="505"/>
      <c r="CL43" s="505"/>
      <c r="CM43" s="505"/>
      <c r="CN43" s="505"/>
      <c r="CO43" s="505"/>
      <c r="CP43" s="505"/>
      <c r="CQ43" s="505"/>
      <c r="CR43" s="505"/>
      <c r="CS43" s="505"/>
      <c r="CT43" s="505"/>
      <c r="CU43" s="505"/>
      <c r="CV43" s="505"/>
      <c r="CW43" s="505"/>
      <c r="CX43" s="505"/>
      <c r="CY43" s="505"/>
      <c r="CZ43" s="505"/>
      <c r="DA43" s="505"/>
      <c r="DB43" s="505"/>
      <c r="DC43" s="505"/>
      <c r="DD43" s="505"/>
      <c r="DE43" s="505"/>
      <c r="DF43" s="505"/>
      <c r="DG43" s="505"/>
      <c r="DH43" s="505"/>
      <c r="DI43" s="505"/>
      <c r="DJ43" s="505"/>
      <c r="DK43" s="505"/>
      <c r="DL43" s="505"/>
      <c r="DM43" s="505"/>
      <c r="DN43" s="505"/>
      <c r="DO43" s="505"/>
      <c r="DP43" s="505"/>
      <c r="DQ43" s="505"/>
      <c r="DR43" s="505"/>
      <c r="DS43" s="505"/>
      <c r="DT43" s="505"/>
      <c r="DU43" s="505"/>
      <c r="DV43" s="505"/>
      <c r="DW43" s="505"/>
      <c r="DX43" s="505"/>
      <c r="DY43" s="505"/>
      <c r="DZ43" s="505"/>
      <c r="EA43" s="505"/>
      <c r="EB43" s="505"/>
      <c r="EC43" s="505"/>
      <c r="ED43" s="505"/>
      <c r="EE43" s="505"/>
      <c r="EF43" s="505"/>
      <c r="EG43" s="505"/>
      <c r="EH43" s="505"/>
      <c r="EI43" s="505"/>
      <c r="EJ43" s="505"/>
      <c r="EK43" s="505"/>
      <c r="EL43" s="505"/>
      <c r="EM43" s="505"/>
      <c r="EN43" s="505"/>
      <c r="EO43" s="505"/>
      <c r="EP43" s="505"/>
      <c r="EQ43" s="505"/>
      <c r="ER43" s="505"/>
      <c r="ES43" s="505"/>
      <c r="ET43" s="505"/>
      <c r="EU43" s="505"/>
      <c r="EV43" s="505"/>
      <c r="EW43" s="505"/>
      <c r="EX43" s="505"/>
      <c r="EY43" s="505"/>
      <c r="EZ43" s="505"/>
      <c r="FA43" s="505"/>
      <c r="FB43" s="505"/>
      <c r="FC43" s="505"/>
      <c r="FD43" s="505"/>
      <c r="FE43" s="505"/>
      <c r="FF43" s="505"/>
      <c r="FG43" s="505"/>
      <c r="FH43" s="505"/>
      <c r="FI43" s="505"/>
      <c r="FJ43" s="505"/>
      <c r="FK43" s="505"/>
      <c r="FL43" s="505"/>
      <c r="FM43" s="505"/>
      <c r="FN43" s="505"/>
      <c r="FO43" s="505"/>
      <c r="FP43" s="505"/>
      <c r="FQ43" s="505"/>
      <c r="FR43" s="505"/>
      <c r="FS43" s="505"/>
      <c r="FT43" s="505"/>
      <c r="FU43" s="505"/>
      <c r="FV43" s="505"/>
      <c r="FW43" s="505"/>
      <c r="FX43" s="505"/>
      <c r="FY43" s="505"/>
      <c r="FZ43" s="505"/>
      <c r="GA43" s="505"/>
      <c r="GB43" s="505"/>
      <c r="GC43" s="505"/>
      <c r="GD43" s="505"/>
      <c r="GE43" s="505"/>
      <c r="GF43" s="505"/>
      <c r="GG43" s="505"/>
      <c r="GH43" s="505"/>
      <c r="GI43" s="505"/>
      <c r="GJ43" s="505"/>
      <c r="GK43" s="505"/>
      <c r="GL43" s="505"/>
      <c r="GM43" s="505"/>
      <c r="GN43" s="505"/>
      <c r="GO43" s="505"/>
      <c r="GP43" s="505"/>
      <c r="GQ43" s="505"/>
      <c r="GR43" s="505"/>
      <c r="GS43" s="505"/>
      <c r="GT43" s="505"/>
      <c r="GU43" s="505"/>
      <c r="GV43" s="505"/>
      <c r="GW43" s="505"/>
      <c r="GX43" s="505"/>
      <c r="GY43" s="505"/>
      <c r="GZ43" s="505"/>
      <c r="HA43" s="505"/>
      <c r="HB43" s="505"/>
      <c r="HC43" s="505"/>
      <c r="HD43" s="505"/>
      <c r="HE43" s="505"/>
      <c r="HF43" s="505"/>
      <c r="HG43" s="505"/>
      <c r="HH43" s="505"/>
      <c r="HI43" s="505"/>
      <c r="HJ43" s="505"/>
      <c r="HK43" s="505"/>
      <c r="HL43" s="505"/>
      <c r="HM43" s="505"/>
      <c r="HN43" s="505"/>
      <c r="HO43" s="505"/>
      <c r="HP43" s="505"/>
      <c r="HQ43" s="505"/>
      <c r="HR43" s="505"/>
      <c r="HS43" s="505"/>
      <c r="HT43" s="505"/>
      <c r="HU43" s="505"/>
      <c r="HV43" s="505"/>
      <c r="HW43" s="505"/>
      <c r="HX43" s="505"/>
      <c r="HY43" s="505"/>
      <c r="HZ43" s="505"/>
      <c r="IA43" s="505"/>
      <c r="IB43" s="505"/>
      <c r="IC43" s="505"/>
    </row>
    <row r="44" spans="1:242" s="511" customFormat="1" ht="15" customHeight="1">
      <c r="A44" s="500"/>
      <c r="B44" s="500"/>
      <c r="C44" s="500"/>
      <c r="D44" s="501"/>
      <c r="E44" s="523">
        <v>45988</v>
      </c>
      <c r="F44" s="500"/>
      <c r="G44" s="500"/>
      <c r="H44" s="557" t="s">
        <v>546</v>
      </c>
      <c r="I44" s="558" t="s">
        <v>274</v>
      </c>
      <c r="J44" s="517" t="s">
        <v>893</v>
      </c>
      <c r="K44" s="504" t="s">
        <v>512</v>
      </c>
      <c r="L44" s="504">
        <v>0</v>
      </c>
      <c r="M44" s="504">
        <v>1</v>
      </c>
      <c r="N44" s="504"/>
      <c r="O44" s="560" t="b">
        <v>0</v>
      </c>
      <c r="P44" s="558">
        <v>2</v>
      </c>
      <c r="Q44" s="504">
        <v>1</v>
      </c>
      <c r="R44" s="504">
        <v>1</v>
      </c>
      <c r="S44" s="505"/>
      <c r="T44" s="505"/>
      <c r="U44" s="505"/>
      <c r="V44" s="505"/>
      <c r="W44" s="505"/>
      <c r="X44" s="505"/>
      <c r="Y44" s="505"/>
      <c r="Z44" s="505"/>
      <c r="AA44" s="505"/>
      <c r="AB44" s="505"/>
      <c r="AC44" s="505"/>
      <c r="AD44" s="505"/>
      <c r="AE44" s="505"/>
      <c r="AF44" s="505"/>
      <c r="AG44" s="505"/>
      <c r="AH44" s="505"/>
      <c r="AI44" s="505"/>
      <c r="AJ44" s="505"/>
      <c r="AK44" s="505"/>
      <c r="AL44" s="505"/>
      <c r="AM44" s="505"/>
      <c r="AN44" s="505"/>
      <c r="AO44" s="505"/>
      <c r="AP44" s="505"/>
      <c r="AQ44" s="505"/>
      <c r="AR44" s="505"/>
      <c r="AS44" s="505"/>
      <c r="AT44" s="505"/>
      <c r="AU44" s="505"/>
      <c r="AV44" s="505"/>
      <c r="AW44" s="505"/>
      <c r="AX44" s="505"/>
      <c r="AY44" s="505"/>
      <c r="AZ44" s="505"/>
      <c r="BA44" s="505"/>
      <c r="BB44" s="505"/>
      <c r="BC44" s="505"/>
      <c r="BD44" s="505"/>
      <c r="BE44" s="505"/>
      <c r="BF44" s="505"/>
      <c r="BG44" s="505"/>
      <c r="BH44" s="505"/>
      <c r="BI44" s="505"/>
      <c r="BJ44" s="505"/>
      <c r="BK44" s="505"/>
      <c r="BL44" s="505"/>
      <c r="BM44" s="505"/>
      <c r="BN44" s="505"/>
      <c r="BO44" s="505"/>
      <c r="BP44" s="505"/>
      <c r="BQ44" s="505"/>
      <c r="BR44" s="505"/>
      <c r="BS44" s="505"/>
      <c r="BT44" s="505"/>
      <c r="BU44" s="505"/>
      <c r="BV44" s="505"/>
      <c r="BW44" s="505"/>
      <c r="BX44" s="505"/>
      <c r="BY44" s="505"/>
      <c r="BZ44" s="505"/>
      <c r="CA44" s="505"/>
      <c r="CB44" s="505"/>
      <c r="CC44" s="505"/>
      <c r="CD44" s="505"/>
      <c r="CE44" s="505"/>
      <c r="CF44" s="505"/>
      <c r="CG44" s="505"/>
      <c r="CH44" s="505"/>
      <c r="CI44" s="505"/>
      <c r="CJ44" s="505"/>
      <c r="CK44" s="505"/>
      <c r="CL44" s="505"/>
      <c r="CM44" s="505"/>
      <c r="CN44" s="505"/>
      <c r="CO44" s="505"/>
      <c r="CP44" s="505"/>
      <c r="CQ44" s="505"/>
      <c r="CR44" s="505"/>
      <c r="CS44" s="505"/>
      <c r="CT44" s="505"/>
      <c r="CU44" s="505"/>
      <c r="CV44" s="505"/>
      <c r="CW44" s="505"/>
      <c r="CX44" s="505"/>
      <c r="CY44" s="505"/>
      <c r="CZ44" s="505"/>
      <c r="DA44" s="505"/>
      <c r="DB44" s="505"/>
      <c r="DC44" s="505"/>
      <c r="DD44" s="505"/>
      <c r="DE44" s="505"/>
      <c r="DF44" s="505"/>
      <c r="DG44" s="505"/>
      <c r="DH44" s="505"/>
      <c r="DI44" s="505"/>
      <c r="DJ44" s="505"/>
      <c r="DK44" s="505"/>
      <c r="DL44" s="505"/>
      <c r="DM44" s="505"/>
      <c r="DN44" s="505"/>
      <c r="DO44" s="505"/>
      <c r="DP44" s="505"/>
      <c r="DQ44" s="505"/>
      <c r="DR44" s="505"/>
      <c r="DS44" s="505"/>
      <c r="DT44" s="505"/>
      <c r="DU44" s="505"/>
      <c r="DV44" s="505"/>
      <c r="DW44" s="505"/>
      <c r="DX44" s="505"/>
      <c r="DY44" s="505"/>
      <c r="DZ44" s="505"/>
      <c r="EA44" s="505"/>
      <c r="EB44" s="505"/>
      <c r="EC44" s="505"/>
      <c r="ED44" s="505"/>
      <c r="EE44" s="505"/>
      <c r="EF44" s="505"/>
      <c r="EG44" s="505"/>
      <c r="EH44" s="505"/>
      <c r="EI44" s="505"/>
      <c r="EJ44" s="505"/>
      <c r="EK44" s="505"/>
      <c r="EL44" s="505"/>
      <c r="EM44" s="505"/>
      <c r="EN44" s="505"/>
      <c r="EO44" s="505"/>
      <c r="EP44" s="505"/>
      <c r="EQ44" s="505"/>
      <c r="ER44" s="505"/>
      <c r="ES44" s="505"/>
      <c r="ET44" s="505"/>
      <c r="EU44" s="505"/>
      <c r="EV44" s="505"/>
      <c r="EW44" s="505"/>
      <c r="EX44" s="505"/>
      <c r="EY44" s="505"/>
      <c r="EZ44" s="505"/>
      <c r="FA44" s="505"/>
      <c r="FB44" s="505"/>
      <c r="FC44" s="505"/>
      <c r="FD44" s="505"/>
      <c r="FE44" s="505"/>
      <c r="FF44" s="505"/>
      <c r="FG44" s="505"/>
      <c r="FH44" s="505"/>
      <c r="FI44" s="505"/>
      <c r="FJ44" s="505"/>
      <c r="FK44" s="505"/>
      <c r="FL44" s="505"/>
      <c r="FM44" s="505"/>
      <c r="FN44" s="505"/>
      <c r="FO44" s="505"/>
      <c r="FP44" s="505"/>
      <c r="FQ44" s="505"/>
      <c r="FR44" s="505"/>
      <c r="FS44" s="505"/>
      <c r="FT44" s="505"/>
      <c r="FU44" s="505"/>
      <c r="FV44" s="505"/>
      <c r="FW44" s="505"/>
      <c r="FX44" s="505"/>
      <c r="FY44" s="505"/>
      <c r="FZ44" s="505"/>
      <c r="GA44" s="505"/>
      <c r="GB44" s="505"/>
      <c r="GC44" s="505"/>
      <c r="GD44" s="505"/>
      <c r="GE44" s="505"/>
      <c r="GF44" s="505"/>
      <c r="GG44" s="505"/>
      <c r="GH44" s="505"/>
      <c r="GI44" s="505"/>
      <c r="GJ44" s="505"/>
      <c r="GK44" s="505"/>
      <c r="GL44" s="505"/>
      <c r="GM44" s="505"/>
      <c r="GN44" s="505"/>
      <c r="GO44" s="505"/>
      <c r="GP44" s="505"/>
      <c r="GQ44" s="505"/>
      <c r="GR44" s="505"/>
      <c r="GS44" s="505"/>
      <c r="GT44" s="505"/>
      <c r="GU44" s="505"/>
      <c r="GV44" s="505"/>
      <c r="GW44" s="505"/>
      <c r="GX44" s="505"/>
      <c r="GY44" s="505"/>
      <c r="GZ44" s="505"/>
      <c r="HA44" s="505"/>
      <c r="HB44" s="505"/>
      <c r="HC44" s="505"/>
      <c r="HD44" s="505"/>
      <c r="HE44" s="505"/>
      <c r="HF44" s="505"/>
      <c r="HG44" s="505"/>
      <c r="HH44" s="505"/>
      <c r="HI44" s="505"/>
      <c r="HJ44" s="505"/>
      <c r="HK44" s="505"/>
      <c r="HL44" s="505"/>
      <c r="HM44" s="505"/>
      <c r="HN44" s="505"/>
      <c r="HO44" s="505"/>
      <c r="HP44" s="505"/>
      <c r="HQ44" s="505"/>
      <c r="HR44" s="505"/>
      <c r="HS44" s="505"/>
      <c r="HT44" s="505"/>
      <c r="HU44" s="505"/>
      <c r="HV44" s="505"/>
      <c r="HW44" s="505"/>
      <c r="HX44" s="505"/>
      <c r="HY44" s="505"/>
      <c r="HZ44" s="505"/>
      <c r="IA44" s="505"/>
      <c r="IB44" s="505"/>
      <c r="IC44" s="505"/>
    </row>
    <row r="45" spans="1:242" s="511" customFormat="1" ht="15" customHeight="1">
      <c r="A45" s="500"/>
      <c r="B45" s="500"/>
      <c r="C45" s="500"/>
      <c r="D45" s="501"/>
      <c r="E45" s="523">
        <v>45988</v>
      </c>
      <c r="F45" s="500"/>
      <c r="G45" s="500"/>
      <c r="H45" s="557" t="s">
        <v>546</v>
      </c>
      <c r="I45" s="558" t="s">
        <v>274</v>
      </c>
      <c r="J45" s="517" t="s">
        <v>894</v>
      </c>
      <c r="K45" s="504" t="s">
        <v>512</v>
      </c>
      <c r="L45" s="504">
        <v>0</v>
      </c>
      <c r="M45" s="504">
        <v>1</v>
      </c>
      <c r="N45" s="504"/>
      <c r="O45" s="560" t="b">
        <v>0</v>
      </c>
      <c r="P45" s="558">
        <v>2</v>
      </c>
      <c r="Q45" s="504">
        <v>1</v>
      </c>
      <c r="R45" s="504">
        <v>1</v>
      </c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5"/>
      <c r="AD45" s="505"/>
      <c r="AE45" s="505"/>
      <c r="AF45" s="505"/>
      <c r="AG45" s="505"/>
      <c r="AH45" s="505"/>
      <c r="AI45" s="505"/>
      <c r="AJ45" s="505"/>
      <c r="AK45" s="505"/>
      <c r="AL45" s="505"/>
      <c r="AM45" s="505"/>
      <c r="AN45" s="505"/>
      <c r="AO45" s="505"/>
      <c r="AP45" s="505"/>
      <c r="AQ45" s="505"/>
      <c r="AR45" s="505"/>
      <c r="AS45" s="505"/>
      <c r="AT45" s="505"/>
      <c r="AU45" s="505"/>
      <c r="AV45" s="505"/>
      <c r="AW45" s="505"/>
      <c r="AX45" s="505"/>
      <c r="AY45" s="505"/>
      <c r="AZ45" s="505"/>
      <c r="BA45" s="505"/>
      <c r="BB45" s="505"/>
      <c r="BC45" s="505"/>
      <c r="BD45" s="505"/>
      <c r="BE45" s="505"/>
      <c r="BF45" s="505"/>
      <c r="BG45" s="505"/>
      <c r="BH45" s="505"/>
      <c r="BI45" s="505"/>
      <c r="BJ45" s="505"/>
      <c r="BK45" s="505"/>
      <c r="BL45" s="505"/>
      <c r="BM45" s="505"/>
      <c r="BN45" s="505"/>
      <c r="BO45" s="505"/>
      <c r="BP45" s="505"/>
      <c r="BQ45" s="505"/>
      <c r="BR45" s="505"/>
      <c r="BS45" s="505"/>
      <c r="BT45" s="505"/>
      <c r="BU45" s="505"/>
      <c r="BV45" s="505"/>
      <c r="BW45" s="505"/>
      <c r="BX45" s="505"/>
      <c r="BY45" s="505"/>
      <c r="BZ45" s="505"/>
      <c r="CA45" s="505"/>
      <c r="CB45" s="505"/>
      <c r="CC45" s="505"/>
      <c r="CD45" s="505"/>
      <c r="CE45" s="505"/>
      <c r="CF45" s="505"/>
      <c r="CG45" s="505"/>
      <c r="CH45" s="505"/>
      <c r="CI45" s="505"/>
      <c r="CJ45" s="505"/>
      <c r="CK45" s="505"/>
      <c r="CL45" s="505"/>
      <c r="CM45" s="505"/>
      <c r="CN45" s="505"/>
      <c r="CO45" s="505"/>
      <c r="CP45" s="505"/>
      <c r="CQ45" s="505"/>
      <c r="CR45" s="505"/>
      <c r="CS45" s="505"/>
      <c r="CT45" s="505"/>
      <c r="CU45" s="505"/>
      <c r="CV45" s="505"/>
      <c r="CW45" s="505"/>
      <c r="CX45" s="505"/>
      <c r="CY45" s="505"/>
      <c r="CZ45" s="505"/>
      <c r="DA45" s="505"/>
      <c r="DB45" s="505"/>
      <c r="DC45" s="505"/>
      <c r="DD45" s="505"/>
      <c r="DE45" s="505"/>
      <c r="DF45" s="505"/>
      <c r="DG45" s="505"/>
      <c r="DH45" s="505"/>
      <c r="DI45" s="505"/>
      <c r="DJ45" s="505"/>
      <c r="DK45" s="505"/>
      <c r="DL45" s="505"/>
      <c r="DM45" s="505"/>
      <c r="DN45" s="505"/>
      <c r="DO45" s="505"/>
      <c r="DP45" s="505"/>
      <c r="DQ45" s="505"/>
      <c r="DR45" s="505"/>
      <c r="DS45" s="505"/>
      <c r="DT45" s="505"/>
      <c r="DU45" s="505"/>
      <c r="DV45" s="505"/>
      <c r="DW45" s="505"/>
      <c r="DX45" s="505"/>
      <c r="DY45" s="505"/>
      <c r="DZ45" s="505"/>
      <c r="EA45" s="505"/>
      <c r="EB45" s="505"/>
      <c r="EC45" s="505"/>
      <c r="ED45" s="505"/>
      <c r="EE45" s="505"/>
      <c r="EF45" s="505"/>
      <c r="EG45" s="505"/>
      <c r="EH45" s="505"/>
      <c r="EI45" s="505"/>
      <c r="EJ45" s="505"/>
      <c r="EK45" s="505"/>
      <c r="EL45" s="505"/>
      <c r="EM45" s="505"/>
      <c r="EN45" s="505"/>
      <c r="EO45" s="505"/>
      <c r="EP45" s="505"/>
      <c r="EQ45" s="505"/>
      <c r="ER45" s="505"/>
      <c r="ES45" s="505"/>
      <c r="ET45" s="505"/>
      <c r="EU45" s="505"/>
      <c r="EV45" s="505"/>
      <c r="EW45" s="505"/>
      <c r="EX45" s="505"/>
      <c r="EY45" s="505"/>
      <c r="EZ45" s="505"/>
      <c r="FA45" s="505"/>
      <c r="FB45" s="505"/>
      <c r="FC45" s="505"/>
      <c r="FD45" s="505"/>
      <c r="FE45" s="505"/>
      <c r="FF45" s="505"/>
      <c r="FG45" s="505"/>
      <c r="FH45" s="505"/>
      <c r="FI45" s="505"/>
      <c r="FJ45" s="505"/>
      <c r="FK45" s="505"/>
      <c r="FL45" s="505"/>
      <c r="FM45" s="505"/>
      <c r="FN45" s="505"/>
      <c r="FO45" s="505"/>
      <c r="FP45" s="505"/>
      <c r="FQ45" s="505"/>
      <c r="FR45" s="505"/>
      <c r="FS45" s="505"/>
      <c r="FT45" s="505"/>
      <c r="FU45" s="505"/>
      <c r="FV45" s="505"/>
      <c r="FW45" s="505"/>
      <c r="FX45" s="505"/>
      <c r="FY45" s="505"/>
      <c r="FZ45" s="505"/>
      <c r="GA45" s="505"/>
      <c r="GB45" s="505"/>
      <c r="GC45" s="505"/>
      <c r="GD45" s="505"/>
      <c r="GE45" s="505"/>
      <c r="GF45" s="505"/>
      <c r="GG45" s="505"/>
      <c r="GH45" s="505"/>
      <c r="GI45" s="505"/>
      <c r="GJ45" s="505"/>
      <c r="GK45" s="505"/>
      <c r="GL45" s="505"/>
      <c r="GM45" s="505"/>
      <c r="GN45" s="505"/>
      <c r="GO45" s="505"/>
      <c r="GP45" s="505"/>
      <c r="GQ45" s="505"/>
      <c r="GR45" s="505"/>
      <c r="GS45" s="505"/>
      <c r="GT45" s="505"/>
      <c r="GU45" s="505"/>
      <c r="GV45" s="505"/>
      <c r="GW45" s="505"/>
      <c r="GX45" s="505"/>
      <c r="GY45" s="505"/>
      <c r="GZ45" s="505"/>
      <c r="HA45" s="505"/>
      <c r="HB45" s="505"/>
      <c r="HC45" s="505"/>
      <c r="HD45" s="505"/>
      <c r="HE45" s="505"/>
      <c r="HF45" s="505"/>
      <c r="HG45" s="505"/>
      <c r="HH45" s="505"/>
      <c r="HI45" s="505"/>
      <c r="HJ45" s="505"/>
      <c r="HK45" s="505"/>
      <c r="HL45" s="505"/>
      <c r="HM45" s="505"/>
      <c r="HN45" s="505"/>
      <c r="HO45" s="505"/>
      <c r="HP45" s="505"/>
      <c r="HQ45" s="505"/>
      <c r="HR45" s="505"/>
      <c r="HS45" s="505"/>
      <c r="HT45" s="505"/>
      <c r="HU45" s="505"/>
      <c r="HV45" s="505"/>
      <c r="HW45" s="505"/>
      <c r="HX45" s="505"/>
      <c r="HY45" s="505"/>
      <c r="HZ45" s="505"/>
      <c r="IA45" s="505"/>
      <c r="IB45" s="505"/>
      <c r="IC45" s="505"/>
    </row>
    <row r="46" spans="1:242" s="499" customFormat="1" ht="15" customHeight="1">
      <c r="A46" s="487">
        <v>38</v>
      </c>
      <c r="B46" s="487" t="s">
        <v>827</v>
      </c>
      <c r="C46" s="487" t="s">
        <v>824</v>
      </c>
      <c r="D46" s="488" t="s">
        <v>825</v>
      </c>
      <c r="E46" s="522">
        <v>45988</v>
      </c>
      <c r="F46" s="487" t="s">
        <v>759</v>
      </c>
      <c r="G46" s="487" t="s">
        <v>826</v>
      </c>
      <c r="H46" s="490" t="s">
        <v>546</v>
      </c>
      <c r="I46" s="491" t="s">
        <v>274</v>
      </c>
      <c r="J46" s="513" t="s">
        <v>692</v>
      </c>
      <c r="K46" s="491" t="s">
        <v>398</v>
      </c>
      <c r="L46" s="491" t="s">
        <v>771</v>
      </c>
      <c r="M46" s="491">
        <v>1</v>
      </c>
      <c r="N46" s="491">
        <v>0</v>
      </c>
      <c r="O46" s="494" t="s">
        <v>695</v>
      </c>
      <c r="P46" s="514" t="b">
        <v>1</v>
      </c>
      <c r="Q46" s="493">
        <f>SUM(R46:GO46)</f>
        <v>149</v>
      </c>
      <c r="R46" s="491">
        <v>1</v>
      </c>
      <c r="S46" s="491">
        <v>1</v>
      </c>
      <c r="T46" s="491">
        <v>1</v>
      </c>
      <c r="U46" s="491">
        <v>1</v>
      </c>
      <c r="V46" s="491">
        <v>1</v>
      </c>
      <c r="W46" s="491">
        <v>1</v>
      </c>
      <c r="X46" s="491">
        <v>1</v>
      </c>
      <c r="Y46" s="491">
        <v>1</v>
      </c>
      <c r="Z46" s="491">
        <v>1</v>
      </c>
      <c r="AA46" s="491">
        <v>1</v>
      </c>
      <c r="AB46" s="491">
        <v>1</v>
      </c>
      <c r="AC46" s="491">
        <v>1</v>
      </c>
      <c r="AD46" s="491">
        <v>1</v>
      </c>
      <c r="AE46" s="491">
        <v>1</v>
      </c>
      <c r="AF46" s="491">
        <v>1</v>
      </c>
      <c r="AG46" s="491">
        <v>1</v>
      </c>
      <c r="AH46" s="491">
        <v>1</v>
      </c>
      <c r="AI46" s="491">
        <v>1</v>
      </c>
      <c r="AJ46" s="491">
        <v>1</v>
      </c>
      <c r="AK46" s="491">
        <v>1</v>
      </c>
      <c r="AL46" s="491">
        <v>1</v>
      </c>
      <c r="AM46" s="491">
        <v>1</v>
      </c>
      <c r="AN46" s="491">
        <v>1</v>
      </c>
      <c r="AO46" s="491">
        <v>1</v>
      </c>
      <c r="AP46" s="491">
        <v>1</v>
      </c>
      <c r="AQ46" s="491">
        <v>1</v>
      </c>
      <c r="AR46" s="491">
        <v>1</v>
      </c>
      <c r="AS46" s="491">
        <v>1</v>
      </c>
      <c r="AT46" s="491">
        <v>1</v>
      </c>
      <c r="AU46" s="491">
        <v>1</v>
      </c>
      <c r="AV46" s="491">
        <v>1</v>
      </c>
      <c r="AW46" s="491">
        <v>1</v>
      </c>
      <c r="AX46" s="491">
        <v>1</v>
      </c>
      <c r="AY46" s="491">
        <v>1</v>
      </c>
      <c r="AZ46" s="491">
        <v>1</v>
      </c>
      <c r="BA46" s="491">
        <v>1</v>
      </c>
      <c r="BB46" s="491">
        <v>1</v>
      </c>
      <c r="BC46" s="491">
        <v>1</v>
      </c>
      <c r="BD46" s="491">
        <v>1</v>
      </c>
      <c r="BE46" s="491">
        <v>1</v>
      </c>
      <c r="BF46" s="491">
        <v>1</v>
      </c>
      <c r="BG46" s="491">
        <v>1</v>
      </c>
      <c r="BH46" s="491">
        <v>1</v>
      </c>
      <c r="BI46" s="491">
        <v>1</v>
      </c>
      <c r="BJ46" s="491">
        <v>1</v>
      </c>
      <c r="BK46" s="491">
        <v>1</v>
      </c>
      <c r="BL46" s="491">
        <v>1</v>
      </c>
      <c r="BM46" s="491">
        <v>1</v>
      </c>
      <c r="BN46" s="491">
        <v>1</v>
      </c>
      <c r="BO46" s="491">
        <v>1</v>
      </c>
      <c r="BP46" s="491">
        <v>1</v>
      </c>
      <c r="BQ46" s="491">
        <v>1</v>
      </c>
      <c r="BR46" s="491">
        <v>1</v>
      </c>
      <c r="BS46" s="491">
        <v>1</v>
      </c>
      <c r="BT46" s="491">
        <v>1</v>
      </c>
      <c r="BU46" s="491">
        <v>1</v>
      </c>
      <c r="BV46" s="491">
        <v>1</v>
      </c>
      <c r="BW46" s="491">
        <v>1</v>
      </c>
      <c r="BX46" s="491">
        <v>1</v>
      </c>
      <c r="BY46" s="491">
        <v>1</v>
      </c>
      <c r="BZ46" s="491">
        <v>1</v>
      </c>
      <c r="CA46" s="491">
        <v>1</v>
      </c>
      <c r="CB46" s="491">
        <v>1</v>
      </c>
      <c r="CC46" s="491">
        <v>1</v>
      </c>
      <c r="CD46" s="491">
        <v>1</v>
      </c>
      <c r="CE46" s="491">
        <v>1</v>
      </c>
      <c r="CF46" s="491">
        <v>1</v>
      </c>
      <c r="CG46" s="491">
        <v>1</v>
      </c>
      <c r="CH46" s="491">
        <v>1</v>
      </c>
      <c r="CI46" s="491">
        <v>1</v>
      </c>
      <c r="CJ46" s="491">
        <v>1</v>
      </c>
      <c r="CK46" s="491">
        <v>1</v>
      </c>
      <c r="CL46" s="491">
        <v>1</v>
      </c>
      <c r="CM46" s="491">
        <v>1</v>
      </c>
      <c r="CN46" s="491">
        <v>1</v>
      </c>
      <c r="CO46" s="491">
        <v>1</v>
      </c>
      <c r="CP46" s="491">
        <v>1</v>
      </c>
      <c r="CQ46" s="491">
        <v>1</v>
      </c>
      <c r="CR46" s="491">
        <v>1</v>
      </c>
      <c r="CS46" s="491">
        <v>1</v>
      </c>
      <c r="CT46" s="491">
        <v>1</v>
      </c>
      <c r="CU46" s="491">
        <v>1</v>
      </c>
      <c r="CV46" s="491">
        <v>1</v>
      </c>
      <c r="CW46" s="491">
        <v>1</v>
      </c>
      <c r="CX46" s="491">
        <v>1</v>
      </c>
      <c r="CY46" s="491">
        <v>1</v>
      </c>
      <c r="CZ46" s="491">
        <v>1</v>
      </c>
      <c r="DA46" s="491">
        <v>1</v>
      </c>
      <c r="DB46" s="491">
        <v>1</v>
      </c>
      <c r="DC46" s="491">
        <v>1</v>
      </c>
      <c r="DD46" s="491">
        <v>1</v>
      </c>
      <c r="DE46" s="491">
        <v>1</v>
      </c>
      <c r="DF46" s="491">
        <v>1</v>
      </c>
      <c r="DG46" s="491">
        <v>1</v>
      </c>
      <c r="DH46" s="491">
        <v>1</v>
      </c>
      <c r="DI46" s="491">
        <v>1</v>
      </c>
      <c r="DJ46" s="491">
        <v>1</v>
      </c>
      <c r="DK46" s="491">
        <v>1</v>
      </c>
      <c r="DL46" s="491">
        <v>1</v>
      </c>
      <c r="DM46" s="491">
        <v>1</v>
      </c>
      <c r="DN46" s="491">
        <v>1</v>
      </c>
      <c r="DO46" s="491">
        <v>1</v>
      </c>
      <c r="DP46" s="491">
        <v>1</v>
      </c>
      <c r="DQ46" s="491">
        <v>1</v>
      </c>
      <c r="DR46" s="491">
        <v>1</v>
      </c>
      <c r="DS46" s="491">
        <v>1</v>
      </c>
      <c r="DT46" s="491">
        <v>1</v>
      </c>
      <c r="DU46" s="491">
        <v>1</v>
      </c>
      <c r="DV46" s="491">
        <v>1</v>
      </c>
      <c r="DW46" s="491">
        <v>1</v>
      </c>
      <c r="DX46" s="491">
        <v>1</v>
      </c>
      <c r="DY46" s="491">
        <v>1</v>
      </c>
      <c r="DZ46" s="491">
        <v>1</v>
      </c>
      <c r="EA46" s="491">
        <v>1</v>
      </c>
      <c r="EB46" s="491">
        <v>1</v>
      </c>
      <c r="EC46" s="491">
        <v>1</v>
      </c>
      <c r="ED46" s="491">
        <v>1</v>
      </c>
      <c r="EE46" s="491">
        <v>1</v>
      </c>
      <c r="EF46" s="491">
        <v>1</v>
      </c>
      <c r="EG46" s="491">
        <v>1</v>
      </c>
      <c r="EH46" s="491">
        <v>1</v>
      </c>
      <c r="EI46" s="491">
        <v>1</v>
      </c>
      <c r="EJ46" s="491">
        <v>1</v>
      </c>
      <c r="EK46" s="491">
        <v>1</v>
      </c>
      <c r="EL46" s="491">
        <v>1</v>
      </c>
      <c r="EM46" s="491">
        <v>1</v>
      </c>
      <c r="EN46" s="491">
        <v>1</v>
      </c>
      <c r="EO46" s="491">
        <v>1</v>
      </c>
      <c r="EP46" s="491">
        <v>1</v>
      </c>
      <c r="EQ46" s="491">
        <v>1</v>
      </c>
      <c r="ER46" s="491">
        <v>1</v>
      </c>
      <c r="ES46" s="491">
        <v>1</v>
      </c>
      <c r="ET46" s="491">
        <v>1</v>
      </c>
      <c r="EU46" s="491">
        <v>1</v>
      </c>
      <c r="EV46" s="491">
        <v>1</v>
      </c>
      <c r="EW46" s="491">
        <v>1</v>
      </c>
      <c r="EX46" s="491">
        <v>1</v>
      </c>
      <c r="EY46" s="491">
        <v>1</v>
      </c>
      <c r="EZ46" s="491">
        <v>1</v>
      </c>
      <c r="FA46" s="491">
        <v>1</v>
      </c>
      <c r="FB46" s="491">
        <v>1</v>
      </c>
      <c r="FC46" s="491">
        <v>1</v>
      </c>
      <c r="FD46" s="491">
        <v>1</v>
      </c>
      <c r="FE46" s="491">
        <v>1</v>
      </c>
      <c r="FF46" s="491">
        <v>1</v>
      </c>
      <c r="FG46" s="491">
        <v>1</v>
      </c>
      <c r="FH46" s="491">
        <v>1</v>
      </c>
      <c r="FI46" s="491">
        <v>1</v>
      </c>
      <c r="FJ46" s="491">
        <v>1</v>
      </c>
      <c r="FK46" s="491"/>
      <c r="FL46" s="491"/>
      <c r="FM46" s="491"/>
      <c r="FN46" s="491"/>
      <c r="FO46" s="491"/>
      <c r="FP46" s="491"/>
      <c r="FQ46" s="491"/>
      <c r="FR46" s="491"/>
      <c r="FS46" s="491"/>
      <c r="FT46" s="491"/>
      <c r="FU46" s="491"/>
      <c r="FV46" s="491"/>
      <c r="FW46" s="491"/>
      <c r="FX46" s="491"/>
      <c r="FY46" s="491"/>
      <c r="FZ46" s="491"/>
      <c r="GA46" s="491"/>
      <c r="GB46" s="491"/>
      <c r="GC46" s="491"/>
      <c r="GD46" s="491"/>
      <c r="GE46" s="491"/>
      <c r="GF46" s="491"/>
      <c r="GG46" s="491"/>
      <c r="GH46" s="491"/>
      <c r="GI46" s="491"/>
      <c r="GJ46" s="491"/>
      <c r="GK46" s="491"/>
      <c r="GL46" s="491"/>
      <c r="GM46" s="491"/>
      <c r="GN46" s="491"/>
      <c r="GO46" s="491"/>
      <c r="GP46" s="491"/>
      <c r="GQ46" s="491"/>
      <c r="GR46" s="491"/>
      <c r="GS46" s="491"/>
      <c r="GT46" s="491"/>
      <c r="GU46" s="491"/>
      <c r="GV46" s="491"/>
      <c r="GW46" s="491"/>
      <c r="GX46" s="491"/>
      <c r="GY46" s="491"/>
      <c r="GZ46" s="491"/>
      <c r="HA46" s="491"/>
      <c r="HB46" s="491"/>
      <c r="HC46" s="491"/>
      <c r="HD46" s="491"/>
      <c r="HE46" s="491"/>
      <c r="HF46" s="491"/>
      <c r="HG46" s="491"/>
      <c r="HH46" s="491"/>
      <c r="HI46" s="491"/>
      <c r="HJ46" s="491"/>
      <c r="HK46" s="491"/>
      <c r="HL46" s="491"/>
      <c r="HM46" s="491"/>
      <c r="HN46" s="491"/>
      <c r="HO46" s="491"/>
      <c r="HP46" s="491"/>
      <c r="HQ46" s="491"/>
      <c r="HR46" s="491"/>
      <c r="HS46" s="491"/>
      <c r="HT46" s="491"/>
      <c r="HU46" s="491"/>
      <c r="HV46" s="491"/>
      <c r="HW46" s="491"/>
      <c r="HX46" s="491"/>
      <c r="HY46" s="491"/>
      <c r="HZ46" s="491"/>
      <c r="IA46" s="491"/>
      <c r="IB46" s="491"/>
      <c r="IC46" s="491"/>
    </row>
    <row r="47" spans="1:242" s="576" customFormat="1" ht="15" customHeight="1">
      <c r="A47" s="565"/>
      <c r="B47" s="565"/>
      <c r="C47" s="565"/>
      <c r="D47" s="566"/>
      <c r="E47" s="567">
        <v>45988</v>
      </c>
      <c r="F47" s="568"/>
      <c r="G47" s="568"/>
      <c r="H47" s="569" t="s">
        <v>546</v>
      </c>
      <c r="I47" s="570" t="s">
        <v>274</v>
      </c>
      <c r="J47" s="571" t="s">
        <v>895</v>
      </c>
      <c r="K47" s="572" t="s">
        <v>512</v>
      </c>
      <c r="L47" s="572">
        <v>0</v>
      </c>
      <c r="M47" s="572">
        <v>1</v>
      </c>
      <c r="N47" s="573"/>
      <c r="O47" s="573"/>
      <c r="P47" s="574">
        <v>2</v>
      </c>
      <c r="Q47" s="568">
        <v>1</v>
      </c>
      <c r="R47" s="572">
        <v>1</v>
      </c>
      <c r="S47" s="575"/>
      <c r="T47" s="575"/>
      <c r="U47" s="575"/>
      <c r="V47" s="575"/>
      <c r="W47" s="575"/>
      <c r="X47" s="575"/>
      <c r="Y47" s="575"/>
      <c r="Z47" s="575"/>
      <c r="AA47" s="575"/>
      <c r="AB47" s="575"/>
      <c r="AC47" s="575"/>
      <c r="AD47" s="575"/>
      <c r="AE47" s="575"/>
      <c r="AF47" s="575"/>
      <c r="AG47" s="575"/>
      <c r="AH47" s="575"/>
      <c r="AI47" s="575"/>
      <c r="AJ47" s="575"/>
      <c r="AK47" s="575"/>
      <c r="AL47" s="575"/>
      <c r="AM47" s="575"/>
      <c r="AN47" s="575"/>
      <c r="AO47" s="575"/>
      <c r="AP47" s="575"/>
      <c r="AQ47" s="575"/>
      <c r="AR47" s="575"/>
      <c r="AS47" s="575"/>
      <c r="AT47" s="575"/>
      <c r="AU47" s="575"/>
      <c r="AV47" s="575"/>
      <c r="AW47" s="575"/>
      <c r="AX47" s="575"/>
      <c r="AY47" s="575"/>
      <c r="AZ47" s="575"/>
      <c r="BA47" s="575"/>
      <c r="BB47" s="575"/>
      <c r="BC47" s="575"/>
      <c r="BD47" s="575"/>
      <c r="BE47" s="575"/>
      <c r="BF47" s="575"/>
      <c r="BG47" s="575"/>
      <c r="BH47" s="575"/>
      <c r="BI47" s="575"/>
      <c r="BJ47" s="575"/>
      <c r="BK47" s="575"/>
      <c r="BL47" s="575"/>
      <c r="BM47" s="575"/>
      <c r="BN47" s="575"/>
      <c r="BO47" s="575"/>
      <c r="BP47" s="575"/>
      <c r="BQ47" s="575"/>
      <c r="BR47" s="575"/>
      <c r="BS47" s="575"/>
      <c r="BT47" s="575"/>
      <c r="BU47" s="575"/>
      <c r="BV47" s="575"/>
      <c r="BW47" s="575"/>
      <c r="BX47" s="575"/>
      <c r="BY47" s="575"/>
      <c r="BZ47" s="575"/>
      <c r="CA47" s="575"/>
      <c r="CB47" s="575"/>
      <c r="CC47" s="575"/>
      <c r="CD47" s="575"/>
      <c r="CE47" s="575"/>
      <c r="CF47" s="575"/>
      <c r="CG47" s="575"/>
      <c r="CH47" s="575"/>
      <c r="CI47" s="575"/>
      <c r="CJ47" s="575"/>
      <c r="CK47" s="575"/>
      <c r="CL47" s="575"/>
      <c r="CM47" s="575"/>
      <c r="CN47" s="575"/>
      <c r="CO47" s="575"/>
      <c r="CP47" s="575"/>
      <c r="CQ47" s="575"/>
      <c r="CR47" s="575"/>
      <c r="CS47" s="575"/>
      <c r="CT47" s="575"/>
      <c r="CU47" s="575"/>
      <c r="CV47" s="575"/>
      <c r="CW47" s="575"/>
      <c r="CX47" s="575"/>
      <c r="CY47" s="575"/>
      <c r="CZ47" s="575"/>
      <c r="DA47" s="575"/>
      <c r="DB47" s="575"/>
      <c r="DC47" s="575"/>
      <c r="DD47" s="575"/>
      <c r="DE47" s="575"/>
      <c r="DF47" s="575"/>
      <c r="DG47" s="575"/>
      <c r="DH47" s="575"/>
      <c r="DI47" s="575"/>
      <c r="DJ47" s="575"/>
      <c r="DK47" s="575"/>
      <c r="DL47" s="575"/>
      <c r="DM47" s="575"/>
      <c r="DN47" s="575"/>
      <c r="DO47" s="575"/>
      <c r="DP47" s="575"/>
      <c r="DQ47" s="575"/>
      <c r="DR47" s="575"/>
      <c r="DS47" s="575"/>
      <c r="DT47" s="575"/>
      <c r="DU47" s="575"/>
      <c r="DV47" s="575"/>
      <c r="DW47" s="575"/>
      <c r="DX47" s="575"/>
      <c r="DY47" s="575"/>
      <c r="DZ47" s="575"/>
      <c r="EA47" s="575"/>
      <c r="EB47" s="575"/>
      <c r="EC47" s="575"/>
      <c r="ED47" s="575"/>
      <c r="EE47" s="575"/>
      <c r="EF47" s="575"/>
      <c r="EG47" s="575"/>
      <c r="EH47" s="575"/>
      <c r="EI47" s="575"/>
      <c r="EJ47" s="575"/>
      <c r="EK47" s="575"/>
      <c r="EL47" s="575"/>
      <c r="EM47" s="575"/>
      <c r="EN47" s="575"/>
      <c r="EO47" s="575"/>
      <c r="EP47" s="575"/>
      <c r="EQ47" s="575"/>
      <c r="ER47" s="575"/>
      <c r="ES47" s="575"/>
      <c r="ET47" s="575"/>
      <c r="EU47" s="575"/>
      <c r="EV47" s="575"/>
      <c r="EW47" s="575"/>
      <c r="EX47" s="575"/>
      <c r="EY47" s="575"/>
      <c r="EZ47" s="575"/>
      <c r="FA47" s="575"/>
      <c r="FB47" s="575"/>
      <c r="FC47" s="575"/>
      <c r="FD47" s="575"/>
      <c r="FE47" s="575"/>
      <c r="FF47" s="575"/>
      <c r="FG47" s="575"/>
      <c r="FH47" s="575"/>
      <c r="FI47" s="575"/>
      <c r="FJ47" s="575"/>
      <c r="FK47" s="575"/>
      <c r="FL47" s="575"/>
      <c r="FM47" s="575"/>
      <c r="FN47" s="575"/>
      <c r="FO47" s="575"/>
      <c r="FP47" s="575"/>
      <c r="FQ47" s="575"/>
      <c r="FR47" s="575"/>
      <c r="FS47" s="575"/>
      <c r="FT47" s="575"/>
      <c r="FU47" s="575"/>
      <c r="FV47" s="575"/>
      <c r="FW47" s="575"/>
      <c r="FX47" s="575"/>
      <c r="FY47" s="575"/>
      <c r="FZ47" s="575"/>
      <c r="GA47" s="575"/>
      <c r="GB47" s="575"/>
      <c r="GC47" s="575"/>
      <c r="GD47" s="575"/>
      <c r="GE47" s="575"/>
      <c r="GF47" s="575"/>
      <c r="GG47" s="575"/>
      <c r="GH47" s="575"/>
      <c r="GI47" s="575"/>
      <c r="GJ47" s="575"/>
      <c r="GK47" s="575"/>
      <c r="GL47" s="575"/>
      <c r="GM47" s="575"/>
      <c r="GN47" s="575"/>
      <c r="GO47" s="575"/>
      <c r="GP47" s="575"/>
      <c r="GQ47" s="575"/>
      <c r="GR47" s="575"/>
      <c r="GS47" s="575"/>
      <c r="GT47" s="575"/>
      <c r="GU47" s="575"/>
      <c r="GV47" s="575"/>
      <c r="GW47" s="575"/>
      <c r="GX47" s="575"/>
      <c r="GY47" s="575"/>
      <c r="GZ47" s="575"/>
      <c r="HA47" s="575"/>
      <c r="HB47" s="575"/>
      <c r="HC47" s="575"/>
      <c r="HD47" s="575"/>
      <c r="HE47" s="575"/>
      <c r="HF47" s="575"/>
      <c r="HG47" s="575"/>
      <c r="HH47" s="575"/>
      <c r="HI47" s="575"/>
      <c r="HJ47" s="575"/>
      <c r="HK47" s="575"/>
      <c r="HL47" s="575"/>
      <c r="HM47" s="575"/>
      <c r="HN47" s="575"/>
      <c r="HO47" s="575"/>
      <c r="HP47" s="575"/>
      <c r="HQ47" s="575"/>
      <c r="HR47" s="575"/>
      <c r="HS47" s="575"/>
      <c r="HT47" s="575"/>
      <c r="HU47" s="575"/>
      <c r="HV47" s="575"/>
      <c r="HW47" s="575"/>
      <c r="HX47" s="575"/>
      <c r="HY47" s="575"/>
      <c r="HZ47" s="575"/>
      <c r="IA47" s="575"/>
      <c r="IB47" s="575"/>
      <c r="IC47" s="575"/>
    </row>
    <row r="48" spans="1:242" ht="15" customHeight="1">
      <c r="I48" s="525"/>
      <c r="J48" s="526" t="s">
        <v>598</v>
      </c>
    </row>
    <row r="49" spans="10:15" ht="15" customHeight="1">
      <c r="O49" s="577"/>
    </row>
    <row r="53" spans="10:15" ht="15" customHeight="1">
      <c r="J53" t="s">
        <v>230</v>
      </c>
    </row>
  </sheetData>
  <autoFilter ref="G1:Q48" xr:uid="{B346FF6F-6E1B-2144-820A-1E49DE29AECD}"/>
  <mergeCells count="2">
    <mergeCell ref="IH19:IH24"/>
    <mergeCell ref="IH28:IH30"/>
  </mergeCells>
  <hyperlinks>
    <hyperlink ref="J7" r:id="rId1" xr:uid="{D636B132-F0C4-44E0-A21A-798A6A8FD8FB}"/>
    <hyperlink ref="J12" r:id="rId2" xr:uid="{E182FC57-979A-4C4F-8731-93293AD9A590}"/>
    <hyperlink ref="J15" r:id="rId3" xr:uid="{F727FF73-11A5-4BFB-8F15-DC5636011ECD}"/>
    <hyperlink ref="J20" r:id="rId4" xr:uid="{DDF64DD7-2EFA-4B48-AEF4-673DE66FC824}"/>
    <hyperlink ref="J21" r:id="rId5" xr:uid="{5A1023C8-9478-4171-909C-B85D55E921CD}"/>
    <hyperlink ref="J22" r:id="rId6" xr:uid="{B340BCA3-1BD1-4DCF-9CA6-D0D89005C25E}"/>
    <hyperlink ref="J24" r:id="rId7" xr:uid="{C5FBBCC7-C1AE-4008-A3AD-CEA5513F17B0}"/>
    <hyperlink ref="J26" r:id="rId8" xr:uid="{40B16427-5750-4D7A-92BB-E7EA0F4A9BB0}"/>
    <hyperlink ref="J29" r:id="rId9" xr:uid="{B8F136A7-CDB7-42D9-8DC3-F5A3A8004DBA}"/>
    <hyperlink ref="J30" r:id="rId10" xr:uid="{8F6385F6-131E-4AE7-ABE7-BBAC43BB11FF}"/>
    <hyperlink ref="J31" r:id="rId11" xr:uid="{0D8A518D-1F43-41DE-90DB-9C15107AAAB2}"/>
    <hyperlink ref="J32" r:id="rId12" xr:uid="{D97C4836-D8E9-4CBB-8BD2-4F79F8AFD667}"/>
  </hyperlinks>
  <pageMargins left="0.7" right="0.7" top="0.75" bottom="0.75" header="0.3" footer="0.3"/>
  <pageSetup paperSize="9" scale="55" fitToWidth="0" orientation="landscape" horizontalDpi="0" verticalDpi="0" r:id="rId13"/>
  <legacyDrawing r:id="rId1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CFE7-1AF4-4023-B492-078C6F3216EE}">
  <sheetPr>
    <tabColor rgb="FF00B050"/>
    <pageSetUpPr fitToPage="1"/>
  </sheetPr>
  <dimension ref="A1:E70"/>
  <sheetViews>
    <sheetView zoomScale="106" zoomScaleNormal="106" workbookViewId="0">
      <selection activeCell="C72" sqref="C72"/>
    </sheetView>
  </sheetViews>
  <sheetFormatPr defaultRowHeight="15"/>
  <cols>
    <col min="1" max="1" width="9.140625" style="104"/>
    <col min="2" max="2" width="16.85546875" style="104" bestFit="1" customWidth="1"/>
    <col min="3" max="3" width="16.85546875" style="104" customWidth="1"/>
    <col min="5" max="5" width="17" bestFit="1" customWidth="1"/>
  </cols>
  <sheetData>
    <row r="1" spans="1:5" ht="27.75" customHeight="1" thickBot="1">
      <c r="A1" s="527" t="s">
        <v>45</v>
      </c>
      <c r="B1" s="528" t="s">
        <v>828</v>
      </c>
      <c r="C1" s="529" t="s">
        <v>746</v>
      </c>
      <c r="E1" s="530" t="s">
        <v>829</v>
      </c>
    </row>
    <row r="2" spans="1:5">
      <c r="A2" s="531">
        <v>1</v>
      </c>
      <c r="B2" s="149" t="s">
        <v>750</v>
      </c>
      <c r="C2" s="532" t="s">
        <v>755</v>
      </c>
      <c r="E2" t="s">
        <v>830</v>
      </c>
    </row>
    <row r="3" spans="1:5">
      <c r="A3" s="531">
        <v>2</v>
      </c>
      <c r="B3" s="149" t="s">
        <v>756</v>
      </c>
      <c r="C3" s="532" t="s">
        <v>755</v>
      </c>
      <c r="E3" t="s">
        <v>831</v>
      </c>
    </row>
    <row r="4" spans="1:5">
      <c r="A4" s="531">
        <v>3</v>
      </c>
      <c r="B4" s="149" t="s">
        <v>761</v>
      </c>
      <c r="C4" s="532" t="s">
        <v>755</v>
      </c>
      <c r="E4" t="s">
        <v>832</v>
      </c>
    </row>
    <row r="5" spans="1:5">
      <c r="A5" s="531">
        <v>4</v>
      </c>
      <c r="B5" s="149" t="s">
        <v>765</v>
      </c>
      <c r="C5" s="532" t="s">
        <v>755</v>
      </c>
    </row>
    <row r="6" spans="1:5">
      <c r="A6" s="531">
        <v>5</v>
      </c>
      <c r="B6" s="149" t="s">
        <v>766</v>
      </c>
      <c r="C6" s="532" t="s">
        <v>755</v>
      </c>
    </row>
    <row r="7" spans="1:5">
      <c r="A7" s="531">
        <v>6</v>
      </c>
      <c r="B7" s="149" t="s">
        <v>770</v>
      </c>
      <c r="C7" s="532" t="s">
        <v>771</v>
      </c>
    </row>
    <row r="8" spans="1:5">
      <c r="A8" s="531">
        <v>7</v>
      </c>
      <c r="B8" s="149" t="s">
        <v>772</v>
      </c>
      <c r="C8" s="532" t="s">
        <v>755</v>
      </c>
    </row>
    <row r="9" spans="1:5">
      <c r="A9" s="531">
        <v>8</v>
      </c>
      <c r="B9" s="149" t="s">
        <v>773</v>
      </c>
      <c r="C9" s="532" t="s">
        <v>755</v>
      </c>
    </row>
    <row r="10" spans="1:5">
      <c r="A10" s="531">
        <v>10</v>
      </c>
      <c r="B10" s="149" t="s">
        <v>779</v>
      </c>
      <c r="C10" s="532" t="s">
        <v>755</v>
      </c>
    </row>
    <row r="11" spans="1:5" s="499" customFormat="1">
      <c r="A11" s="531">
        <v>11</v>
      </c>
      <c r="B11" s="149" t="s">
        <v>780</v>
      </c>
      <c r="C11" s="532" t="s">
        <v>771</v>
      </c>
    </row>
    <row r="12" spans="1:5">
      <c r="A12" s="531">
        <v>12</v>
      </c>
      <c r="B12" s="149" t="s">
        <v>781</v>
      </c>
      <c r="C12" s="532" t="s">
        <v>755</v>
      </c>
    </row>
    <row r="13" spans="1:5">
      <c r="A13" s="531">
        <v>13</v>
      </c>
      <c r="B13" s="149" t="s">
        <v>784</v>
      </c>
      <c r="C13" s="532" t="s">
        <v>755</v>
      </c>
    </row>
    <row r="14" spans="1:5">
      <c r="A14" s="531">
        <v>15</v>
      </c>
      <c r="B14" s="149" t="s">
        <v>787</v>
      </c>
      <c r="C14" s="532" t="s">
        <v>755</v>
      </c>
    </row>
    <row r="15" spans="1:5">
      <c r="A15" s="531">
        <v>16</v>
      </c>
      <c r="B15" s="149" t="s">
        <v>790</v>
      </c>
      <c r="C15" s="532" t="s">
        <v>755</v>
      </c>
    </row>
    <row r="16" spans="1:5">
      <c r="A16" s="531">
        <v>17</v>
      </c>
      <c r="B16" s="149" t="s">
        <v>791</v>
      </c>
      <c r="C16" s="532" t="s">
        <v>755</v>
      </c>
    </row>
    <row r="17" spans="1:3" s="499" customFormat="1">
      <c r="A17" s="531">
        <v>19</v>
      </c>
      <c r="B17" s="149" t="s">
        <v>794</v>
      </c>
      <c r="C17" s="532" t="s">
        <v>771</v>
      </c>
    </row>
    <row r="18" spans="1:3" s="499" customFormat="1">
      <c r="A18" s="531">
        <v>20</v>
      </c>
      <c r="B18" s="149" t="s">
        <v>796</v>
      </c>
      <c r="C18" s="532" t="s">
        <v>771</v>
      </c>
    </row>
    <row r="19" spans="1:3" s="499" customFormat="1">
      <c r="A19" s="531">
        <v>21</v>
      </c>
      <c r="B19" s="149" t="s">
        <v>797</v>
      </c>
      <c r="C19" s="532" t="s">
        <v>771</v>
      </c>
    </row>
    <row r="20" spans="1:3">
      <c r="A20" s="531">
        <v>22</v>
      </c>
      <c r="B20" s="149" t="s">
        <v>798</v>
      </c>
      <c r="C20" s="532" t="s">
        <v>755</v>
      </c>
    </row>
    <row r="21" spans="1:3" s="499" customFormat="1">
      <c r="A21" s="531">
        <v>23</v>
      </c>
      <c r="B21" s="149" t="s">
        <v>800</v>
      </c>
      <c r="C21" s="532" t="s">
        <v>771</v>
      </c>
    </row>
    <row r="22" spans="1:3" s="499" customFormat="1">
      <c r="A22" s="531">
        <v>25</v>
      </c>
      <c r="B22" s="149" t="s">
        <v>804</v>
      </c>
      <c r="C22" s="532" t="s">
        <v>771</v>
      </c>
    </row>
    <row r="23" spans="1:3">
      <c r="A23" s="531">
        <v>26</v>
      </c>
      <c r="B23" s="149" t="s">
        <v>807</v>
      </c>
      <c r="C23" s="532" t="s">
        <v>755</v>
      </c>
    </row>
    <row r="24" spans="1:3" s="499" customFormat="1">
      <c r="A24" s="531">
        <v>30</v>
      </c>
      <c r="B24" s="149" t="s">
        <v>809</v>
      </c>
      <c r="C24" s="532" t="s">
        <v>771</v>
      </c>
    </row>
    <row r="25" spans="1:3" s="499" customFormat="1">
      <c r="A25" s="531">
        <v>31</v>
      </c>
      <c r="B25" s="149" t="s">
        <v>812</v>
      </c>
      <c r="C25" s="532" t="s">
        <v>771</v>
      </c>
    </row>
    <row r="26" spans="1:3" s="499" customFormat="1">
      <c r="A26" s="531">
        <v>32</v>
      </c>
      <c r="B26" s="149" t="s">
        <v>813</v>
      </c>
      <c r="C26" s="532" t="s">
        <v>771</v>
      </c>
    </row>
    <row r="27" spans="1:3" s="499" customFormat="1">
      <c r="A27" s="531">
        <v>33</v>
      </c>
      <c r="B27" s="149" t="s">
        <v>816</v>
      </c>
      <c r="C27" s="532" t="s">
        <v>821</v>
      </c>
    </row>
    <row r="28" spans="1:3" s="499" customFormat="1">
      <c r="A28" s="531">
        <v>34</v>
      </c>
      <c r="B28" s="149" t="s">
        <v>822</v>
      </c>
      <c r="C28" s="532" t="s">
        <v>771</v>
      </c>
    </row>
    <row r="29" spans="1:3" s="499" customFormat="1">
      <c r="A29" s="531">
        <v>35</v>
      </c>
      <c r="B29" s="149" t="s">
        <v>823</v>
      </c>
      <c r="C29" s="532" t="s">
        <v>771</v>
      </c>
    </row>
    <row r="30" spans="1:3" s="499" customFormat="1">
      <c r="A30" s="531">
        <v>38</v>
      </c>
      <c r="B30" s="149" t="s">
        <v>827</v>
      </c>
      <c r="C30" s="532" t="s">
        <v>771</v>
      </c>
    </row>
    <row r="31" spans="1:3" s="499" customFormat="1">
      <c r="A31" s="531">
        <v>39</v>
      </c>
      <c r="B31" s="149" t="s">
        <v>834</v>
      </c>
      <c r="C31" s="532" t="s">
        <v>771</v>
      </c>
    </row>
    <row r="32" spans="1:3" s="499" customFormat="1">
      <c r="A32" s="531">
        <v>40</v>
      </c>
      <c r="B32" s="149" t="s">
        <v>835</v>
      </c>
      <c r="C32" s="532" t="s">
        <v>771</v>
      </c>
    </row>
    <row r="33" spans="1:3">
      <c r="A33" s="531">
        <v>41</v>
      </c>
      <c r="B33" s="117" t="s">
        <v>751</v>
      </c>
      <c r="C33" s="532" t="s">
        <v>771</v>
      </c>
    </row>
    <row r="34" spans="1:3">
      <c r="A34" s="531">
        <v>42</v>
      </c>
      <c r="B34" s="117" t="s">
        <v>757</v>
      </c>
      <c r="C34" s="532" t="s">
        <v>771</v>
      </c>
    </row>
    <row r="35" spans="1:3">
      <c r="A35" s="531">
        <v>43</v>
      </c>
      <c r="B35" s="117" t="s">
        <v>762</v>
      </c>
      <c r="C35" s="532" t="s">
        <v>771</v>
      </c>
    </row>
    <row r="36" spans="1:3">
      <c r="A36" s="531">
        <v>44</v>
      </c>
      <c r="B36" s="117" t="s">
        <v>767</v>
      </c>
      <c r="C36" s="532" t="s">
        <v>771</v>
      </c>
    </row>
    <row r="37" spans="1:3">
      <c r="A37" s="531">
        <v>45</v>
      </c>
      <c r="B37" s="117" t="s">
        <v>774</v>
      </c>
      <c r="C37" s="532" t="s">
        <v>771</v>
      </c>
    </row>
    <row r="38" spans="1:3">
      <c r="A38" s="531">
        <v>46</v>
      </c>
      <c r="B38" s="117" t="s">
        <v>776</v>
      </c>
      <c r="C38" s="532" t="s">
        <v>771</v>
      </c>
    </row>
    <row r="39" spans="1:3">
      <c r="A39" s="531">
        <v>47</v>
      </c>
      <c r="B39" s="117" t="s">
        <v>782</v>
      </c>
      <c r="C39" s="532" t="s">
        <v>771</v>
      </c>
    </row>
    <row r="40" spans="1:3">
      <c r="A40" s="531">
        <v>48</v>
      </c>
      <c r="B40" s="117" t="s">
        <v>785</v>
      </c>
      <c r="C40" s="532" t="s">
        <v>771</v>
      </c>
    </row>
    <row r="41" spans="1:3">
      <c r="A41" s="531">
        <v>49</v>
      </c>
      <c r="B41" s="117" t="s">
        <v>788</v>
      </c>
      <c r="C41" s="532" t="s">
        <v>771</v>
      </c>
    </row>
    <row r="42" spans="1:3">
      <c r="A42" s="531">
        <v>50</v>
      </c>
      <c r="B42" s="117" t="s">
        <v>792</v>
      </c>
      <c r="C42" s="532" t="s">
        <v>771</v>
      </c>
    </row>
    <row r="43" spans="1:3">
      <c r="A43" s="531">
        <v>51</v>
      </c>
      <c r="B43" s="117" t="s">
        <v>799</v>
      </c>
      <c r="C43" s="532" t="s">
        <v>771</v>
      </c>
    </row>
    <row r="44" spans="1:3">
      <c r="A44" s="531">
        <v>52</v>
      </c>
      <c r="B44" s="117" t="s">
        <v>801</v>
      </c>
      <c r="C44" s="532" t="s">
        <v>771</v>
      </c>
    </row>
    <row r="45" spans="1:3">
      <c r="A45" s="531">
        <v>53</v>
      </c>
      <c r="B45" s="117" t="s">
        <v>805</v>
      </c>
      <c r="C45" s="532" t="s">
        <v>771</v>
      </c>
    </row>
    <row r="46" spans="1:3">
      <c r="A46" s="531">
        <v>54</v>
      </c>
      <c r="B46" s="117" t="s">
        <v>810</v>
      </c>
      <c r="C46" s="532" t="s">
        <v>771</v>
      </c>
    </row>
    <row r="47" spans="1:3">
      <c r="A47" s="531">
        <v>55</v>
      </c>
      <c r="B47" s="117" t="s">
        <v>814</v>
      </c>
      <c r="C47" s="532" t="s">
        <v>771</v>
      </c>
    </row>
    <row r="48" spans="1:3">
      <c r="A48" s="531">
        <v>56</v>
      </c>
      <c r="B48" s="117" t="s">
        <v>817</v>
      </c>
      <c r="C48" s="532" t="s">
        <v>771</v>
      </c>
    </row>
    <row r="49" spans="1:3">
      <c r="A49" s="531">
        <v>57</v>
      </c>
      <c r="B49" s="117" t="s">
        <v>824</v>
      </c>
      <c r="C49" s="532" t="s">
        <v>771</v>
      </c>
    </row>
    <row r="50" spans="1:3">
      <c r="A50" s="531">
        <v>58</v>
      </c>
      <c r="B50" s="117" t="s">
        <v>881</v>
      </c>
      <c r="C50" s="532" t="s">
        <v>771</v>
      </c>
    </row>
    <row r="51" spans="1:3">
      <c r="A51" s="531">
        <v>59</v>
      </c>
      <c r="B51" s="117" t="s">
        <v>882</v>
      </c>
      <c r="C51" s="532" t="s">
        <v>771</v>
      </c>
    </row>
    <row r="52" spans="1:3">
      <c r="A52" s="531">
        <v>60</v>
      </c>
      <c r="B52" s="117" t="s">
        <v>880</v>
      </c>
      <c r="C52" s="532" t="s">
        <v>771</v>
      </c>
    </row>
    <row r="53" spans="1:3">
      <c r="A53" s="531">
        <v>61</v>
      </c>
      <c r="B53" s="117" t="s">
        <v>752</v>
      </c>
      <c r="C53" s="532" t="s">
        <v>833</v>
      </c>
    </row>
    <row r="54" spans="1:3">
      <c r="A54" s="531">
        <v>62</v>
      </c>
      <c r="B54" s="117" t="s">
        <v>758</v>
      </c>
      <c r="C54" s="532" t="s">
        <v>833</v>
      </c>
    </row>
    <row r="55" spans="1:3">
      <c r="A55" s="531">
        <v>63</v>
      </c>
      <c r="B55" s="117" t="s">
        <v>763</v>
      </c>
      <c r="C55" s="532" t="s">
        <v>833</v>
      </c>
    </row>
    <row r="56" spans="1:3">
      <c r="A56" s="531">
        <v>64</v>
      </c>
      <c r="B56" s="117" t="s">
        <v>768</v>
      </c>
      <c r="C56" s="532" t="s">
        <v>833</v>
      </c>
    </row>
    <row r="57" spans="1:3">
      <c r="A57" s="531">
        <v>65</v>
      </c>
      <c r="B57" s="117" t="s">
        <v>775</v>
      </c>
      <c r="C57" s="532" t="s">
        <v>833</v>
      </c>
    </row>
    <row r="58" spans="1:3">
      <c r="A58" s="531">
        <v>66</v>
      </c>
      <c r="B58" s="117" t="s">
        <v>777</v>
      </c>
      <c r="C58" s="532" t="s">
        <v>833</v>
      </c>
    </row>
    <row r="59" spans="1:3">
      <c r="A59" s="531">
        <v>67</v>
      </c>
      <c r="B59" s="117" t="s">
        <v>783</v>
      </c>
      <c r="C59" s="532" t="s">
        <v>833</v>
      </c>
    </row>
    <row r="60" spans="1:3">
      <c r="A60" s="531">
        <v>69</v>
      </c>
      <c r="B60" s="117" t="s">
        <v>786</v>
      </c>
      <c r="C60" s="532" t="s">
        <v>833</v>
      </c>
    </row>
    <row r="61" spans="1:3">
      <c r="A61" s="531">
        <v>70</v>
      </c>
      <c r="B61" s="117" t="s">
        <v>789</v>
      </c>
      <c r="C61" s="532" t="s">
        <v>833</v>
      </c>
    </row>
    <row r="62" spans="1:3">
      <c r="A62" s="531">
        <v>71</v>
      </c>
      <c r="B62" s="117" t="s">
        <v>793</v>
      </c>
      <c r="C62" s="532" t="s">
        <v>833</v>
      </c>
    </row>
    <row r="63" spans="1:3">
      <c r="A63" s="531">
        <v>72</v>
      </c>
      <c r="B63" s="117" t="s">
        <v>795</v>
      </c>
      <c r="C63" s="532" t="s">
        <v>833</v>
      </c>
    </row>
    <row r="64" spans="1:3">
      <c r="A64" s="531">
        <v>73</v>
      </c>
      <c r="B64" s="117" t="s">
        <v>802</v>
      </c>
      <c r="C64" s="532" t="s">
        <v>833</v>
      </c>
    </row>
    <row r="65" spans="1:3">
      <c r="A65" s="531">
        <v>74</v>
      </c>
      <c r="B65" s="117" t="s">
        <v>806</v>
      </c>
      <c r="C65" s="532" t="s">
        <v>833</v>
      </c>
    </row>
    <row r="66" spans="1:3">
      <c r="A66" s="531">
        <v>75</v>
      </c>
      <c r="B66" s="117" t="s">
        <v>808</v>
      </c>
      <c r="C66" s="532" t="s">
        <v>833</v>
      </c>
    </row>
    <row r="67" spans="1:3">
      <c r="A67" s="533">
        <v>76</v>
      </c>
      <c r="B67" s="117" t="s">
        <v>811</v>
      </c>
      <c r="C67" s="532" t="s">
        <v>833</v>
      </c>
    </row>
    <row r="68" spans="1:3">
      <c r="A68" s="104">
        <v>77</v>
      </c>
      <c r="B68" s="117" t="s">
        <v>815</v>
      </c>
      <c r="C68" s="532" t="s">
        <v>833</v>
      </c>
    </row>
    <row r="69" spans="1:3">
      <c r="A69" s="104">
        <v>78</v>
      </c>
      <c r="B69" s="117" t="s">
        <v>818</v>
      </c>
      <c r="C69" s="532" t="s">
        <v>833</v>
      </c>
    </row>
    <row r="70" spans="1:3">
      <c r="A70" s="104">
        <v>79</v>
      </c>
      <c r="B70" s="122" t="s">
        <v>825</v>
      </c>
      <c r="C70" s="534" t="s">
        <v>833</v>
      </c>
    </row>
  </sheetData>
  <phoneticPr fontId="11" type="noConversion"/>
  <pageMargins left="0.25" right="0.25" top="0.75" bottom="0.75" header="0.3" footer="0.3"/>
  <pageSetup scale="66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464C67F55D9469153CA4F6C7A86AF" ma:contentTypeVersion="15" ma:contentTypeDescription="Create a new document." ma:contentTypeScope="" ma:versionID="c5a596b8a593829f6c9bbf5a42ab7612">
  <xsd:schema xmlns:xsd="http://www.w3.org/2001/XMLSchema" xmlns:xs="http://www.w3.org/2001/XMLSchema" xmlns:p="http://schemas.microsoft.com/office/2006/metadata/properties" xmlns:ns2="a970d4f9-ceff-49e0-9737-6f3177b72e97" xmlns:ns3="447822c5-58ca-4317-956e-53916928e1bf" targetNamespace="http://schemas.microsoft.com/office/2006/metadata/properties" ma:root="true" ma:fieldsID="cd2408e2e6ca576d874c67f4f968d5f6" ns2:_="" ns3:_="">
    <xsd:import namespace="a970d4f9-ceff-49e0-9737-6f3177b72e97"/>
    <xsd:import namespace="447822c5-58ca-4317-956e-53916928e1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0d4f9-ceff-49e0-9737-6f3177b72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274f21-2a41-4932-89b8-31fbb6ed8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822c5-58ca-4317-956e-53916928e1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725dae-5028-4db0-a96d-9106babbafc4}" ma:internalName="TaxCatchAll" ma:showField="CatchAllData" ma:web="447822c5-58ca-4317-956e-53916928e1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70d4f9-ceff-49e0-9737-6f3177b72e97">
      <Terms xmlns="http://schemas.microsoft.com/office/infopath/2007/PartnerControls"/>
    </lcf76f155ced4ddcb4097134ff3c332f>
    <TaxCatchAll xmlns="447822c5-58ca-4317-956e-53916928e1b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45D54C-F549-4833-B95D-ECE85266A974}"/>
</file>

<file path=customXml/itemProps2.xml><?xml version="1.0" encoding="utf-8"?>
<ds:datastoreItem xmlns:ds="http://schemas.openxmlformats.org/officeDocument/2006/customXml" ds:itemID="{E4FC2C9A-C99C-4EC0-AEAD-034CF50F1255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82a188ee-a0bb-45d1-96e0-1709e31b7085"/>
    <ds:schemaRef ds:uri="85eba69d-5e87-4f09-91e3-cfeb30fb863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09BF191-C9E3-440C-B4C9-84A79B7F03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work sheet_Cloning</vt:lpstr>
      <vt:lpstr>June</vt:lpstr>
      <vt:lpstr>Jan</vt:lpstr>
      <vt:lpstr>raw data</vt:lpstr>
      <vt:lpstr>Summary</vt:lpstr>
      <vt:lpstr>% of development</vt:lpstr>
      <vt:lpstr>NBD</vt:lpstr>
      <vt:lpstr>Cloned fish status</vt:lpstr>
      <vt:lpstr>Cloned fish status(Master)</vt:lpstr>
      <vt:lpstr>Specimen Code for DNA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Yanika PIYASANTI</dc:creator>
  <cp:keywords/>
  <dc:description/>
  <cp:lastModifiedBy>Suparat CHAIPIPAT</cp:lastModifiedBy>
  <cp:revision/>
  <cp:lastPrinted>2026-04-16T02:31:46Z</cp:lastPrinted>
  <dcterms:created xsi:type="dcterms:W3CDTF">2025-09-28T13:08:58Z</dcterms:created>
  <dcterms:modified xsi:type="dcterms:W3CDTF">2026-04-18T08:15:05Z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0x0101000B5464C67F55D9469153CA4F6C7A86AF</vt:lpwstr>
  </property>
  <property fmtid="{D5CDD505-2E9C-101B-9397-08002B2CF9AE}" pid="3" name="Order">
    <vt:r8>2266700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